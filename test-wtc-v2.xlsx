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26" name="Margin Analysis" state="visible" r:id="rId5"/>
    <sheet sheetId="27" name="Budget Summary" state="visible" r:id="rId6"/>
    <sheet sheetId="2" name="LED Cost Sheet" state="visible" r:id="rId7"/>
    <sheet sheetId="4" name="Tech Specs (Installers)" state="visible" r:id="rId8"/>
    <sheet sheetId="5" name="Underpass 3 - Install" state="visible" r:id="rId9"/>
    <sheet sheetId="6" name="Underpass 4 - Install" state="visible" r:id="rId10"/>
    <sheet sheetId="7" name="Concourse - Install" state="visible" r:id="rId11"/>
    <sheet sheetId="8" name="T4-B1 (6-9) - Install" state="visible" r:id="rId12"/>
    <sheet sheetId="9" name="T4-B2 (10-18) - Install" state="visible" r:id="rId13"/>
    <sheet sheetId="10" name="T4 Lobby Elevator - Install" state="visible" r:id="rId14"/>
    <sheet sheetId="11" name="T2-B1M Screen 20 - Install" state="visible" r:id="rId15"/>
    <sheet sheetId="12" name="T2-B1M Screen 21 - Install" state="visible" r:id="rId16"/>
    <sheet sheetId="13" name="T2-B1M Screen 22 - Install" state="visible" r:id="rId17"/>
    <sheet sheetId="14" name="New Path Hall Option 1 - Instal" state="visible" r:id="rId18"/>
    <sheet sheetId="15" name="New Path Hall Option 2 - Instal" state="visible" r:id="rId19"/>
    <sheet sheetId="16" name="Processor Count" state="visible" r:id="rId20"/>
    <sheet sheetId="17" name="Bundle Equipment" state="visible" r:id="rId21"/>
    <sheet sheetId="18" name="ANC Travel" state="visible" r:id="rId22"/>
    <sheet sheetId="19" name="CMS" state="visible" r:id="rId23"/>
    <sheet sheetId="20" name="Scoring" state="visible" r:id="rId24"/>
    <sheet sheetId="21" name="Venue Services" state="visible" r:id="rId25"/>
    <sheet sheetId="22" name="Additional Items" state="visible" r:id="rId26"/>
    <sheet sheetId="23" name="Resp Matrix" state="visible" r:id="rId27"/>
    <sheet sheetId="24" name="P&amp;L" state="visible" r:id="rId28"/>
    <sheet sheetId="25" name="Cash Flow" state="visible" r:id="rId29"/>
    <sheet sheetId="28" name="PO's" state="visible" r:id="rId30"/>
    <sheet sheetId="3" name="_Products" state="veryHidden" r:id="rId31"/>
  </sheets>
  <calcPr calcId="171027" fullCalcOnLoad="1"/>
</workbook>
</file>

<file path=xl/sharedStrings.xml><?xml version="1.0" encoding="utf-8"?>
<sst xmlns="http://schemas.openxmlformats.org/spreadsheetml/2006/main" count="1964" uniqueCount="417">
  <si>
    <t>WTC Digital Signage Upgrade — Project Overview</t>
  </si>
  <si>
    <t>Westfield | 2026-04-01 | ANC Proposal Engine</t>
  </si>
  <si>
    <t>PROJECT INFORMATION</t>
  </si>
  <si>
    <t>Client</t>
  </si>
  <si>
    <t>Westfield</t>
  </si>
  <si>
    <t>Project Name</t>
  </si>
  <si>
    <t>WTC Digital Signage Upgrade</t>
  </si>
  <si>
    <t>Location</t>
  </si>
  <si>
    <t>New York, NY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</si>
  <si>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</si>
  <si>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</si>
  <si>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</si>
  <si>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</si>
  <si>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</si>
  <si>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</si>
  <si>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</si>
  <si>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</si>
  <si>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</si>
  <si>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</si>
  <si>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</si>
  <si>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</si>
  <si>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</si>
  <si>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</si>
  <si>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</si>
  <si>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</si>
  <si>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</si>
  <si>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</si>
  <si>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</si>
  <si>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</si>
  <si>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</si>
  <si>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</si>
  <si>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</si>
  <si>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</si>
  <si>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</si>
  <si>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</si>
  <si>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</si>
  <si>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</si>
  <si>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WTC Digital Signage Upgrade — Margin Analysis</t>
  </si>
  <si>
    <t/>
  </si>
  <si>
    <t>Zone / Category</t>
  </si>
  <si>
    <t>Cost</t>
  </si>
  <si>
    <t>Selling Price</t>
  </si>
  <si>
    <t>Margin $</t>
  </si>
  <si>
    <t>Margin %</t>
  </si>
  <si>
    <t>Underpass 3 — Underpass 1-4, WTC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</si>
  <si>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</si>
  <si>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</si>
  <si>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</si>
  <si>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</si>
  <si>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</si>
  <si>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</si>
  <si>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</si>
  <si>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</si>
  <si>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</si>
  <si>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</si>
  <si>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</si>
  <si>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Underpass 4 — Underpass 1-4, WTC</t>
  </si>
  <si>
    <t>Concourse — Concourse, WTC</t>
  </si>
  <si>
    <t>T4-B1 (6-9) — T4-B1, WTC</t>
  </si>
  <si>
    <t>T4-B2 (10-18) — T4-B2, WTC</t>
  </si>
  <si>
    <t>T4 Lobby Elevator — T4 Lobby Elevator, WTC</t>
  </si>
  <si>
    <t>T2-B1M Screen 20 — T2-B1M, WTC</t>
  </si>
  <si>
    <t>T2-B1M Screen 21 — T2-B1M, WTC</t>
  </si>
  <si>
    <t>T2-B1M Screen 22 — T2-B1M, WTC</t>
  </si>
  <si>
    <t>New Path Hall Option 1 — New Path Hall, WTC</t>
  </si>
  <si>
    <t>New Path Hall Option 2 — New Path Hall, WTC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</si>
  <si>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</si>
  <si>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</si>
  <si>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</si>
  <si>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</si>
  <si>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</si>
  <si>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</si>
  <si>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</si>
  <si>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</si>
  <si>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</si>
  <si>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WTC Digital Signage Upgrade — Budget Summary</t>
  </si>
  <si>
    <t>Westfield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</si>
  <si>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</si>
  <si>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</si>
  <si>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</si>
  <si>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</si>
  <si>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</si>
  <si>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</si>
  <si>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</si>
  <si>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</si>
  <si>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</si>
  <si>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</si>
  <si>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</si>
  <si>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</si>
  <si>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WTC Digital Signage Upgrade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</si>
  <si>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</si>
  <si>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</si>
  <si>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</si>
  <si>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</si>
  <si>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</si>
  <si>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</si>
  <si>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</si>
  <si>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</si>
  <si>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</si>
  <si>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</si>
  <si>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</si>
  <si>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</si>
  <si>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</si>
  <si>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</si>
  <si>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</si>
  <si>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</si>
  <si>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</si>
  <si>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</si>
  <si>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</si>
  <si>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</si>
  <si>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</si>
  <si>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</si>
  <si>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</si>
  <si>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</si>
  <si>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C2.5-MIP 2.5mm Indoor (Alt)</t>
  </si>
  <si>
    <t>front</t>
  </si>
  <si>
    <t>TOTAL (11 displays)</t>
  </si>
  <si>
    <t>WTC Digital Signage Upgrade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</si>
  <si>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</si>
  <si>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</si>
  <si>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</si>
  <si>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</si>
  <si>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</si>
  <si>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</si>
  <si>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</si>
  <si>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</si>
  <si>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</si>
  <si>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</si>
  <si>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</si>
  <si>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WTC Digital Signage Upgrade</t>
  </si>
  <si>
    <t>Revised By: ANC Proposal Engine</t>
  </si>
  <si>
    <t>Linked Margin Assignment</t>
  </si>
  <si>
    <t>Install Margin</t>
  </si>
  <si>
    <t>Electrical Margin</t>
  </si>
  <si>
    <t>Engineering and Permits</t>
  </si>
  <si>
    <t>Underpass 3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</si>
  <si>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</si>
  <si>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</si>
  <si>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</si>
  <si>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</si>
  <si>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</si>
  <si>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</si>
  <si>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</si>
  <si>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</si>
  <si>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</si>
  <si>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</si>
  <si>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</si>
  <si>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</si>
  <si>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</si>
  <si>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</si>
  <si>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</si>
  <si>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</si>
  <si>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</si>
  <si>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</si>
  <si>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</si>
  <si>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</si>
  <si>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</si>
  <si>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</si>
  <si>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</si>
  <si>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</si>
  <si>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</si>
  <si>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</si>
  <si>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</si>
  <si>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</si>
  <si>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</si>
  <si>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</si>
  <si>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</si>
  <si>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</si>
  <si>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</si>
  <si>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</si>
  <si>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</si>
  <si>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</si>
  <si>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Underpass 4</t>
  </si>
  <si>
    <t>Concourse</t>
  </si>
  <si>
    <t>T4-B1 (6-9)</t>
  </si>
  <si>
    <t>T4-B2 (10-18)</t>
  </si>
  <si>
    <t>T4 Lobby Elevator</t>
  </si>
  <si>
    <t>T2-B1M Screen 20</t>
  </si>
  <si>
    <t>T2-B1M Screen 21</t>
  </si>
  <si>
    <t>T2-B1M Screen 22</t>
  </si>
  <si>
    <t>New Path Hall Option 1</t>
  </si>
  <si>
    <t>New Path Hall Option 2</t>
  </si>
  <si>
    <t>WTC Digital Signage Upgrade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</si>
  <si>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</si>
  <si>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</si>
  <si>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</si>
  <si>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</si>
  <si>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</si>
  <si>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</si>
  <si>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</si>
  <si>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</si>
  <si>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</si>
  <si>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</si>
  <si>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</si>
  <si>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</si>
  <si>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</si>
  <si>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</si>
  <si>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</si>
  <si>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</si>
  <si>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WTC Digital Signage Upgrade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</si>
  <si>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</si>
  <si>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</si>
  <si>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</si>
  <si>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</si>
  <si>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</si>
  <si>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</si>
  <si>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</si>
  <si>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</si>
  <si>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EQUIPMENT GRAND TOTAL</t>
  </si>
  <si>
    <t>WTC Digital Signage Upgrade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</si>
  <si>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</si>
  <si>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</si>
  <si>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</si>
  <si>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</si>
  <si>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</si>
  <si>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</si>
  <si>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</si>
  <si>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</si>
  <si>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</si>
  <si>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</si>
  <si>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</si>
  <si>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</si>
  <si>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</si>
  <si>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WTC Digital Signage Upgrade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</si>
  <si>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</si>
  <si>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</si>
  <si>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</si>
  <si>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</si>
  <si>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</si>
  <si>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</si>
  <si>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</si>
  <si>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</si>
  <si>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</si>
  <si>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</si>
  <si>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</si>
  <si>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</si>
  <si>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</si>
  <si>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</si>
  <si>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</si>
  <si>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</si>
  <si>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</si>
  <si>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</si>
  <si>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WTC Digital Signage Upgrade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</si>
  <si>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</si>
  <si>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</si>
  <si>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</si>
  <si>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</si>
  <si>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</si>
  <si>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</si>
  <si>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</si>
  <si>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</si>
  <si>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</si>
  <si>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</si>
  <si>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</si>
  <si>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</si>
  <si>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</si>
  <si>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</si>
  <si>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WTC Digital Signage Upgrade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</si>
  <si>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</si>
  <si>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</si>
  <si>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</si>
  <si>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</si>
  <si>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</si>
  <si>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</si>
  <si>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</si>
  <si>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</si>
  <si>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</si>
  <si>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</si>
  <si>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</si>
  <si>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</si>
  <si>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WTC Digital Signage Upgrade — Additional Non-LED Items</t>
  </si>
  <si>
    <t>GAME CLOCK</t>
  </si>
  <si>
    <t>Six-Digit Game Clocks</t>
  </si>
  <si>
    <t>PITCH CLOCK</t>
  </si>
  <si>
    <t>OES / MIS</t>
  </si>
  <si>
    <t>ADDITIONAL ITEMS TOTAL</t>
  </si>
  <si>
    <t>Project: WTC Digital Signage Upgrade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</si>
  <si>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</si>
  <si>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</si>
  <si>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</si>
  <si>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</si>
  <si>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</si>
  <si>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</si>
  <si>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</si>
  <si>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</si>
  <si>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</si>
  <si>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</si>
  <si>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</si>
  <si>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</si>
  <si>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</si>
  <si>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</si>
  <si>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</si>
  <si>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</si>
  <si>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</si>
  <si>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</si>
  <si>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</si>
  <si>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</si>
  <si>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</si>
  <si>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</si>
  <si>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</si>
  <si>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</si>
  <si>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</si>
  <si>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</si>
  <si>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</si>
  <si>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</si>
  <si>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</si>
  <si>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</si>
  <si>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</si>
  <si>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</si>
  <si>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</si>
  <si>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</si>
  <si>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</si>
  <si>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</si>
  <si>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</si>
  <si>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</si>
  <si>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</si>
  <si>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</si>
  <si>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</si>
  <si>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</si>
  <si>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</si>
  <si>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</si>
  <si>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</si>
  <si>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</si>
  <si>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</si>
  <si>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</si>
  <si>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</si>
  <si>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</si>
  <si>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</si>
  <si>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</si>
  <si>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WTC Digital Signage Upgrade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</si>
  <si>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</si>
  <si>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</si>
  <si>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</si>
  <si>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</si>
  <si>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</si>
  <si>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</si>
  <si>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</si>
  <si>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</si>
  <si>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</si>
  <si>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</si>
  <si>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</si>
  <si>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</si>
  <si>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</si>
  <si>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</si>
  <si>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</si>
  <si>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</si>
  <si>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</si>
  <si>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</si>
  <si>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</si>
  <si>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</si>
  <si>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</si>
  <si>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</si>
  <si>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</si>
  <si>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</si>
  <si>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</si>
  <si>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</si>
  <si>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WTC Digital Signage Upgrade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</si>
  <si>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</si>
  <si>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</si>
  <si>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</si>
  <si>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</si>
  <si>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</si>
  <si>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</si>
  <si>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</si>
  <si>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</si>
  <si>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</si>
  <si>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</si>
  <si>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</si>
  <si>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</si>
  <si>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</si>
  <si>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</si>
  <si>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</si>
  <si>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</si>
  <si>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</si>
  <si>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</si>
  <si>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</si>
  <si>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</si>
  <si>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</si>
  <si>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</si>
  <si>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</si>
  <si>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</si>
  <si>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</si>
  <si>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</si>
  <si>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</si>
  <si>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</si>
  <si>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WTC Digital Signage Upgrade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</si>
  <si>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</si>
  <si>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</si>
  <si>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</si>
  <si>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</si>
  <si>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</si>
  <si>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</si>
  <si>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</si>
  <si>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</si>
  <si>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</si>
  <si>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</si>
  <si>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</si>
  <si>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</si>
  <si>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</si>
  <si>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</si>
  <si>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</si>
  <si>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</si>
  <si>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Mesh P10 FM1921 3.9mm Indoor</t>
  </si>
  <si>
    <t>Yaham Aura A10 Perimeter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</si>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</sst>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%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4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27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4</v>
      </c>
    </row>
    <row r="6" spans="2:3" x14ac:dyDescent="0.25">
      <c r="B6" s="6" t="s">
        <v>5</v>
      </c>
      <c r="C6" s="7" t="s">
        <v>6</v>
      </c>
    </row>
    <row r="7" spans="2:3" x14ac:dyDescent="0.25">
      <c r="B7" s="4" t="s">
        <v>7</v>
      </c>
      <c r="C7" s="5" t="s">
        <v>8</v>
      </c>
    </row>
    <row r="8" spans="2:3" x14ac:dyDescent="0.25">
      <c r="B8" s="6" t="s">
        <v>9</v>
      </c>
      <c r="C8" s="7" t="s">
        <v>10</v>
      </c>
    </row>
    <row r="9" spans="2:3" x14ac:dyDescent="0.25">
      <c r="B9" s="4" t="s">
        <v>11</v>
      </c>
      <c r="C9" s="5" t="s">
        <v>12</v>
      </c>
    </row>
    <row r="10" spans="2:3" x14ac:dyDescent="0.25">
      <c r="B10" s="6" t="s">
        <v>13</v>
      </c>
      <c r="C10" s="7" t="s">
        <v>14</v>
      </c>
    </row>
    <row r="11" spans="2:3" x14ac:dyDescent="0.25">
      <c r="B11" s="4" t="s">
        <v>15</v>
      </c>
      <c r="C11" s="5" t="s">
        <v>16</v>
      </c>
    </row>
    <row r="12" spans="2:3" x14ac:dyDescent="0.25">
      <c r="B12" s="6" t="s">
        <v>17</v>
      </c>
      <c r="C12" s="7" t="s">
        <v>16</v>
      </c>
    </row>
    <row r="13" spans="2:3" x14ac:dyDescent="0.25">
      <c r="B13" s="4" t="s">
        <v>18</v>
      </c>
      <c r="C13" s="5">
        <f>SUM('LED Cost Sheet'!I4:I14)</f>
        <v>22</v>
      </c>
    </row>
    <row r="15" spans="2:3" x14ac:dyDescent="0.25">
      <c r="B15" s="3" t="s">
        <v>19</v>
      </c>
      <c r="C15" s="3"/>
    </row>
    <row r="16" spans="2:3" x14ac:dyDescent="0.25">
      <c r="B16" s="6" t="s">
        <v>20</v>
      </c>
      <c r="C16" s="7" t="s">
        <v>21</v>
      </c>
    </row>
    <row r="17" spans="2:3" x14ac:dyDescent="0.25">
      <c r="B17" s="4" t="s">
        <v>22</v>
      </c>
      <c r="C17" s="5" t="s">
        <v>21</v>
      </c>
    </row>
    <row r="18" spans="2:3" x14ac:dyDescent="0.25">
      <c r="B18" s="6" t="s">
        <v>23</v>
      </c>
      <c r="C18" s="7" t="s">
        <v>21</v>
      </c>
    </row>
    <row r="19" spans="2:3" x14ac:dyDescent="0.25">
      <c r="B19" s="4" t="s">
        <v>24</v>
      </c>
      <c r="C19" s="5" t="s">
        <v>21</v>
      </c>
    </row>
    <row r="20" spans="2:3" x14ac:dyDescent="0.25">
      <c r="B20" s="6" t="s">
        <v>25</v>
      </c>
      <c r="C20" s="7" t="s">
        <v>21</v>
      </c>
    </row>
    <row r="21" spans="2:3" x14ac:dyDescent="0.25">
      <c r="B21" s="4" t="s">
        <v>26</v>
      </c>
      <c r="C21" s="5" t="s">
        <v>27</v>
      </c>
    </row>
    <row r="22" spans="2:3" x14ac:dyDescent="0.25">
      <c r="B22" s="6" t="s">
        <v>28</v>
      </c>
      <c r="C22" s="7" t="s">
        <v>29</v>
      </c>
    </row>
    <row r="23" spans="2:3" x14ac:dyDescent="0.25">
      <c r="B23" s="4" t="s">
        <v>30</v>
      </c>
      <c r="C23" s="5" t="s">
        <v>29</v>
      </c>
    </row>
    <row r="25" spans="2:3" x14ac:dyDescent="0.25">
      <c r="B25" s="3" t="s">
        <v>31</v>
      </c>
      <c r="C25" s="3"/>
    </row>
    <row r="26" spans="2:3" x14ac:dyDescent="0.25">
      <c r="B26" s="4" t="s">
        <v>32</v>
      </c>
      <c r="C26" s="8">
        <f>'Margin Analysis'!C158</f>
        <v>3435750.15</v>
      </c>
    </row>
    <row r="27" spans="2:3" x14ac:dyDescent="0.25">
      <c r="B27" s="4" t="s">
        <v>33</v>
      </c>
      <c r="C27" s="8">
        <f>'Margin Analysis'!D158</f>
        <v>3967550.77</v>
      </c>
    </row>
    <row r="28" spans="2:3" x14ac:dyDescent="0.25">
      <c r="B28" s="4" t="s">
        <v>34</v>
      </c>
      <c r="C28" s="8">
        <f>'Margin Analysis'!E158</f>
        <v>531800.62</v>
      </c>
    </row>
    <row r="29" spans="2:3" x14ac:dyDescent="0.25">
      <c r="B29" s="4" t="s">
        <v>35</v>
      </c>
      <c r="C29" s="9">
        <f>'Margin Analysis'!F158</f>
        <v>0.13</v>
      </c>
    </row>
    <row r="30" spans="2:3" x14ac:dyDescent="0.25">
      <c r="B30" s="10" t="s">
        <v>36</v>
      </c>
      <c r="C30" s="11">
        <f>'Margin Analysis'!D158</f>
        <v>3967550.77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16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90</v>
      </c>
      <c r="V2" s="39">
        <v>0.15</v>
      </c>
    </row>
    <row r="3" ht="28" customHeight="1" spans="1:26" x14ac:dyDescent="0.25">
      <c r="A3" s="24" t="s">
        <v>91</v>
      </c>
      <c r="B3" s="24" t="s">
        <v>92</v>
      </c>
      <c r="C3" s="24" t="s">
        <v>93</v>
      </c>
      <c r="D3" s="24" t="s">
        <v>94</v>
      </c>
      <c r="E3" s="24" t="s">
        <v>95</v>
      </c>
      <c r="F3" s="24" t="s">
        <v>96</v>
      </c>
      <c r="G3" s="24" t="s">
        <v>97</v>
      </c>
      <c r="H3" s="24" t="s">
        <v>98</v>
      </c>
      <c r="I3" s="24" t="s">
        <v>99</v>
      </c>
      <c r="J3" s="24" t="s">
        <v>100</v>
      </c>
      <c r="K3" s="24" t="s">
        <v>101</v>
      </c>
      <c r="L3" s="24" t="s">
        <v>102</v>
      </c>
      <c r="M3" s="24" t="s">
        <v>103</v>
      </c>
      <c r="N3" s="24" t="s">
        <v>104</v>
      </c>
      <c r="O3" s="24" t="s">
        <v>105</v>
      </c>
      <c r="P3" s="24" t="s">
        <v>106</v>
      </c>
      <c r="Q3" s="24" t="s">
        <v>107</v>
      </c>
      <c r="R3" s="24" t="s">
        <v>108</v>
      </c>
      <c r="S3" s="24" t="s">
        <v>109</v>
      </c>
      <c r="T3" s="24" t="s">
        <v>32</v>
      </c>
      <c r="U3" s="24" t="s">
        <v>43</v>
      </c>
      <c r="V3" s="24" t="s">
        <v>41</v>
      </c>
      <c r="W3" s="24" t="s">
        <v>110</v>
      </c>
      <c r="X3" s="24" t="s">
        <v>111</v>
      </c>
      <c r="Y3" s="24" t="s">
        <v>112</v>
      </c>
      <c r="Z3" s="24" t="s">
        <v>113</v>
      </c>
    </row>
    <row r="4" spans="1:26" x14ac:dyDescent="0.25">
      <c r="A4" s="40" t="s">
        <v>44</v>
      </c>
      <c r="B4" s="41">
        <v>7.48</v>
      </c>
      <c r="C4" s="41">
        <v>29.92</v>
      </c>
      <c r="D4" s="32" t="s">
        <v>38</v>
      </c>
      <c r="E4" s="32" t="str">
        <f>IFERROR(VLOOKUP(F4,'_Products'!$A$1:$G$23,2,FALSE),"")</f>
        <v>LG/Yaham</v>
      </c>
      <c r="F4" s="32" t="s">
        <v>114</v>
      </c>
      <c r="G4" s="42">
        <f>IFERROR(VLOOKUP(F4,'_Products'!$A$1:$G$23,3,FALSE),0)</f>
        <v>2.5</v>
      </c>
      <c r="H4" s="41">
        <v>7.48</v>
      </c>
      <c r="I4" s="41">
        <v>29.92</v>
      </c>
      <c r="J4" s="43">
        <f>IFERROR(ROUND(H4*304.8/G4,0),0)</f>
        <v>912</v>
      </c>
      <c r="K4" s="43">
        <f>IFERROR(ROUND(I4*304.8/G4,0),0)</f>
        <v>3648</v>
      </c>
      <c r="L4" s="44">
        <v>1</v>
      </c>
      <c r="M4" s="45">
        <f>H4*I4*L4</f>
        <v>223.8</v>
      </c>
      <c r="N4" s="46">
        <f>IFERROR(VLOOKUP(F4,'_Products'!$A$1:$G$23,5,FALSE),0)</f>
        <v>2000</v>
      </c>
      <c r="O4" s="46" t="s">
        <v>115</v>
      </c>
      <c r="P4" s="33">
        <f>IFERROR(VLOOKUP(F4,'_Products'!$A$1:$G$23,4,FALSE),0)</f>
        <v>291.44</v>
      </c>
      <c r="Q4" s="33">
        <f>P4*M4</f>
        <v>65223.83</v>
      </c>
      <c r="R4" s="33">
        <f>SUM('Bundle Equipment'!E10:E10)</f>
        <v>584.28</v>
      </c>
      <c r="S4" s="33">
        <f>MAX(M4*10,500)</f>
        <v>2238</v>
      </c>
      <c r="T4" s="47">
        <f>Q4+R4+S4</f>
        <v>68046.11</v>
      </c>
      <c r="U4" s="34">
        <f>V$2</f>
        <v>0.15</v>
      </c>
      <c r="V4" s="47">
        <f>IFERROR(T4/(1-U4),0)</f>
        <v>80054.25</v>
      </c>
      <c r="W4" s="33">
        <f>V4-T4</f>
        <v>12008.14</v>
      </c>
      <c r="X4" s="45">
        <f>IFERROR(ROUND(M4*0.092903*VLOOKUP(F4,'_Products'!$A$1:$G$23,6,FALSE),0),0)</f>
        <v>1094</v>
      </c>
      <c r="Y4" s="45">
        <f>IFERROR(ROUND(M4*0.092903*VLOOKUP(F4,'_Products'!$A$1:$G$23,7,FALSE),0),0)</f>
        <v>8121</v>
      </c>
      <c r="Z4" s="45">
        <f>Y4*3.412</f>
        <v>27709</v>
      </c>
    </row>
    <row r="5" spans="1:26" x14ac:dyDescent="0.25">
      <c r="A5" s="25" t="s">
        <v>56</v>
      </c>
      <c r="B5" s="48">
        <v>12.6</v>
      </c>
      <c r="C5" s="48">
        <v>29.92</v>
      </c>
      <c r="D5" t="s">
        <v>38</v>
      </c>
      <c r="E5" t="str">
        <f>IFERROR(VLOOKUP(F5,'_Products'!$A$1:$G$23,2,FALSE),"")</f>
        <v>LG/Yaham</v>
      </c>
      <c r="F5" t="s">
        <v>114</v>
      </c>
      <c r="G5" s="49">
        <f>IFERROR(VLOOKUP(F5,'_Products'!$A$1:$G$23,3,FALSE),0)</f>
        <v>2.5</v>
      </c>
      <c r="H5" s="48">
        <v>12.6</v>
      </c>
      <c r="I5" s="48">
        <v>29.92</v>
      </c>
      <c r="J5" s="50">
        <f>IFERROR(ROUND(H5*304.8/G5,0),0)</f>
        <v>1536</v>
      </c>
      <c r="K5" s="50">
        <f>IFERROR(ROUND(I5*304.8/G5,0),0)</f>
        <v>3648</v>
      </c>
      <c r="L5" s="51">
        <v>1</v>
      </c>
      <c r="M5" s="52">
        <f>H5*I5*L5</f>
        <v>376.99</v>
      </c>
      <c r="N5" s="53">
        <f>IFERROR(VLOOKUP(F5,'_Products'!$A$1:$G$23,5,FALSE),0)</f>
        <v>2000</v>
      </c>
      <c r="O5" s="53" t="s">
        <v>115</v>
      </c>
      <c r="P5" s="19">
        <f>IFERROR(VLOOKUP(F5,'_Products'!$A$1:$G$23,4,FALSE),0)</f>
        <v>291.44</v>
      </c>
      <c r="Q5" s="19">
        <f>P5*M5</f>
        <v>109869.21</v>
      </c>
      <c r="R5" s="19">
        <f>SUM('Bundle Equipment'!E16:E16)</f>
        <v>20626.190000000002</v>
      </c>
      <c r="S5" s="19">
        <f>MAX(M5*10,500)</f>
        <v>3769.9</v>
      </c>
      <c r="T5" s="54">
        <f>Q5+R5+S5</f>
        <v>134265.3</v>
      </c>
      <c r="U5" s="26">
        <f>V$2</f>
        <v>0.15</v>
      </c>
      <c r="V5" s="54">
        <f>IFERROR(T5/(1-U5),0)</f>
        <v>157959.18</v>
      </c>
      <c r="W5" s="19">
        <f>V5-T5</f>
        <v>23693.88</v>
      </c>
      <c r="X5" s="52">
        <f>IFERROR(ROUND(M5*0.092903*VLOOKUP(F5,'_Products'!$A$1:$G$23,6,FALSE),0),0)</f>
        <v>1842</v>
      </c>
      <c r="Y5" s="52">
        <f>IFERROR(ROUND(M5*0.092903*VLOOKUP(F5,'_Products'!$A$1:$G$23,7,FALSE),0),0)</f>
        <v>13680</v>
      </c>
      <c r="Z5" s="52">
        <f>Y5*3.412</f>
        <v>46676</v>
      </c>
    </row>
    <row r="6" spans="1:26" x14ac:dyDescent="0.25">
      <c r="A6" s="40" t="s">
        <v>57</v>
      </c>
      <c r="B6" s="41">
        <v>9.45</v>
      </c>
      <c r="C6" s="41">
        <v>280.31</v>
      </c>
      <c r="D6" s="32" t="s">
        <v>38</v>
      </c>
      <c r="E6" s="32" t="str">
        <f>IFERROR(VLOOKUP(F6,'_Products'!$A$1:$G$23,2,FALSE),"")</f>
        <v>LG/Yaham</v>
      </c>
      <c r="F6" s="32" t="s">
        <v>114</v>
      </c>
      <c r="G6" s="42">
        <f>IFERROR(VLOOKUP(F6,'_Products'!$A$1:$G$23,3,FALSE),0)</f>
        <v>2.5</v>
      </c>
      <c r="H6" s="41">
        <v>9.45</v>
      </c>
      <c r="I6" s="41">
        <v>280.31</v>
      </c>
      <c r="J6" s="43">
        <f>IFERROR(ROUND(H6*304.8/G6,0),0)</f>
        <v>1152</v>
      </c>
      <c r="K6" s="43">
        <f>IFERROR(ROUND(I6*304.8/G6,0),0)</f>
        <v>34175</v>
      </c>
      <c r="L6" s="44">
        <v>1</v>
      </c>
      <c r="M6" s="45">
        <f>H6*I6*L6</f>
        <v>2648.93</v>
      </c>
      <c r="N6" s="46">
        <f>IFERROR(VLOOKUP(F6,'_Products'!$A$1:$G$23,5,FALSE),0)</f>
        <v>2000</v>
      </c>
      <c r="O6" s="46" t="s">
        <v>115</v>
      </c>
      <c r="P6" s="33">
        <f>IFERROR(VLOOKUP(F6,'_Products'!$A$1:$G$23,4,FALSE),0)</f>
        <v>291.44</v>
      </c>
      <c r="Q6" s="33">
        <f>P6*M6</f>
        <v>771998.86</v>
      </c>
      <c r="R6" s="33">
        <f>SUM('Bundle Equipment'!E22:E22)</f>
        <v>47189.36</v>
      </c>
      <c r="S6" s="33">
        <f>MAX(M6*10,500)</f>
        <v>26489.3</v>
      </c>
      <c r="T6" s="47">
        <f>Q6+R6+S6</f>
        <v>845677.52</v>
      </c>
      <c r="U6" s="34">
        <f>V$2</f>
        <v>0.15</v>
      </c>
      <c r="V6" s="47">
        <f>IFERROR(T6/(1-U6),0)</f>
        <v>994914.73</v>
      </c>
      <c r="W6" s="33">
        <f>V6-T6</f>
        <v>149237.21</v>
      </c>
      <c r="X6" s="45">
        <f>IFERROR(ROUND(M6*0.092903*VLOOKUP(F6,'_Products'!$A$1:$G$23,6,FALSE),0),0)</f>
        <v>12945</v>
      </c>
      <c r="Y6" s="45">
        <f>IFERROR(ROUND(M6*0.092903*VLOOKUP(F6,'_Products'!$A$1:$G$23,7,FALSE),0),0)</f>
        <v>96124</v>
      </c>
      <c r="Z6" s="45">
        <f>Y6*3.412</f>
        <v>327975</v>
      </c>
    </row>
    <row r="7" spans="1:26" x14ac:dyDescent="0.25">
      <c r="A7" s="25" t="s">
        <v>58</v>
      </c>
      <c r="B7" s="48">
        <v>7.87</v>
      </c>
      <c r="C7" s="48">
        <v>8.66</v>
      </c>
      <c r="D7" t="s">
        <v>38</v>
      </c>
      <c r="E7" t="str">
        <f>IFERROR(VLOOKUP(F7,'_Products'!$A$1:$G$23,2,FALSE),"")</f>
        <v>LG/Yaham</v>
      </c>
      <c r="F7" t="s">
        <v>114</v>
      </c>
      <c r="G7" s="49">
        <f>IFERROR(VLOOKUP(F7,'_Products'!$A$1:$G$23,3,FALSE),0)</f>
        <v>2.5</v>
      </c>
      <c r="H7" s="48">
        <v>7.87</v>
      </c>
      <c r="I7" s="48">
        <v>8.66</v>
      </c>
      <c r="J7" s="50">
        <f>IFERROR(ROUND(H7*304.8/G7,0),0)</f>
        <v>960</v>
      </c>
      <c r="K7" s="50">
        <f>IFERROR(ROUND(I7*304.8/G7,0),0)</f>
        <v>1056</v>
      </c>
      <c r="L7" s="51">
        <v>4</v>
      </c>
      <c r="M7" s="52">
        <f>H7*I7*L7</f>
        <v>272.62</v>
      </c>
      <c r="N7" s="53">
        <f>IFERROR(VLOOKUP(F7,'_Products'!$A$1:$G$23,5,FALSE),0)</f>
        <v>2000</v>
      </c>
      <c r="O7" s="53" t="s">
        <v>115</v>
      </c>
      <c r="P7" s="19">
        <f>IFERROR(VLOOKUP(F7,'_Products'!$A$1:$G$23,4,FALSE),0)</f>
        <v>291.42</v>
      </c>
      <c r="Q7" s="19">
        <f>P7*M7</f>
        <v>79446</v>
      </c>
      <c r="R7" s="19">
        <f>SUM('Bundle Equipment'!E27:E27)</f>
        <v>613.5699999999999</v>
      </c>
      <c r="S7" s="19">
        <f>MAX(M7*10,500)</f>
        <v>2726.2</v>
      </c>
      <c r="T7" s="54">
        <f>Q7+R7+S7</f>
        <v>82785.77</v>
      </c>
      <c r="U7" s="26">
        <f>V$2</f>
        <v>0.15</v>
      </c>
      <c r="V7" s="54">
        <f>IFERROR(T7/(1-U7),0)</f>
        <v>97395.02</v>
      </c>
      <c r="W7" s="19">
        <f>V7-T7</f>
        <v>14609.25</v>
      </c>
      <c r="X7" s="52">
        <f>IFERROR(ROUND(M7*0.092903*VLOOKUP(F7,'_Products'!$A$1:$G$23,6,FALSE),0),0)</f>
        <v>1332</v>
      </c>
      <c r="Y7" s="52">
        <f>IFERROR(ROUND(M7*0.092903*VLOOKUP(F7,'_Products'!$A$1:$G$23,7,FALSE),0),0)</f>
        <v>9893</v>
      </c>
      <c r="Z7" s="52">
        <f>Y7*3.412</f>
        <v>33755</v>
      </c>
    </row>
    <row r="8" spans="1:26" x14ac:dyDescent="0.25">
      <c r="A8" s="40" t="s">
        <v>59</v>
      </c>
      <c r="B8" s="41">
        <v>7.87</v>
      </c>
      <c r="C8" s="41">
        <v>8.66</v>
      </c>
      <c r="D8" s="32" t="s">
        <v>38</v>
      </c>
      <c r="E8" s="32" t="str">
        <f>IFERROR(VLOOKUP(F8,'_Products'!$A$1:$G$23,2,FALSE),"")</f>
        <v>LG/Yaham</v>
      </c>
      <c r="F8" s="32" t="s">
        <v>114</v>
      </c>
      <c r="G8" s="42">
        <f>IFERROR(VLOOKUP(F8,'_Products'!$A$1:$G$23,3,FALSE),0)</f>
        <v>2.5</v>
      </c>
      <c r="H8" s="41">
        <v>7.87</v>
      </c>
      <c r="I8" s="41">
        <v>8.66</v>
      </c>
      <c r="J8" s="43">
        <f>IFERROR(ROUND(H8*304.8/G8,0),0)</f>
        <v>960</v>
      </c>
      <c r="K8" s="43">
        <f>IFERROR(ROUND(I8*304.8/G8,0),0)</f>
        <v>1056</v>
      </c>
      <c r="L8" s="44">
        <v>9</v>
      </c>
      <c r="M8" s="45">
        <f>H8*I8*L8</f>
        <v>613.39</v>
      </c>
      <c r="N8" s="46">
        <f>IFERROR(VLOOKUP(F8,'_Products'!$A$1:$G$23,5,FALSE),0)</f>
        <v>2000</v>
      </c>
      <c r="O8" s="46" t="s">
        <v>115</v>
      </c>
      <c r="P8" s="33">
        <f>IFERROR(VLOOKUP(F8,'_Products'!$A$1:$G$23,4,FALSE),0)</f>
        <v>291.42</v>
      </c>
      <c r="Q8" s="33">
        <f>P8*M8</f>
        <v>178753.5</v>
      </c>
      <c r="R8" s="33">
        <f>SUM('Bundle Equipment'!E33:E33)</f>
        <v>20768.03</v>
      </c>
      <c r="S8" s="33">
        <f>MAX(M8*10,500)</f>
        <v>6133.9</v>
      </c>
      <c r="T8" s="47">
        <f>Q8+R8+S8</f>
        <v>205655.43</v>
      </c>
      <c r="U8" s="34">
        <f>V$2</f>
        <v>0.15</v>
      </c>
      <c r="V8" s="47">
        <f>IFERROR(T8/(1-U8),0)</f>
        <v>241947.56</v>
      </c>
      <c r="W8" s="33">
        <f>V8-T8</f>
        <v>36292.13</v>
      </c>
      <c r="X8" s="45">
        <f>IFERROR(ROUND(M8*0.092903*VLOOKUP(F8,'_Products'!$A$1:$G$23,6,FALSE),0),0)</f>
        <v>2997</v>
      </c>
      <c r="Y8" s="45">
        <f>IFERROR(ROUND(M8*0.092903*VLOOKUP(F8,'_Products'!$A$1:$G$23,7,FALSE),0),0)</f>
        <v>22259</v>
      </c>
      <c r="Z8" s="45">
        <f>Y8*3.412</f>
        <v>75948</v>
      </c>
    </row>
    <row r="9" spans="1:26" x14ac:dyDescent="0.25">
      <c r="A9" s="25" t="s">
        <v>60</v>
      </c>
      <c r="B9" s="48">
        <v>71.6</v>
      </c>
      <c r="C9" s="48">
        <v>5.5</v>
      </c>
      <c r="D9" t="s">
        <v>38</v>
      </c>
      <c r="E9" t="str">
        <f>IFERROR(VLOOKUP(F9,'_Products'!$A$1:$G$23,2,FALSE),"")</f>
        <v>LG/Yaham</v>
      </c>
      <c r="F9" t="s">
        <v>114</v>
      </c>
      <c r="G9" s="49">
        <f>IFERROR(VLOOKUP(F9,'_Products'!$A$1:$G$23,3,FALSE),0)</f>
        <v>2.5</v>
      </c>
      <c r="H9" s="48">
        <v>71.6</v>
      </c>
      <c r="I9" s="48">
        <v>5.5</v>
      </c>
      <c r="J9" s="50">
        <f>IFERROR(ROUND(H9*304.8/G9,0),0)</f>
        <v>8729</v>
      </c>
      <c r="K9" s="50">
        <f>IFERROR(ROUND(I9*304.8/G9,0),0)</f>
        <v>671</v>
      </c>
      <c r="L9" s="51">
        <v>1</v>
      </c>
      <c r="M9" s="52">
        <f>H9*I9*L9</f>
        <v>393.8</v>
      </c>
      <c r="N9" s="53">
        <f>IFERROR(VLOOKUP(F9,'_Products'!$A$1:$G$23,5,FALSE),0)</f>
        <v>2000</v>
      </c>
      <c r="O9" s="53" t="s">
        <v>115</v>
      </c>
      <c r="P9" s="19">
        <f>IFERROR(VLOOKUP(F9,'_Products'!$A$1:$G$23,4,FALSE),0)</f>
        <v>291.44</v>
      </c>
      <c r="Q9" s="19">
        <f>P9*M9</f>
        <v>114768.29</v>
      </c>
      <c r="R9" s="19">
        <f>SUM('Bundle Equipment'!E39:E39)</f>
        <v>20636.28</v>
      </c>
      <c r="S9" s="19">
        <f>MAX(M9*10,500)</f>
        <v>3938</v>
      </c>
      <c r="T9" s="54">
        <f>Q9+R9+S9</f>
        <v>139342.57</v>
      </c>
      <c r="U9" s="26">
        <f>V$2</f>
        <v>0.15</v>
      </c>
      <c r="V9" s="54">
        <f>IFERROR(T9/(1-U9),0)</f>
        <v>163932.44</v>
      </c>
      <c r="W9" s="19">
        <f>V9-T9</f>
        <v>24589.87</v>
      </c>
      <c r="X9" s="52">
        <f>IFERROR(ROUND(M9*0.092903*VLOOKUP(F9,'_Products'!$A$1:$G$23,6,FALSE),0),0)</f>
        <v>1924</v>
      </c>
      <c r="Y9" s="52">
        <f>IFERROR(ROUND(M9*0.092903*VLOOKUP(F9,'_Products'!$A$1:$G$23,7,FALSE),0),0)</f>
        <v>14290</v>
      </c>
      <c r="Z9" s="52">
        <f>Y9*3.412</f>
        <v>48757</v>
      </c>
    </row>
    <row r="10" spans="1:26" x14ac:dyDescent="0.25">
      <c r="A10" s="40" t="s">
        <v>61</v>
      </c>
      <c r="B10" s="41">
        <v>7.91</v>
      </c>
      <c r="C10" s="41">
        <v>16.5</v>
      </c>
      <c r="D10" s="32" t="s">
        <v>38</v>
      </c>
      <c r="E10" s="32" t="str">
        <f>IFERROR(VLOOKUP(F10,'_Products'!$A$1:$G$23,2,FALSE),"")</f>
        <v>LG/Yaham</v>
      </c>
      <c r="F10" s="32" t="s">
        <v>114</v>
      </c>
      <c r="G10" s="42">
        <f>IFERROR(VLOOKUP(F10,'_Products'!$A$1:$G$23,3,FALSE),0)</f>
        <v>2.5</v>
      </c>
      <c r="H10" s="41">
        <v>7.91</v>
      </c>
      <c r="I10" s="41">
        <v>16.5</v>
      </c>
      <c r="J10" s="43">
        <f>IFERROR(ROUND(H10*304.8/G10,0),0)</f>
        <v>964</v>
      </c>
      <c r="K10" s="43">
        <f>IFERROR(ROUND(I10*304.8/G10,0),0)</f>
        <v>2012</v>
      </c>
      <c r="L10" s="44">
        <v>1</v>
      </c>
      <c r="M10" s="45">
        <f>H10*I10*L10</f>
        <v>130.52</v>
      </c>
      <c r="N10" s="46">
        <f>IFERROR(VLOOKUP(F10,'_Products'!$A$1:$G$23,5,FALSE),0)</f>
        <v>2000</v>
      </c>
      <c r="O10" s="46" t="s">
        <v>115</v>
      </c>
      <c r="P10" s="33">
        <f>IFERROR(VLOOKUP(F10,'_Products'!$A$1:$G$23,4,FALSE),0)</f>
        <v>291.44</v>
      </c>
      <c r="Q10" s="33">
        <f>P10*M10</f>
        <v>38038.49</v>
      </c>
      <c r="R10" s="33">
        <f>SUM('Bundle Equipment'!E44:E44)</f>
        <v>528.31</v>
      </c>
      <c r="S10" s="33">
        <f>MAX(M10*10,500)</f>
        <v>1305.2</v>
      </c>
      <c r="T10" s="47">
        <f>Q10+R10+S10</f>
        <v>39872</v>
      </c>
      <c r="U10" s="34">
        <f>V$2</f>
        <v>0.15</v>
      </c>
      <c r="V10" s="47">
        <f>IFERROR(T10/(1-U10),0)</f>
        <v>46908.24</v>
      </c>
      <c r="W10" s="33">
        <f>V10-T10</f>
        <v>7036.24</v>
      </c>
      <c r="X10" s="45">
        <f>IFERROR(ROUND(M10*0.092903*VLOOKUP(F10,'_Products'!$A$1:$G$23,6,FALSE),0),0)</f>
        <v>638</v>
      </c>
      <c r="Y10" s="45">
        <f>IFERROR(ROUND(M10*0.092903*VLOOKUP(F10,'_Products'!$A$1:$G$23,7,FALSE),0),0)</f>
        <v>4736</v>
      </c>
      <c r="Z10" s="45">
        <f>Y10*3.412</f>
        <v>16159</v>
      </c>
    </row>
    <row r="11" spans="1:26" x14ac:dyDescent="0.25">
      <c r="A11" s="25" t="s">
        <v>62</v>
      </c>
      <c r="B11" s="48">
        <v>7.91</v>
      </c>
      <c r="C11" s="48">
        <v>11.83</v>
      </c>
      <c r="D11" t="s">
        <v>38</v>
      </c>
      <c r="E11" t="str">
        <f>IFERROR(VLOOKUP(F11,'_Products'!$A$1:$G$23,2,FALSE),"")</f>
        <v>LG/Yaham</v>
      </c>
      <c r="F11" t="s">
        <v>114</v>
      </c>
      <c r="G11" s="49">
        <f>IFERROR(VLOOKUP(F11,'_Products'!$A$1:$G$23,3,FALSE),0)</f>
        <v>2.5</v>
      </c>
      <c r="H11" s="48">
        <v>7.91</v>
      </c>
      <c r="I11" s="48">
        <v>11.83</v>
      </c>
      <c r="J11" s="50">
        <f>IFERROR(ROUND(H11*304.8/G11,0),0)</f>
        <v>964</v>
      </c>
      <c r="K11" s="50">
        <f>IFERROR(ROUND(I11*304.8/G11,0),0)</f>
        <v>1442</v>
      </c>
      <c r="L11" s="51">
        <v>1</v>
      </c>
      <c r="M11" s="52">
        <f>H11*I11*L11</f>
        <v>93.58</v>
      </c>
      <c r="N11" s="53">
        <f>IFERROR(VLOOKUP(F11,'_Products'!$A$1:$G$23,5,FALSE),0)</f>
        <v>2000</v>
      </c>
      <c r="O11" s="53" t="s">
        <v>115</v>
      </c>
      <c r="P11" s="19">
        <f>IFERROR(VLOOKUP(F11,'_Products'!$A$1:$G$23,4,FALSE),0)</f>
        <v>291.44</v>
      </c>
      <c r="Q11" s="19">
        <f>P11*M11</f>
        <v>27272.76</v>
      </c>
      <c r="R11" s="19">
        <f>SUM('Bundle Equipment'!E49:E49)</f>
        <v>506.15</v>
      </c>
      <c r="S11" s="19">
        <f>MAX(M11*10,500)</f>
        <v>935.8</v>
      </c>
      <c r="T11" s="54">
        <f>Q11+R11+S11</f>
        <v>28714.71</v>
      </c>
      <c r="U11" s="26">
        <f>V$2</f>
        <v>0.15</v>
      </c>
      <c r="V11" s="54">
        <f>IFERROR(T11/(1-U11),0)</f>
        <v>33782.01</v>
      </c>
      <c r="W11" s="19">
        <f>V11-T11</f>
        <v>5067.3</v>
      </c>
      <c r="X11" s="52">
        <f>IFERROR(ROUND(M11*0.092903*VLOOKUP(F11,'_Products'!$A$1:$G$23,6,FALSE),0),0)</f>
        <v>457</v>
      </c>
      <c r="Y11" s="52">
        <f>IFERROR(ROUND(M11*0.092903*VLOOKUP(F11,'_Products'!$A$1:$G$23,7,FALSE),0),0)</f>
        <v>3396</v>
      </c>
      <c r="Z11" s="52">
        <f>Y11*3.412</f>
        <v>11587</v>
      </c>
    </row>
    <row r="12" spans="1:26" x14ac:dyDescent="0.25">
      <c r="A12" s="40" t="s">
        <v>63</v>
      </c>
      <c r="B12" s="41">
        <v>7.91</v>
      </c>
      <c r="C12" s="41">
        <v>7.91</v>
      </c>
      <c r="D12" s="32" t="s">
        <v>38</v>
      </c>
      <c r="E12" s="32" t="str">
        <f>IFERROR(VLOOKUP(F12,'_Products'!$A$1:$G$23,2,FALSE),"")</f>
        <v>LG/Yaham</v>
      </c>
      <c r="F12" s="32" t="s">
        <v>114</v>
      </c>
      <c r="G12" s="42">
        <f>IFERROR(VLOOKUP(F12,'_Products'!$A$1:$G$23,3,FALSE),0)</f>
        <v>2.5</v>
      </c>
      <c r="H12" s="41">
        <v>7.91</v>
      </c>
      <c r="I12" s="41">
        <v>7.91</v>
      </c>
      <c r="J12" s="43">
        <f>IFERROR(ROUND(H12*304.8/G12,0),0)</f>
        <v>964</v>
      </c>
      <c r="K12" s="43">
        <f>IFERROR(ROUND(I12*304.8/G12,0),0)</f>
        <v>964</v>
      </c>
      <c r="L12" s="44">
        <v>1</v>
      </c>
      <c r="M12" s="45">
        <f>H12*I12*L12</f>
        <v>62.57</v>
      </c>
      <c r="N12" s="46">
        <f>IFERROR(VLOOKUP(F12,'_Products'!$A$1:$G$23,5,FALSE),0)</f>
        <v>2000</v>
      </c>
      <c r="O12" s="46" t="s">
        <v>115</v>
      </c>
      <c r="P12" s="33">
        <f>IFERROR(VLOOKUP(F12,'_Products'!$A$1:$G$23,4,FALSE),0)</f>
        <v>291.44</v>
      </c>
      <c r="Q12" s="33">
        <f>P12*M12</f>
        <v>18235.28</v>
      </c>
      <c r="R12" s="33">
        <f>SUM('Bundle Equipment'!E54:E54)</f>
        <v>487.54</v>
      </c>
      <c r="S12" s="33">
        <f>MAX(M12*10,500)</f>
        <v>625.7</v>
      </c>
      <c r="T12" s="47">
        <f>Q12+R12+S12</f>
        <v>19348.52</v>
      </c>
      <c r="U12" s="34">
        <f>V$2</f>
        <v>0.15</v>
      </c>
      <c r="V12" s="47">
        <f>IFERROR(T12/(1-U12),0)</f>
        <v>22762.96</v>
      </c>
      <c r="W12" s="33">
        <f>V12-T12</f>
        <v>3414.44</v>
      </c>
      <c r="X12" s="45">
        <f>IFERROR(ROUND(M12*0.092903*VLOOKUP(F12,'_Products'!$A$1:$G$23,6,FALSE),0),0)</f>
        <v>306</v>
      </c>
      <c r="Y12" s="45">
        <f>IFERROR(ROUND(M12*0.092903*VLOOKUP(F12,'_Products'!$A$1:$G$23,7,FALSE),0),0)</f>
        <v>2271</v>
      </c>
      <c r="Z12" s="45">
        <f>Y12*3.412</f>
        <v>7749</v>
      </c>
    </row>
    <row r="13" spans="1:26" x14ac:dyDescent="0.25">
      <c r="A13" s="25" t="s">
        <v>64</v>
      </c>
      <c r="B13" s="48">
        <v>48</v>
      </c>
      <c r="C13" s="48">
        <v>14</v>
      </c>
      <c r="D13" t="s">
        <v>38</v>
      </c>
      <c r="E13" t="str">
        <f>IFERROR(VLOOKUP(F13,'_Products'!$A$1:$G$23,2,FALSE),"")</f>
        <v>LG/Yaham</v>
      </c>
      <c r="F13" t="s">
        <v>114</v>
      </c>
      <c r="G13" s="49">
        <f>IFERROR(VLOOKUP(F13,'_Products'!$A$1:$G$23,3,FALSE),0)</f>
        <v>2.5</v>
      </c>
      <c r="H13" s="48">
        <v>48</v>
      </c>
      <c r="I13" s="48">
        <v>14</v>
      </c>
      <c r="J13" s="50">
        <f>IFERROR(ROUND(H13*304.8/G13,0),0)</f>
        <v>5852</v>
      </c>
      <c r="K13" s="50">
        <f>IFERROR(ROUND(I13*304.8/G13,0),0)</f>
        <v>1707</v>
      </c>
      <c r="L13" s="51">
        <v>1</v>
      </c>
      <c r="M13" s="52">
        <f>H13*I13*L13</f>
        <v>672</v>
      </c>
      <c r="N13" s="53">
        <f>IFERROR(VLOOKUP(F13,'_Products'!$A$1:$G$23,5,FALSE),0)</f>
        <v>2000</v>
      </c>
      <c r="O13" s="53" t="s">
        <v>115</v>
      </c>
      <c r="P13" s="19">
        <f>IFERROR(VLOOKUP(F13,'_Products'!$A$1:$G$23,4,FALSE),0)</f>
        <v>291.44</v>
      </c>
      <c r="Q13" s="19">
        <f>P13*M13</f>
        <v>195846.34</v>
      </c>
      <c r="R13" s="19">
        <f>SUM('Bundle Equipment'!E60:E60)</f>
        <v>20803.2</v>
      </c>
      <c r="S13" s="19">
        <f>MAX(M13*10,500)</f>
        <v>6720</v>
      </c>
      <c r="T13" s="54">
        <f>Q13+R13+S13</f>
        <v>223369.54</v>
      </c>
      <c r="U13" s="26">
        <f>V$2</f>
        <v>0.15</v>
      </c>
      <c r="V13" s="54">
        <f>IFERROR(T13/(1-U13),0)</f>
        <v>262787.69</v>
      </c>
      <c r="W13" s="19">
        <f>V13-T13</f>
        <v>39418.15</v>
      </c>
      <c r="X13" s="52">
        <f>IFERROR(ROUND(M13*0.092903*VLOOKUP(F13,'_Products'!$A$1:$G$23,6,FALSE),0),0)</f>
        <v>3284</v>
      </c>
      <c r="Y13" s="52">
        <f>IFERROR(ROUND(M13*0.092903*VLOOKUP(F13,'_Products'!$A$1:$G$23,7,FALSE),0),0)</f>
        <v>24385</v>
      </c>
      <c r="Z13" s="52">
        <f>Y13*3.412</f>
        <v>83202</v>
      </c>
    </row>
    <row r="14" spans="1:26" x14ac:dyDescent="0.25">
      <c r="A14" s="40" t="s">
        <v>65</v>
      </c>
      <c r="B14" s="41">
        <v>65</v>
      </c>
      <c r="C14" s="41">
        <v>13</v>
      </c>
      <c r="D14" s="32" t="s">
        <v>38</v>
      </c>
      <c r="E14" s="32" t="str">
        <f>IFERROR(VLOOKUP(F14,'_Products'!$A$1:$G$23,2,FALSE),"")</f>
        <v>LG/Yaham</v>
      </c>
      <c r="F14" s="32" t="s">
        <v>114</v>
      </c>
      <c r="G14" s="42">
        <f>IFERROR(VLOOKUP(F14,'_Products'!$A$1:$G$23,3,FALSE),0)</f>
        <v>2.5</v>
      </c>
      <c r="H14" s="41">
        <v>65</v>
      </c>
      <c r="I14" s="41">
        <v>13</v>
      </c>
      <c r="J14" s="43">
        <f>IFERROR(ROUND(H14*304.8/G14,0),0)</f>
        <v>7925</v>
      </c>
      <c r="K14" s="43">
        <f>IFERROR(ROUND(I14*304.8/G14,0),0)</f>
        <v>1585</v>
      </c>
      <c r="L14" s="44">
        <v>1</v>
      </c>
      <c r="M14" s="45">
        <f>H14*I14*L14</f>
        <v>845</v>
      </c>
      <c r="N14" s="46">
        <f>IFERROR(VLOOKUP(F14,'_Products'!$A$1:$G$23,5,FALSE),0)</f>
        <v>2000</v>
      </c>
      <c r="O14" s="46" t="s">
        <v>115</v>
      </c>
      <c r="P14" s="33">
        <f>IFERROR(VLOOKUP(F14,'_Products'!$A$1:$G$23,4,FALSE),0)</f>
        <v>291.44</v>
      </c>
      <c r="Q14" s="33">
        <f>P14*M14</f>
        <v>246265.11</v>
      </c>
      <c r="R14" s="33">
        <f>SUM('Bundle Equipment'!E66:E66)</f>
        <v>29307</v>
      </c>
      <c r="S14" s="33">
        <f>MAX(M14*10,500)</f>
        <v>8450</v>
      </c>
      <c r="T14" s="47">
        <f>Q14+R14+S14</f>
        <v>284022.11</v>
      </c>
      <c r="U14" s="34">
        <f>V$2</f>
        <v>0.15</v>
      </c>
      <c r="V14" s="47">
        <f>IFERROR(T14/(1-U14),0)</f>
        <v>334143.66</v>
      </c>
      <c r="W14" s="33">
        <f>V14-T14</f>
        <v>50121.55</v>
      </c>
      <c r="X14" s="45">
        <f>IFERROR(ROUND(M14*0.092903*VLOOKUP(F14,'_Products'!$A$1:$G$23,6,FALSE),0),0)</f>
        <v>4129</v>
      </c>
      <c r="Y14" s="45">
        <f>IFERROR(ROUND(M14*0.092903*VLOOKUP(F14,'_Products'!$A$1:$G$23,7,FALSE),0),0)</f>
        <v>30663</v>
      </c>
      <c r="Z14" s="45">
        <f>Y14*3.412</f>
        <v>104622</v>
      </c>
    </row>
    <row r="16" spans="1:26" x14ac:dyDescent="0.25">
      <c r="A16" s="55" t="s">
        <v>116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6">
        <f>SUM(M4:M14)</f>
        <v>6333.2</v>
      </c>
      <c r="N16" s="55"/>
      <c r="O16" s="55"/>
      <c r="P16" s="55"/>
      <c r="Q16" s="57">
        <f>SUM(Q4:Q14)</f>
        <v>1845717.6700000002</v>
      </c>
      <c r="R16" s="57">
        <f>SUM(R4:R14)</f>
        <v>162049.90999999997</v>
      </c>
      <c r="S16" s="57">
        <f>SUM(S4:S14)</f>
        <v>63331.99999999999</v>
      </c>
      <c r="T16" s="57">
        <f>SUM(T4:T14)</f>
        <v>2071099.5799999996</v>
      </c>
      <c r="U16" s="58">
        <f>IFERROR(1-T16/V16,0)</f>
        <v>0.15</v>
      </c>
      <c r="V16" s="57">
        <f>SUM(V4:V14)</f>
        <v>2436587.74</v>
      </c>
      <c r="W16" s="57">
        <f>SUM(W4:W14)</f>
        <v>365488.16</v>
      </c>
      <c r="X16" s="56">
        <f>SUM(X4:X14)</f>
        <v>86745</v>
      </c>
      <c r="Y16" s="56">
        <f>SUM(Y4:Y14)</f>
        <v>786800</v>
      </c>
      <c r="Z16" s="56">
        <f>SUM(Z4:Z14)</f>
        <v>2684562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14">
      <formula1>'_Products'!$A$1:$A$23</formula1>
    </dataValidation>
    <dataValidation type="list" allowBlank="1" showErrorMessage="1" errorTitle="Invalid Product" error="Select a product from the dropdown list" sqref="F4:F14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389</v>
      </c>
      <c r="B1" t="s">
        <v>390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391</v>
      </c>
      <c r="B2" t="s">
        <v>392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393</v>
      </c>
      <c r="B3" t="s">
        <v>390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394</v>
      </c>
      <c r="B4" t="s">
        <v>395</v>
      </c>
      <c r="C4">
        <v>1.2</v>
      </c>
      <c r="D4">
        <v>430</v>
      </c>
      <c r="E4">
        <v>2000</v>
      </c>
      <c r="F4">
        <v>55</v>
      </c>
      <c r="G4">
        <v>590</v>
      </c>
    </row>
    <row r="5" spans="1:7" x14ac:dyDescent="0.25">
      <c r="A5" t="s">
        <v>396</v>
      </c>
      <c r="B5" t="s">
        <v>395</v>
      </c>
      <c r="C5">
        <v>1.8</v>
      </c>
      <c r="D5">
        <v>0</v>
      </c>
      <c r="E5">
        <v>2000</v>
      </c>
      <c r="F5">
        <v>55</v>
      </c>
      <c r="G5">
        <v>540</v>
      </c>
    </row>
    <row r="6" spans="1:7" x14ac:dyDescent="0.25">
      <c r="A6" t="s">
        <v>397</v>
      </c>
      <c r="B6" t="s">
        <v>398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399</v>
      </c>
      <c r="B7" t="s">
        <v>398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400</v>
      </c>
      <c r="B8" t="s">
        <v>398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401</v>
      </c>
      <c r="B9" t="s">
        <v>398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402</v>
      </c>
      <c r="B10" t="s">
        <v>395</v>
      </c>
      <c r="C10">
        <v>3.9</v>
      </c>
      <c r="D10">
        <v>0</v>
      </c>
      <c r="E10">
        <v>6000</v>
      </c>
      <c r="F10">
        <v>33.07</v>
      </c>
      <c r="G10">
        <v>600</v>
      </c>
    </row>
    <row r="11" spans="1:7" x14ac:dyDescent="0.25">
      <c r="A11" t="s">
        <v>403</v>
      </c>
      <c r="B11" t="s">
        <v>404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405</v>
      </c>
      <c r="B12" t="s">
        <v>404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406</v>
      </c>
      <c r="B13" t="s">
        <v>404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407</v>
      </c>
      <c r="B14" t="s">
        <v>404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408</v>
      </c>
      <c r="B15" t="s">
        <v>404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409</v>
      </c>
      <c r="B16" t="s">
        <v>404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410</v>
      </c>
      <c r="B17" t="s">
        <v>404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411</v>
      </c>
      <c r="B18" t="s">
        <v>404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412</v>
      </c>
      <c r="B19" t="s">
        <v>404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413</v>
      </c>
      <c r="B20" t="s">
        <v>404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414</v>
      </c>
      <c r="B21" t="s">
        <v>404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415</v>
      </c>
      <c r="B22" t="s">
        <v>404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416</v>
      </c>
      <c r="B23" t="s">
        <v>404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15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9" t="s">
        <v>119</v>
      </c>
      <c r="B4" s="59" t="s">
        <v>102</v>
      </c>
      <c r="C4" s="59" t="s">
        <v>120</v>
      </c>
      <c r="D4" s="59" t="s">
        <v>121</v>
      </c>
      <c r="E4" s="59" t="s">
        <v>122</v>
      </c>
      <c r="F4" s="59" t="s">
        <v>123</v>
      </c>
      <c r="G4" s="59" t="s">
        <v>124</v>
      </c>
      <c r="H4" s="59" t="s">
        <v>125</v>
      </c>
      <c r="I4" s="59" t="s">
        <v>126</v>
      </c>
      <c r="J4" s="59" t="s">
        <v>105</v>
      </c>
      <c r="K4" s="59" t="s">
        <v>13</v>
      </c>
      <c r="L4" s="59" t="s">
        <v>111</v>
      </c>
      <c r="M4" s="59" t="s">
        <v>112</v>
      </c>
      <c r="N4" s="59" t="s">
        <v>127</v>
      </c>
      <c r="O4" s="59" t="s">
        <v>113</v>
      </c>
    </row>
    <row r="5" spans="1:15" x14ac:dyDescent="0.25">
      <c r="A5" s="32" t="str">
        <f>'LED Cost Sheet'!A4</f>
        <v>Underpass 3 — Underpass 1-4, WTC</v>
      </c>
      <c r="B5" s="32">
        <f>'LED Cost Sheet'!I4</f>
        <v>1</v>
      </c>
      <c r="C5" s="32" t="str">
        <f>'LED Cost Sheet'!D4</f>
        <v>2.5mm</v>
      </c>
      <c r="D5" s="32">
        <f>'LED Cost Sheet'!E4</f>
        <v>7.48</v>
      </c>
      <c r="E5" s="32">
        <f>'LED Cost Sheet'!F4</f>
        <v>29.92</v>
      </c>
      <c r="F5" s="32">
        <f>'LED Cost Sheet'!G4</f>
        <v>912</v>
      </c>
      <c r="G5" s="32">
        <f>'LED Cost Sheet'!H4</f>
        <v>3648</v>
      </c>
      <c r="H5" s="45">
        <f>D5*E5*B5</f>
        <v>223.8</v>
      </c>
      <c r="I5" s="32" t="str">
        <f>'LED Cost Sheet'!K4</f>
        <v/>
      </c>
      <c r="J5" s="32" t="str">
        <f>'LED Cost Sheet'!L4</f>
        <v>front</v>
      </c>
      <c r="K5" s="32" t="s">
        <v>128</v>
      </c>
      <c r="L5" s="45">
        <f>'LED Cost Sheet'!U4</f>
        <v>1094</v>
      </c>
      <c r="M5" s="45">
        <f>'LED Cost Sheet'!V4</f>
        <v>8121</v>
      </c>
      <c r="N5" s="60">
        <f>IFERROR((F5*G5*B5)/400000,0)</f>
        <v>8.32</v>
      </c>
      <c r="O5" s="45">
        <f>'LED Cost Sheet'!W4</f>
        <v>27709</v>
      </c>
    </row>
    <row r="6" spans="1:15" x14ac:dyDescent="0.25">
      <c r="A6" t="str">
        <f>'LED Cost Sheet'!A5</f>
        <v>Underpass 4 — Underpass 1-4, WTC</v>
      </c>
      <c r="B6">
        <f>'LED Cost Sheet'!I5</f>
        <v>1</v>
      </c>
      <c r="C6" t="str">
        <f>'LED Cost Sheet'!D5</f>
        <v>2.5mm</v>
      </c>
      <c r="D6">
        <f>'LED Cost Sheet'!E5</f>
        <v>12.6</v>
      </c>
      <c r="E6">
        <f>'LED Cost Sheet'!F5</f>
        <v>29.92</v>
      </c>
      <c r="F6">
        <f>'LED Cost Sheet'!G5</f>
        <v>1536</v>
      </c>
      <c r="G6">
        <f>'LED Cost Sheet'!H5</f>
        <v>3648</v>
      </c>
      <c r="H6" s="52">
        <f>D6*E6*B6</f>
        <v>376.99</v>
      </c>
      <c r="I6" t="str">
        <f>'LED Cost Sheet'!K5</f>
        <v/>
      </c>
      <c r="J6" t="str">
        <f>'LED Cost Sheet'!L5</f>
        <v>front</v>
      </c>
      <c r="K6" t="s">
        <v>128</v>
      </c>
      <c r="L6" s="52">
        <f>'LED Cost Sheet'!U5</f>
        <v>1842</v>
      </c>
      <c r="M6" s="52">
        <f>'LED Cost Sheet'!V5</f>
        <v>13680</v>
      </c>
      <c r="N6" s="61">
        <f>IFERROR((F6*G6*B6)/400000,0)</f>
        <v>14.01</v>
      </c>
      <c r="O6" s="52">
        <f>'LED Cost Sheet'!W5</f>
        <v>46676</v>
      </c>
    </row>
    <row r="7" spans="1:15" x14ac:dyDescent="0.25">
      <c r="A7" s="32" t="str">
        <f>'LED Cost Sheet'!A6</f>
        <v>Concourse — Concourse, WTC</v>
      </c>
      <c r="B7" s="32">
        <f>'LED Cost Sheet'!I6</f>
        <v>1</v>
      </c>
      <c r="C7" s="32" t="str">
        <f>'LED Cost Sheet'!D6</f>
        <v>2.5mm</v>
      </c>
      <c r="D7" s="32">
        <f>'LED Cost Sheet'!E6</f>
        <v>9.45</v>
      </c>
      <c r="E7" s="32">
        <f>'LED Cost Sheet'!F6</f>
        <v>280.31</v>
      </c>
      <c r="F7" s="32">
        <f>'LED Cost Sheet'!G6</f>
        <v>1152</v>
      </c>
      <c r="G7" s="32">
        <f>'LED Cost Sheet'!H6</f>
        <v>34175</v>
      </c>
      <c r="H7" s="45">
        <f>D7*E7*B7</f>
        <v>2648.93</v>
      </c>
      <c r="I7" s="32" t="str">
        <f>'LED Cost Sheet'!K6</f>
        <v/>
      </c>
      <c r="J7" s="32" t="str">
        <f>'LED Cost Sheet'!L6</f>
        <v>front</v>
      </c>
      <c r="K7" s="32" t="s">
        <v>128</v>
      </c>
      <c r="L7" s="45">
        <f>'LED Cost Sheet'!U6</f>
        <v>12945</v>
      </c>
      <c r="M7" s="45">
        <f>'LED Cost Sheet'!V6</f>
        <v>96124</v>
      </c>
      <c r="N7" s="60">
        <f>IFERROR((F7*G7*B7)/400000,0)</f>
        <v>98.42</v>
      </c>
      <c r="O7" s="45">
        <f>'LED Cost Sheet'!W6</f>
        <v>327975</v>
      </c>
    </row>
    <row r="8" spans="1:15" x14ac:dyDescent="0.25">
      <c r="A8" t="str">
        <f>'LED Cost Sheet'!A7</f>
        <v>T4-B1 (6-9) — T4-B1, WTC</v>
      </c>
      <c r="B8">
        <f>'LED Cost Sheet'!I7</f>
        <v>4</v>
      </c>
      <c r="C8" t="str">
        <f>'LED Cost Sheet'!D7</f>
        <v>2.5mm</v>
      </c>
      <c r="D8">
        <f>'LED Cost Sheet'!E7</f>
        <v>7.87</v>
      </c>
      <c r="E8">
        <f>'LED Cost Sheet'!F7</f>
        <v>8.66</v>
      </c>
      <c r="F8">
        <f>'LED Cost Sheet'!G7</f>
        <v>960</v>
      </c>
      <c r="G8">
        <f>'LED Cost Sheet'!H7</f>
        <v>1056</v>
      </c>
      <c r="H8" s="52">
        <f>D8*E8*B8</f>
        <v>272.62</v>
      </c>
      <c r="I8" t="str">
        <f>'LED Cost Sheet'!K7</f>
        <v/>
      </c>
      <c r="J8" t="str">
        <f>'LED Cost Sheet'!L7</f>
        <v>front</v>
      </c>
      <c r="K8" t="s">
        <v>128</v>
      </c>
      <c r="L8" s="52">
        <f>'LED Cost Sheet'!U7</f>
        <v>1332</v>
      </c>
      <c r="M8" s="52">
        <f>'LED Cost Sheet'!V7</f>
        <v>9893</v>
      </c>
      <c r="N8" s="61">
        <f>IFERROR((F8*G8*B8)/400000,0)</f>
        <v>10.14</v>
      </c>
      <c r="O8" s="52">
        <f>'LED Cost Sheet'!W7</f>
        <v>33755</v>
      </c>
    </row>
    <row r="9" spans="1:15" x14ac:dyDescent="0.25">
      <c r="A9" s="32" t="str">
        <f>'LED Cost Sheet'!A8</f>
        <v>T4-B2 (10-18) — T4-B2, WTC</v>
      </c>
      <c r="B9" s="32">
        <f>'LED Cost Sheet'!I8</f>
        <v>9</v>
      </c>
      <c r="C9" s="32" t="str">
        <f>'LED Cost Sheet'!D8</f>
        <v>2.5mm</v>
      </c>
      <c r="D9" s="32">
        <f>'LED Cost Sheet'!E8</f>
        <v>7.87</v>
      </c>
      <c r="E9" s="32">
        <f>'LED Cost Sheet'!F8</f>
        <v>8.66</v>
      </c>
      <c r="F9" s="32">
        <f>'LED Cost Sheet'!G8</f>
        <v>960</v>
      </c>
      <c r="G9" s="32">
        <f>'LED Cost Sheet'!H8</f>
        <v>1056</v>
      </c>
      <c r="H9" s="45">
        <f>D9*E9*B9</f>
        <v>613.39</v>
      </c>
      <c r="I9" s="32" t="str">
        <f>'LED Cost Sheet'!K8</f>
        <v/>
      </c>
      <c r="J9" s="32" t="str">
        <f>'LED Cost Sheet'!L8</f>
        <v>front</v>
      </c>
      <c r="K9" s="32" t="s">
        <v>128</v>
      </c>
      <c r="L9" s="45">
        <f>'LED Cost Sheet'!U8</f>
        <v>2997</v>
      </c>
      <c r="M9" s="45">
        <f>'LED Cost Sheet'!V8</f>
        <v>22259</v>
      </c>
      <c r="N9" s="60">
        <f>IFERROR((F9*G9*B9)/400000,0)</f>
        <v>22.81</v>
      </c>
      <c r="O9" s="45">
        <f>'LED Cost Sheet'!W8</f>
        <v>75948</v>
      </c>
    </row>
    <row r="10" spans="1:15" x14ac:dyDescent="0.25">
      <c r="A10" t="str">
        <f>'LED Cost Sheet'!A9</f>
        <v>T4 Lobby Elevator — T4 Lobby Elevator, WTC</v>
      </c>
      <c r="B10">
        <f>'LED Cost Sheet'!I9</f>
        <v>1</v>
      </c>
      <c r="C10" t="str">
        <f>'LED Cost Sheet'!D9</f>
        <v>2.5mm</v>
      </c>
      <c r="D10">
        <f>'LED Cost Sheet'!E9</f>
        <v>71.6</v>
      </c>
      <c r="E10">
        <f>'LED Cost Sheet'!F9</f>
        <v>5.5</v>
      </c>
      <c r="F10">
        <f>'LED Cost Sheet'!G9</f>
        <v>8729</v>
      </c>
      <c r="G10">
        <f>'LED Cost Sheet'!H9</f>
        <v>671</v>
      </c>
      <c r="H10" s="52">
        <f>D10*E10*B10</f>
        <v>393.8</v>
      </c>
      <c r="I10" t="str">
        <f>'LED Cost Sheet'!K9</f>
        <v/>
      </c>
      <c r="J10" t="str">
        <f>'LED Cost Sheet'!L9</f>
        <v>front</v>
      </c>
      <c r="K10" t="s">
        <v>128</v>
      </c>
      <c r="L10" s="52">
        <f>'LED Cost Sheet'!U9</f>
        <v>1924</v>
      </c>
      <c r="M10" s="52">
        <f>'LED Cost Sheet'!V9</f>
        <v>14290</v>
      </c>
      <c r="N10" s="61">
        <f>IFERROR((F10*G10*B10)/400000,0)</f>
        <v>14.64</v>
      </c>
      <c r="O10" s="52">
        <f>'LED Cost Sheet'!W9</f>
        <v>48757</v>
      </c>
    </row>
    <row r="11" spans="1:15" x14ac:dyDescent="0.25">
      <c r="A11" s="32" t="str">
        <f>'LED Cost Sheet'!A10</f>
        <v>T2-B1M Screen 20 — T2-B1M, WTC</v>
      </c>
      <c r="B11" s="32">
        <f>'LED Cost Sheet'!I10</f>
        <v>1</v>
      </c>
      <c r="C11" s="32" t="str">
        <f>'LED Cost Sheet'!D10</f>
        <v>2.5mm</v>
      </c>
      <c r="D11" s="32">
        <f>'LED Cost Sheet'!E10</f>
        <v>7.91</v>
      </c>
      <c r="E11" s="32">
        <f>'LED Cost Sheet'!F10</f>
        <v>16.5</v>
      </c>
      <c r="F11" s="32">
        <f>'LED Cost Sheet'!G10</f>
        <v>964</v>
      </c>
      <c r="G11" s="32">
        <f>'LED Cost Sheet'!H10</f>
        <v>2012</v>
      </c>
      <c r="H11" s="45">
        <f>D11*E11*B11</f>
        <v>130.52</v>
      </c>
      <c r="I11" s="32" t="str">
        <f>'LED Cost Sheet'!K10</f>
        <v/>
      </c>
      <c r="J11" s="32" t="str">
        <f>'LED Cost Sheet'!L10</f>
        <v>front</v>
      </c>
      <c r="K11" s="32" t="s">
        <v>128</v>
      </c>
      <c r="L11" s="45">
        <f>'LED Cost Sheet'!U10</f>
        <v>638</v>
      </c>
      <c r="M11" s="45">
        <f>'LED Cost Sheet'!V10</f>
        <v>4736</v>
      </c>
      <c r="N11" s="60">
        <f>IFERROR((F11*G11*B11)/400000,0)</f>
        <v>4.85</v>
      </c>
      <c r="O11" s="45">
        <f>'LED Cost Sheet'!W10</f>
        <v>16159</v>
      </c>
    </row>
    <row r="12" spans="1:15" x14ac:dyDescent="0.25">
      <c r="A12" t="str">
        <f>'LED Cost Sheet'!A11</f>
        <v>T2-B1M Screen 21 — T2-B1M, WTC</v>
      </c>
      <c r="B12">
        <f>'LED Cost Sheet'!I11</f>
        <v>1</v>
      </c>
      <c r="C12" t="str">
        <f>'LED Cost Sheet'!D11</f>
        <v>2.5mm</v>
      </c>
      <c r="D12">
        <f>'LED Cost Sheet'!E11</f>
        <v>7.91</v>
      </c>
      <c r="E12">
        <f>'LED Cost Sheet'!F11</f>
        <v>11.83</v>
      </c>
      <c r="F12">
        <f>'LED Cost Sheet'!G11</f>
        <v>964</v>
      </c>
      <c r="G12">
        <f>'LED Cost Sheet'!H11</f>
        <v>1442</v>
      </c>
      <c r="H12" s="52">
        <f>D12*E12*B12</f>
        <v>93.58</v>
      </c>
      <c r="I12" t="str">
        <f>'LED Cost Sheet'!K11</f>
        <v/>
      </c>
      <c r="J12" t="str">
        <f>'LED Cost Sheet'!L11</f>
        <v>front</v>
      </c>
      <c r="K12" t="s">
        <v>128</v>
      </c>
      <c r="L12" s="52">
        <f>'LED Cost Sheet'!U11</f>
        <v>457</v>
      </c>
      <c r="M12" s="52">
        <f>'LED Cost Sheet'!V11</f>
        <v>3396</v>
      </c>
      <c r="N12" s="61">
        <f>IFERROR((F12*G12*B12)/400000,0)</f>
        <v>3.48</v>
      </c>
      <c r="O12" s="52">
        <f>'LED Cost Sheet'!W11</f>
        <v>11587</v>
      </c>
    </row>
    <row r="13" spans="1:15" x14ac:dyDescent="0.25">
      <c r="A13" s="32" t="str">
        <f>'LED Cost Sheet'!A12</f>
        <v>T2-B1M Screen 22 — T2-B1M, WTC</v>
      </c>
      <c r="B13" s="32">
        <f>'LED Cost Sheet'!I12</f>
        <v>1</v>
      </c>
      <c r="C13" s="32" t="str">
        <f>'LED Cost Sheet'!D12</f>
        <v>2.5mm</v>
      </c>
      <c r="D13" s="32">
        <f>'LED Cost Sheet'!E12</f>
        <v>7.91</v>
      </c>
      <c r="E13" s="32">
        <f>'LED Cost Sheet'!F12</f>
        <v>7.91</v>
      </c>
      <c r="F13" s="32">
        <f>'LED Cost Sheet'!G12</f>
        <v>964</v>
      </c>
      <c r="G13" s="32">
        <f>'LED Cost Sheet'!H12</f>
        <v>964</v>
      </c>
      <c r="H13" s="45">
        <f>D13*E13*B13</f>
        <v>62.57</v>
      </c>
      <c r="I13" s="32" t="str">
        <f>'LED Cost Sheet'!K12</f>
        <v/>
      </c>
      <c r="J13" s="32" t="str">
        <f>'LED Cost Sheet'!L12</f>
        <v>front</v>
      </c>
      <c r="K13" s="32" t="s">
        <v>128</v>
      </c>
      <c r="L13" s="45">
        <f>'LED Cost Sheet'!U12</f>
        <v>306</v>
      </c>
      <c r="M13" s="45">
        <f>'LED Cost Sheet'!V12</f>
        <v>2271</v>
      </c>
      <c r="N13" s="60">
        <f>IFERROR((F13*G13*B13)/400000,0)</f>
        <v>2.32</v>
      </c>
      <c r="O13" s="45">
        <f>'LED Cost Sheet'!W12</f>
        <v>7749</v>
      </c>
    </row>
    <row r="14" spans="1:15" x14ac:dyDescent="0.25">
      <c r="A14" t="str">
        <f>'LED Cost Sheet'!A13</f>
        <v>New Path Hall Option 1 — New Path Hall, WTC</v>
      </c>
      <c r="B14">
        <f>'LED Cost Sheet'!I13</f>
        <v>1</v>
      </c>
      <c r="C14" t="str">
        <f>'LED Cost Sheet'!D13</f>
        <v>2.5mm</v>
      </c>
      <c r="D14">
        <f>'LED Cost Sheet'!E13</f>
        <v>48</v>
      </c>
      <c r="E14">
        <f>'LED Cost Sheet'!F13</f>
        <v>14</v>
      </c>
      <c r="F14">
        <f>'LED Cost Sheet'!G13</f>
        <v>5852</v>
      </c>
      <c r="G14">
        <f>'LED Cost Sheet'!H13</f>
        <v>1707</v>
      </c>
      <c r="H14" s="52">
        <f>D14*E14*B14</f>
        <v>672</v>
      </c>
      <c r="I14" t="str">
        <f>'LED Cost Sheet'!K13</f>
        <v/>
      </c>
      <c r="J14" t="str">
        <f>'LED Cost Sheet'!L13</f>
        <v>front</v>
      </c>
      <c r="K14" t="s">
        <v>128</v>
      </c>
      <c r="L14" s="52">
        <f>'LED Cost Sheet'!U13</f>
        <v>3284</v>
      </c>
      <c r="M14" s="52">
        <f>'LED Cost Sheet'!V13</f>
        <v>24385</v>
      </c>
      <c r="N14" s="61">
        <f>IFERROR((F14*G14*B14)/400000,0)</f>
        <v>24.97</v>
      </c>
      <c r="O14" s="52">
        <f>'LED Cost Sheet'!W13</f>
        <v>83202</v>
      </c>
    </row>
    <row r="15" spans="1:15" x14ac:dyDescent="0.25">
      <c r="A15" s="32" t="str">
        <f>'LED Cost Sheet'!A14</f>
        <v>New Path Hall Option 2 — New Path Hall, WTC</v>
      </c>
      <c r="B15" s="32">
        <f>'LED Cost Sheet'!I14</f>
        <v>1</v>
      </c>
      <c r="C15" s="32" t="str">
        <f>'LED Cost Sheet'!D14</f>
        <v>2.5mm</v>
      </c>
      <c r="D15" s="32">
        <f>'LED Cost Sheet'!E14</f>
        <v>65</v>
      </c>
      <c r="E15" s="32">
        <f>'LED Cost Sheet'!F14</f>
        <v>13</v>
      </c>
      <c r="F15" s="32">
        <f>'LED Cost Sheet'!G14</f>
        <v>7925</v>
      </c>
      <c r="G15" s="32">
        <f>'LED Cost Sheet'!H14</f>
        <v>1585</v>
      </c>
      <c r="H15" s="45">
        <f>D15*E15*B15</f>
        <v>845</v>
      </c>
      <c r="I15" s="32" t="str">
        <f>'LED Cost Sheet'!K14</f>
        <v/>
      </c>
      <c r="J15" s="32" t="str">
        <f>'LED Cost Sheet'!L14</f>
        <v>front</v>
      </c>
      <c r="K15" s="32" t="s">
        <v>128</v>
      </c>
      <c r="L15" s="45">
        <f>'LED Cost Sheet'!U14</f>
        <v>4129</v>
      </c>
      <c r="M15" s="45">
        <f>'LED Cost Sheet'!V14</f>
        <v>30663</v>
      </c>
      <c r="N15" s="60">
        <f>IFERROR((F15*G15*B15)/400000,0)</f>
        <v>31.4</v>
      </c>
      <c r="O15" s="45">
        <f>'LED Cost Sheet'!W14</f>
        <v>104622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135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7.48</v>
      </c>
      <c r="C17" s="48">
        <v>29.92</v>
      </c>
      <c r="D17" s="64">
        <v>223.8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4102.5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4102.5</v>
      </c>
      <c r="J22" s="34">
        <f>$D$8</f>
        <v>0.15</v>
      </c>
      <c r="K22" s="33">
        <f>I22/(1-J22)</f>
        <v>4826.47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4102.5</v>
      </c>
      <c r="J26" s="67"/>
      <c r="K26" s="68">
        <f>SUM(K20:K25)</f>
        <v>4826.47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17093.75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17093.75</v>
      </c>
      <c r="J31" s="34">
        <f>$D$8</f>
        <v>0.15</v>
      </c>
      <c r="K31" s="33">
        <f>I31/(1-J31)</f>
        <v>20110.29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37976.1</v>
      </c>
      <c r="J35" s="67"/>
      <c r="K35" s="68">
        <f>SUM(K29:K34)</f>
        <v>44677.76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17093.75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17093.75</v>
      </c>
      <c r="J38" s="34">
        <f>$D$9</f>
        <v>0.15</v>
      </c>
      <c r="K38" s="33">
        <f>I38/(1-J38)</f>
        <v>20110.29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17093.75</v>
      </c>
      <c r="J44" s="67"/>
      <c r="K44" s="68">
        <f>SUM(K38:K43)</f>
        <v>20110.29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131924.34</v>
      </c>
      <c r="J54" s="27"/>
      <c r="K54" s="29">
        <f>K26+K35+K44+K52</f>
        <v>152572.17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172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12.6</v>
      </c>
      <c r="C17" s="48">
        <v>29.92</v>
      </c>
      <c r="D17" s="64">
        <v>376.99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6907.5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6907.5</v>
      </c>
      <c r="J22" s="34">
        <f>$D$8</f>
        <v>0.15</v>
      </c>
      <c r="K22" s="33">
        <f>I22/(1-J22)</f>
        <v>8126.47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6907.5</v>
      </c>
      <c r="J26" s="67"/>
      <c r="K26" s="68">
        <f>SUM(K20:K25)</f>
        <v>8126.47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28781.25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28781.25</v>
      </c>
      <c r="J31" s="34">
        <f>$D$8</f>
        <v>0.15</v>
      </c>
      <c r="K31" s="33">
        <f>I31/(1-J31)</f>
        <v>33860.29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49663.6</v>
      </c>
      <c r="J35" s="67"/>
      <c r="K35" s="68">
        <f>SUM(K29:K34)</f>
        <v>58427.76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28781.25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28781.25</v>
      </c>
      <c r="J38" s="34">
        <f>$D$9</f>
        <v>0.15</v>
      </c>
      <c r="K38" s="33">
        <f>I38/(1-J38)</f>
        <v>33860.29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28781.25</v>
      </c>
      <c r="J44" s="67"/>
      <c r="K44" s="68">
        <f>SUM(K38:K43)</f>
        <v>33860.29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224323.53</v>
      </c>
      <c r="J54" s="27"/>
      <c r="K54" s="29">
        <f>K26+K35+K44+K52</f>
        <v>259474.86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173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9.45</v>
      </c>
      <c r="C17" s="48">
        <v>280.31</v>
      </c>
      <c r="D17" s="64">
        <v>2648.93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48536.25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48536.25</v>
      </c>
      <c r="J22" s="34">
        <f>$D$8</f>
        <v>0.15</v>
      </c>
      <c r="K22" s="33">
        <f>I22/(1-J22)</f>
        <v>57101.47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48536.25</v>
      </c>
      <c r="J26" s="67"/>
      <c r="K26" s="68">
        <f>SUM(K20:K25)</f>
        <v>57101.47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202234.38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202234.38</v>
      </c>
      <c r="J31" s="34">
        <f>$D$8</f>
        <v>0.15</v>
      </c>
      <c r="K31" s="33">
        <f>I31/(1-J31)</f>
        <v>237922.8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223116.73</v>
      </c>
      <c r="J35" s="67"/>
      <c r="K35" s="68">
        <f>SUM(K29:K34)</f>
        <v>262490.27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202234.38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202234.38</v>
      </c>
      <c r="J38" s="34">
        <f>$D$9</f>
        <v>0.15</v>
      </c>
      <c r="K38" s="33">
        <f>I38/(1-J38)</f>
        <v>237922.8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202234.38</v>
      </c>
      <c r="J44" s="67"/>
      <c r="K44" s="68">
        <f>SUM(K38:K43)</f>
        <v>237922.8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1324270.76</v>
      </c>
      <c r="J54" s="27"/>
      <c r="K54" s="29">
        <f>K26+K35+K44+K52</f>
        <v>1526801.71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174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7.87</v>
      </c>
      <c r="C17" s="48">
        <v>8.66</v>
      </c>
      <c r="D17" s="64">
        <v>272.62</v>
      </c>
      <c r="E17">
        <v>4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4995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4995</v>
      </c>
      <c r="J22" s="34">
        <f>$D$8</f>
        <v>0.15</v>
      </c>
      <c r="K22" s="33">
        <f>I22/(1-J22)</f>
        <v>5876.47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4995</v>
      </c>
      <c r="J26" s="67"/>
      <c r="K26" s="68">
        <f>SUM(K20:K25)</f>
        <v>5876.47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20812.5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20812.5</v>
      </c>
      <c r="J31" s="34">
        <f>$D$8</f>
        <v>0.15</v>
      </c>
      <c r="K31" s="33">
        <f>I31/(1-J31)</f>
        <v>24485.29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41694.85</v>
      </c>
      <c r="J35" s="67"/>
      <c r="K35" s="68">
        <f>SUM(K29:K34)</f>
        <v>49052.76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20812.5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20812.5</v>
      </c>
      <c r="J38" s="34">
        <f>$D$9</f>
        <v>0.15</v>
      </c>
      <c r="K38" s="33">
        <f>I38/(1-J38)</f>
        <v>24485.29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20812.5</v>
      </c>
      <c r="J44" s="67"/>
      <c r="K44" s="68">
        <f>SUM(K38:K43)</f>
        <v>24485.29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154994</v>
      </c>
      <c r="J54" s="27"/>
      <c r="K54" s="29">
        <f>K26+K35+K44+K52</f>
        <v>179138.59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175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7.87</v>
      </c>
      <c r="C17" s="48">
        <v>8.66</v>
      </c>
      <c r="D17" s="64">
        <v>613.39</v>
      </c>
      <c r="E17">
        <v>9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11238.75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11238.75</v>
      </c>
      <c r="J22" s="34">
        <f>$D$8</f>
        <v>0.15</v>
      </c>
      <c r="K22" s="33">
        <f>I22/(1-J22)</f>
        <v>13222.06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11238.75</v>
      </c>
      <c r="J26" s="67"/>
      <c r="K26" s="68">
        <f>SUM(K20:K25)</f>
        <v>13222.06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46828.13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46828.13</v>
      </c>
      <c r="J31" s="34">
        <f>$D$8</f>
        <v>0.15</v>
      </c>
      <c r="K31" s="33">
        <f>I31/(1-J31)</f>
        <v>55091.92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67710.48</v>
      </c>
      <c r="J35" s="67"/>
      <c r="K35" s="68">
        <f>SUM(K29:K34)</f>
        <v>79659.39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46828.13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46828.13</v>
      </c>
      <c r="J38" s="34">
        <f>$D$9</f>
        <v>0.15</v>
      </c>
      <c r="K38" s="33">
        <f>I38/(1-J38)</f>
        <v>55091.92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46828.13</v>
      </c>
      <c r="J44" s="67"/>
      <c r="K44" s="68">
        <f>SUM(K38:K43)</f>
        <v>55091.92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336138.67</v>
      </c>
      <c r="J54" s="27"/>
      <c r="K54" s="29">
        <f>K26+K35+K44+K52</f>
        <v>388240.91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176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71.6</v>
      </c>
      <c r="C17" s="48">
        <v>5.5</v>
      </c>
      <c r="D17" s="64">
        <v>393.8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7222.5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7222.5</v>
      </c>
      <c r="J22" s="34">
        <f>$D$8</f>
        <v>0.15</v>
      </c>
      <c r="K22" s="33">
        <f>I22/(1-J22)</f>
        <v>8497.06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7222.5</v>
      </c>
      <c r="J26" s="67"/>
      <c r="K26" s="68">
        <f>SUM(K20:K25)</f>
        <v>8497.06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30093.75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30093.75</v>
      </c>
      <c r="J31" s="34">
        <f>$D$8</f>
        <v>0.15</v>
      </c>
      <c r="K31" s="33">
        <f>I31/(1-J31)</f>
        <v>35404.41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50976.1</v>
      </c>
      <c r="J35" s="67"/>
      <c r="K35" s="68">
        <f>SUM(K29:K34)</f>
        <v>59971.88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30093.75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30093.75</v>
      </c>
      <c r="J38" s="34">
        <f>$D$9</f>
        <v>0.15</v>
      </c>
      <c r="K38" s="33">
        <f>I38/(1-J38)</f>
        <v>35404.41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30093.75</v>
      </c>
      <c r="J44" s="67"/>
      <c r="K44" s="68">
        <f>SUM(K38:K43)</f>
        <v>35404.41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232340.8</v>
      </c>
      <c r="J54" s="27"/>
      <c r="K54" s="29">
        <f>K26+K35+K44+K52</f>
        <v>268709.18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177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7.91</v>
      </c>
      <c r="C17" s="48">
        <v>16.5</v>
      </c>
      <c r="D17" s="64">
        <v>130.52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2392.5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2392.5</v>
      </c>
      <c r="J22" s="34">
        <f>$D$8</f>
        <v>0.15</v>
      </c>
      <c r="K22" s="33">
        <f>I22/(1-J22)</f>
        <v>2814.71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2392.5</v>
      </c>
      <c r="J26" s="67"/>
      <c r="K26" s="68">
        <f>SUM(K20:K25)</f>
        <v>2814.71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9968.75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9968.75</v>
      </c>
      <c r="J31" s="34">
        <f>$D$8</f>
        <v>0.15</v>
      </c>
      <c r="K31" s="33">
        <f>I31/(1-J31)</f>
        <v>11727.94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30851.1</v>
      </c>
      <c r="J35" s="67"/>
      <c r="K35" s="68">
        <f>SUM(K29:K34)</f>
        <v>36295.41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9968.75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9968.75</v>
      </c>
      <c r="J38" s="34">
        <f>$D$9</f>
        <v>0.15</v>
      </c>
      <c r="K38" s="33">
        <f>I38/(1-J38)</f>
        <v>11727.94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9968.75</v>
      </c>
      <c r="J44" s="67"/>
      <c r="K44" s="68">
        <f>SUM(K38:K43)</f>
        <v>11727.94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87790.23</v>
      </c>
      <c r="J54" s="27"/>
      <c r="K54" s="29">
        <f>K26+K35+K44+K52</f>
        <v>101747.09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178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7.91</v>
      </c>
      <c r="C17" s="48">
        <v>11.83</v>
      </c>
      <c r="D17" s="64">
        <v>93.58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1713.75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1713.75</v>
      </c>
      <c r="J22" s="34">
        <f>$D$8</f>
        <v>0.15</v>
      </c>
      <c r="K22" s="33">
        <f>I22/(1-J22)</f>
        <v>2016.18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1713.75</v>
      </c>
      <c r="J26" s="67"/>
      <c r="K26" s="68">
        <f>SUM(K20:K25)</f>
        <v>2016.18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7140.63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7140.63</v>
      </c>
      <c r="J31" s="34">
        <f>$D$8</f>
        <v>0.15</v>
      </c>
      <c r="K31" s="33">
        <f>I31/(1-J31)</f>
        <v>8400.74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28022.98</v>
      </c>
      <c r="J35" s="67"/>
      <c r="K35" s="68">
        <f>SUM(K29:K34)</f>
        <v>32968.21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7140.63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7140.63</v>
      </c>
      <c r="J38" s="34">
        <f>$D$9</f>
        <v>0.15</v>
      </c>
      <c r="K38" s="33">
        <f>I38/(1-J38)</f>
        <v>8400.74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7140.63</v>
      </c>
      <c r="J44" s="67"/>
      <c r="K44" s="68">
        <f>SUM(K38:K43)</f>
        <v>8400.74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70297.95</v>
      </c>
      <c r="J54" s="27"/>
      <c r="K54" s="29">
        <f>K26+K35+K44+K52</f>
        <v>81602.53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179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7.91</v>
      </c>
      <c r="C17" s="48">
        <v>7.91</v>
      </c>
      <c r="D17" s="64">
        <v>62.57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1147.5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1147.5</v>
      </c>
      <c r="J22" s="34">
        <f>$D$8</f>
        <v>0.15</v>
      </c>
      <c r="K22" s="33">
        <f>I22/(1-J22)</f>
        <v>1350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1147.5</v>
      </c>
      <c r="J26" s="67"/>
      <c r="K26" s="68">
        <f>SUM(K20:K25)</f>
        <v>1350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4781.25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4781.25</v>
      </c>
      <c r="J31" s="34">
        <f>$D$8</f>
        <v>0.15</v>
      </c>
      <c r="K31" s="33">
        <f>I31/(1-J31)</f>
        <v>5625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25663.6</v>
      </c>
      <c r="J35" s="67"/>
      <c r="K35" s="68">
        <f>SUM(K29:K34)</f>
        <v>30192.47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4781.25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4781.25</v>
      </c>
      <c r="J38" s="34">
        <f>$D$9</f>
        <v>0.15</v>
      </c>
      <c r="K38" s="33">
        <f>I38/(1-J38)</f>
        <v>5625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4781.25</v>
      </c>
      <c r="J44" s="67"/>
      <c r="K44" s="68">
        <f>SUM(K38:K43)</f>
        <v>5625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55646.75</v>
      </c>
      <c r="J54" s="27"/>
      <c r="K54" s="29">
        <f>K26+K35+K44+K52</f>
        <v>64730.65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180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48</v>
      </c>
      <c r="C17" s="48">
        <v>14</v>
      </c>
      <c r="D17" s="64">
        <v>672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12315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12315</v>
      </c>
      <c r="J22" s="34">
        <f>$D$8</f>
        <v>0.15</v>
      </c>
      <c r="K22" s="33">
        <f>I22/(1-J22)</f>
        <v>14488.24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12315</v>
      </c>
      <c r="J26" s="67"/>
      <c r="K26" s="68">
        <f>SUM(K20:K25)</f>
        <v>14488.24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51312.5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51312.5</v>
      </c>
      <c r="J31" s="34">
        <f>$D$8</f>
        <v>0.15</v>
      </c>
      <c r="K31" s="33">
        <f>I31/(1-J31)</f>
        <v>60367.65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72194.85</v>
      </c>
      <c r="J35" s="67"/>
      <c r="K35" s="68">
        <f>SUM(K29:K34)</f>
        <v>84935.12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51312.5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51312.5</v>
      </c>
      <c r="J38" s="34">
        <f>$D$9</f>
        <v>0.15</v>
      </c>
      <c r="K38" s="33">
        <f>I38/(1-J38)</f>
        <v>60367.65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51312.5</v>
      </c>
      <c r="J44" s="67"/>
      <c r="K44" s="68">
        <f>SUM(K38:K43)</f>
        <v>60367.65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363897.77</v>
      </c>
      <c r="J54" s="27"/>
      <c r="K54" s="29">
        <f>K26+K35+K44+K52</f>
        <v>420209.14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2" t="s">
        <v>129</v>
      </c>
    </row>
    <row r="4" spans="1:1" x14ac:dyDescent="0.25">
      <c r="A4" s="14" t="s">
        <v>10</v>
      </c>
    </row>
    <row r="5" spans="1:1" x14ac:dyDescent="0.25">
      <c r="A5" s="14" t="s">
        <v>130</v>
      </c>
    </row>
    <row r="7" spans="3:3" x14ac:dyDescent="0.25">
      <c r="C7" s="25" t="s">
        <v>131</v>
      </c>
    </row>
    <row r="8" spans="3:4" x14ac:dyDescent="0.25">
      <c r="C8" t="s">
        <v>132</v>
      </c>
      <c r="D8" s="20">
        <v>0.15</v>
      </c>
    </row>
    <row r="9" spans="3:4" x14ac:dyDescent="0.25">
      <c r="C9" t="s">
        <v>133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134</v>
      </c>
      <c r="D11" s="20">
        <v>0.15</v>
      </c>
    </row>
    <row r="15" spans="2:2" x14ac:dyDescent="0.25">
      <c r="B15" s="63" t="s">
        <v>181</v>
      </c>
    </row>
    <row r="16" spans="2:5" x14ac:dyDescent="0.25">
      <c r="B16" s="4" t="s">
        <v>136</v>
      </c>
      <c r="C16" s="4" t="s">
        <v>137</v>
      </c>
      <c r="D16" s="4" t="s">
        <v>138</v>
      </c>
      <c r="E16" s="4" t="s">
        <v>139</v>
      </c>
    </row>
    <row r="17" spans="2:5" x14ac:dyDescent="0.25">
      <c r="B17" s="48">
        <v>65</v>
      </c>
      <c r="C17" s="48">
        <v>13</v>
      </c>
      <c r="D17" s="64">
        <v>845</v>
      </c>
      <c r="E17">
        <v>1</v>
      </c>
    </row>
    <row r="19" ht="24" customHeight="1" spans="1:11" x14ac:dyDescent="0.25">
      <c r="A19" s="24" t="s">
        <v>38</v>
      </c>
      <c r="B19" s="24" t="s">
        <v>140</v>
      </c>
      <c r="C19" s="24" t="s">
        <v>141</v>
      </c>
      <c r="D19" s="24" t="s">
        <v>142</v>
      </c>
      <c r="E19" s="24" t="s">
        <v>143</v>
      </c>
      <c r="F19" s="24" t="s">
        <v>144</v>
      </c>
      <c r="G19" s="24" t="s">
        <v>145</v>
      </c>
      <c r="H19" s="24" t="s">
        <v>38</v>
      </c>
      <c r="I19" s="24" t="s">
        <v>32</v>
      </c>
      <c r="J19" s="24" t="s">
        <v>132</v>
      </c>
      <c r="K19" s="24" t="s">
        <v>41</v>
      </c>
    </row>
    <row r="20" spans="1:11" x14ac:dyDescent="0.25">
      <c r="A20" s="32"/>
      <c r="B20" s="32" t="s">
        <v>146</v>
      </c>
      <c r="C20" s="65">
        <v>0</v>
      </c>
      <c r="D20" s="65">
        <v>0</v>
      </c>
      <c r="E20" s="65">
        <v>0</v>
      </c>
      <c r="F20" s="33">
        <v>0</v>
      </c>
      <c r="G20" s="65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147</v>
      </c>
      <c r="C21" s="66">
        <v>0</v>
      </c>
      <c r="D21" s="66">
        <v>0</v>
      </c>
      <c r="E21" s="66">
        <v>0</v>
      </c>
      <c r="F21" s="19">
        <v>0</v>
      </c>
      <c r="G21" s="66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148</v>
      </c>
      <c r="C22" s="65">
        <v>15483.75</v>
      </c>
      <c r="D22" s="65">
        <v>0</v>
      </c>
      <c r="E22" s="65">
        <v>0</v>
      </c>
      <c r="F22" s="33">
        <v>0</v>
      </c>
      <c r="G22" s="65">
        <v>0</v>
      </c>
      <c r="H22" s="32"/>
      <c r="I22" s="33">
        <f>SUM(C22:G22)</f>
        <v>15483.75</v>
      </c>
      <c r="J22" s="34">
        <f>$D$8</f>
        <v>0.15</v>
      </c>
      <c r="K22" s="33">
        <f>I22/(1-J22)</f>
        <v>18216.18</v>
      </c>
    </row>
    <row r="23" spans="2:11" x14ac:dyDescent="0.25">
      <c r="B23" t="s">
        <v>149</v>
      </c>
      <c r="C23" s="66">
        <v>0</v>
      </c>
      <c r="D23" s="66">
        <v>0</v>
      </c>
      <c r="E23" s="66">
        <v>0</v>
      </c>
      <c r="F23" s="19">
        <v>0</v>
      </c>
      <c r="G23" s="66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150</v>
      </c>
      <c r="C24" s="65">
        <v>0</v>
      </c>
      <c r="D24" s="65">
        <v>0</v>
      </c>
      <c r="E24" s="65">
        <v>0</v>
      </c>
      <c r="F24" s="33">
        <v>0</v>
      </c>
      <c r="G24" s="65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150</v>
      </c>
      <c r="C25" s="66">
        <v>0</v>
      </c>
      <c r="D25" s="66">
        <v>0</v>
      </c>
      <c r="E25" s="66">
        <v>0</v>
      </c>
      <c r="F25" s="19">
        <v>0</v>
      </c>
      <c r="G25" s="66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7"/>
      <c r="B26" s="67" t="s">
        <v>85</v>
      </c>
      <c r="C26" s="67"/>
      <c r="D26" s="67"/>
      <c r="E26" s="67"/>
      <c r="F26" s="67"/>
      <c r="G26" s="67"/>
      <c r="H26" s="67"/>
      <c r="I26" s="68">
        <f>SUM(I20:I25)</f>
        <v>15483.75</v>
      </c>
      <c r="J26" s="67"/>
      <c r="K26" s="68">
        <f>SUM(K20:K25)</f>
        <v>18216.18</v>
      </c>
    </row>
    <row r="28" ht="24" customHeight="1" spans="1:11" x14ac:dyDescent="0.25">
      <c r="A28" s="24" t="s">
        <v>38</v>
      </c>
      <c r="B28" s="24" t="s">
        <v>151</v>
      </c>
      <c r="C28" s="24" t="s">
        <v>141</v>
      </c>
      <c r="D28" s="24" t="s">
        <v>142</v>
      </c>
      <c r="E28" s="24" t="s">
        <v>143</v>
      </c>
      <c r="F28" s="24" t="s">
        <v>144</v>
      </c>
      <c r="G28" s="24" t="s">
        <v>145</v>
      </c>
      <c r="H28" s="24" t="s">
        <v>38</v>
      </c>
      <c r="I28" s="24" t="s">
        <v>32</v>
      </c>
      <c r="J28" s="24" t="s">
        <v>132</v>
      </c>
      <c r="K28" s="24" t="s">
        <v>41</v>
      </c>
    </row>
    <row r="29" spans="1:11" x14ac:dyDescent="0.25">
      <c r="A29" s="32"/>
      <c r="B29" s="32" t="s">
        <v>152</v>
      </c>
      <c r="C29" s="65">
        <v>0</v>
      </c>
      <c r="D29" s="65">
        <v>0</v>
      </c>
      <c r="E29" s="65">
        <v>0</v>
      </c>
      <c r="F29" s="33">
        <v>0</v>
      </c>
      <c r="G29" s="65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153</v>
      </c>
      <c r="C30" s="66">
        <v>0</v>
      </c>
      <c r="D30" s="66">
        <v>0</v>
      </c>
      <c r="E30" s="66">
        <v>0</v>
      </c>
      <c r="F30" s="19">
        <v>0</v>
      </c>
      <c r="G30" s="66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154</v>
      </c>
      <c r="C31" s="65">
        <v>64515.63</v>
      </c>
      <c r="D31" s="65">
        <v>0</v>
      </c>
      <c r="E31" s="65">
        <v>0</v>
      </c>
      <c r="F31" s="33">
        <v>0</v>
      </c>
      <c r="G31" s="65">
        <v>0</v>
      </c>
      <c r="H31" s="32"/>
      <c r="I31" s="33">
        <f>SUM(C31:G31)</f>
        <v>64515.63</v>
      </c>
      <c r="J31" s="34">
        <f>$D$8</f>
        <v>0.15</v>
      </c>
      <c r="K31" s="33">
        <f>I31/(1-J31)</f>
        <v>75900.74</v>
      </c>
    </row>
    <row r="32" spans="2:11" x14ac:dyDescent="0.25">
      <c r="B32" t="s">
        <v>155</v>
      </c>
      <c r="C32" s="66">
        <v>0</v>
      </c>
      <c r="D32" s="66">
        <v>0</v>
      </c>
      <c r="E32" s="66">
        <v>0</v>
      </c>
      <c r="F32" s="19">
        <v>0</v>
      </c>
      <c r="G32" s="66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156</v>
      </c>
      <c r="C33" s="65">
        <v>0</v>
      </c>
      <c r="D33" s="65">
        <v>0</v>
      </c>
      <c r="E33" s="65">
        <v>0</v>
      </c>
      <c r="F33" s="33">
        <v>0</v>
      </c>
      <c r="G33" s="65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157</v>
      </c>
      <c r="C34" s="66">
        <v>20882.35</v>
      </c>
      <c r="D34" s="66">
        <v>0</v>
      </c>
      <c r="E34" s="66">
        <v>0</v>
      </c>
      <c r="F34" s="19">
        <v>0</v>
      </c>
      <c r="G34" s="66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7"/>
      <c r="B35" s="67" t="s">
        <v>85</v>
      </c>
      <c r="C35" s="67"/>
      <c r="D35" s="67"/>
      <c r="E35" s="67"/>
      <c r="F35" s="67"/>
      <c r="G35" s="67"/>
      <c r="H35" s="67"/>
      <c r="I35" s="68">
        <f>SUM(I29:I34)</f>
        <v>85397.98</v>
      </c>
      <c r="J35" s="67"/>
      <c r="K35" s="68">
        <f>SUM(K29:K34)</f>
        <v>100468.21</v>
      </c>
    </row>
    <row r="37" ht="24" customHeight="1" spans="1:11" x14ac:dyDescent="0.25">
      <c r="A37" s="24" t="s">
        <v>38</v>
      </c>
      <c r="B37" s="24" t="s">
        <v>158</v>
      </c>
      <c r="C37" s="24" t="s">
        <v>141</v>
      </c>
      <c r="D37" s="24" t="s">
        <v>142</v>
      </c>
      <c r="E37" s="24" t="s">
        <v>143</v>
      </c>
      <c r="F37" s="24" t="s">
        <v>144</v>
      </c>
      <c r="G37" s="24" t="s">
        <v>145</v>
      </c>
      <c r="H37" s="24" t="s">
        <v>38</v>
      </c>
      <c r="I37" s="24" t="s">
        <v>32</v>
      </c>
      <c r="J37" s="24" t="s">
        <v>132</v>
      </c>
      <c r="K37" s="24" t="s">
        <v>41</v>
      </c>
    </row>
    <row r="38" spans="1:11" x14ac:dyDescent="0.25">
      <c r="A38" s="32"/>
      <c r="B38" s="32" t="s">
        <v>159</v>
      </c>
      <c r="C38" s="65">
        <v>64515.63</v>
      </c>
      <c r="D38" s="65">
        <v>0</v>
      </c>
      <c r="E38" s="65">
        <v>0</v>
      </c>
      <c r="F38" s="33">
        <v>0</v>
      </c>
      <c r="G38" s="65">
        <v>0</v>
      </c>
      <c r="H38" s="32"/>
      <c r="I38" s="33">
        <f>SUM(C38:G38)</f>
        <v>64515.63</v>
      </c>
      <c r="J38" s="34">
        <f>$D$9</f>
        <v>0.15</v>
      </c>
      <c r="K38" s="33">
        <f>I38/(1-J38)</f>
        <v>75900.74</v>
      </c>
    </row>
    <row r="39" spans="2:11" x14ac:dyDescent="0.25">
      <c r="B39" t="s">
        <v>160</v>
      </c>
      <c r="C39" s="66">
        <v>0</v>
      </c>
      <c r="D39" s="66">
        <v>0</v>
      </c>
      <c r="E39" s="66">
        <v>0</v>
      </c>
      <c r="F39" s="19">
        <v>0</v>
      </c>
      <c r="G39" s="66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161</v>
      </c>
      <c r="C40" s="65">
        <v>0</v>
      </c>
      <c r="D40" s="65">
        <v>0</v>
      </c>
      <c r="E40" s="65">
        <v>0</v>
      </c>
      <c r="F40" s="33">
        <v>0</v>
      </c>
      <c r="G40" s="65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162</v>
      </c>
      <c r="C41" s="66">
        <v>0</v>
      </c>
      <c r="D41" s="66">
        <v>0</v>
      </c>
      <c r="E41" s="66">
        <v>0</v>
      </c>
      <c r="F41" s="19">
        <v>0</v>
      </c>
      <c r="G41" s="66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163</v>
      </c>
      <c r="C42" s="65">
        <v>0</v>
      </c>
      <c r="D42" s="65">
        <v>0</v>
      </c>
      <c r="E42" s="65">
        <v>0</v>
      </c>
      <c r="F42" s="33">
        <v>0</v>
      </c>
      <c r="G42" s="65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164</v>
      </c>
      <c r="C43" s="66">
        <v>0</v>
      </c>
      <c r="D43" s="66">
        <v>0</v>
      </c>
      <c r="E43" s="66">
        <v>0</v>
      </c>
      <c r="F43" s="19">
        <v>0</v>
      </c>
      <c r="G43" s="66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7"/>
      <c r="B44" s="67" t="s">
        <v>85</v>
      </c>
      <c r="C44" s="67"/>
      <c r="D44" s="67"/>
      <c r="E44" s="67"/>
      <c r="F44" s="67"/>
      <c r="G44" s="67"/>
      <c r="H44" s="67"/>
      <c r="I44" s="68">
        <f>SUM(I38:I43)</f>
        <v>64515.63</v>
      </c>
      <c r="J44" s="67"/>
      <c r="K44" s="68">
        <f>SUM(K38:K43)</f>
        <v>75900.74</v>
      </c>
    </row>
    <row r="46" ht="24" customHeight="1" spans="1:11" x14ac:dyDescent="0.25">
      <c r="A46" s="24" t="s">
        <v>38</v>
      </c>
      <c r="B46" s="24" t="s">
        <v>165</v>
      </c>
      <c r="C46" s="24" t="s">
        <v>141</v>
      </c>
      <c r="D46" s="24" t="s">
        <v>142</v>
      </c>
      <c r="E46" s="24" t="s">
        <v>143</v>
      </c>
      <c r="F46" s="24" t="s">
        <v>144</v>
      </c>
      <c r="G46" s="24" t="s">
        <v>145</v>
      </c>
      <c r="H46" s="24" t="s">
        <v>38</v>
      </c>
      <c r="I46" s="24" t="s">
        <v>32</v>
      </c>
      <c r="J46" s="24" t="s">
        <v>132</v>
      </c>
      <c r="K46" s="24" t="s">
        <v>41</v>
      </c>
    </row>
    <row r="47" spans="1:11" x14ac:dyDescent="0.25">
      <c r="A47" s="32"/>
      <c r="B47" s="32" t="s">
        <v>166</v>
      </c>
      <c r="C47" s="65">
        <v>4705.88</v>
      </c>
      <c r="D47" s="65">
        <v>0</v>
      </c>
      <c r="E47" s="65">
        <v>0</v>
      </c>
      <c r="F47" s="33">
        <v>0</v>
      </c>
      <c r="G47" s="65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167</v>
      </c>
      <c r="C48" s="66">
        <v>0</v>
      </c>
      <c r="D48" s="66">
        <v>0</v>
      </c>
      <c r="E48" s="66">
        <v>0</v>
      </c>
      <c r="F48" s="19">
        <v>0</v>
      </c>
      <c r="G48" s="66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168</v>
      </c>
      <c r="C49" s="65">
        <v>0</v>
      </c>
      <c r="D49" s="65">
        <v>0</v>
      </c>
      <c r="E49" s="65">
        <v>0</v>
      </c>
      <c r="F49" s="33">
        <v>0</v>
      </c>
      <c r="G49" s="65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169</v>
      </c>
      <c r="C50" s="66">
        <v>0</v>
      </c>
      <c r="D50" s="66">
        <v>0</v>
      </c>
      <c r="E50" s="66">
        <v>0</v>
      </c>
      <c r="F50" s="19">
        <v>0</v>
      </c>
      <c r="G50" s="66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170</v>
      </c>
      <c r="C51" s="65">
        <v>0</v>
      </c>
      <c r="D51" s="65">
        <v>0</v>
      </c>
      <c r="E51" s="65">
        <v>0</v>
      </c>
      <c r="F51" s="33">
        <v>0</v>
      </c>
      <c r="G51" s="65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7"/>
      <c r="B52" s="67" t="s">
        <v>85</v>
      </c>
      <c r="C52" s="67"/>
      <c r="D52" s="67"/>
      <c r="E52" s="67"/>
      <c r="F52" s="67"/>
      <c r="G52" s="67"/>
      <c r="H52" s="67"/>
      <c r="I52" s="68">
        <f>SUM(I47:I51)</f>
        <v>4705.88</v>
      </c>
      <c r="J52" s="67"/>
      <c r="K52" s="68">
        <f>SUM(K47:K51)</f>
        <v>5536.33</v>
      </c>
    </row>
    <row r="54" spans="1:11" x14ac:dyDescent="0.25">
      <c r="A54" s="27"/>
      <c r="B54" s="28" t="s">
        <v>171</v>
      </c>
      <c r="C54" s="27"/>
      <c r="D54" s="27"/>
      <c r="E54" s="27"/>
      <c r="F54" s="27"/>
      <c r="G54" s="27"/>
      <c r="H54" s="27"/>
      <c r="I54" s="29">
        <f>I26+I35+I44+I52</f>
        <v>454125.35</v>
      </c>
      <c r="J54" s="27"/>
      <c r="K54" s="29">
        <f>K26+K35+K44+K52</f>
        <v>524323.94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3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182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38</v>
      </c>
      <c r="B4" s="24" t="s">
        <v>91</v>
      </c>
      <c r="C4" s="24" t="s">
        <v>183</v>
      </c>
      <c r="D4" s="24" t="s">
        <v>184</v>
      </c>
      <c r="E4" s="24" t="s">
        <v>185</v>
      </c>
      <c r="F4" s="24" t="s">
        <v>186</v>
      </c>
      <c r="G4" s="24" t="s">
        <v>187</v>
      </c>
      <c r="H4" s="24" t="s">
        <v>188</v>
      </c>
      <c r="I4" s="24" t="s">
        <v>189</v>
      </c>
    </row>
    <row r="5" spans="1:9" x14ac:dyDescent="0.25">
      <c r="A5" s="32"/>
      <c r="B5" s="40" t="s">
        <v>190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191</v>
      </c>
      <c r="C6" s="52">
        <v>3840</v>
      </c>
      <c r="D6" s="52">
        <v>2160</v>
      </c>
      <c r="E6">
        <v>16</v>
      </c>
      <c r="G6" s="52">
        <v>650000</v>
      </c>
      <c r="H6" s="52">
        <v>455000</v>
      </c>
      <c r="I6" s="52">
        <v>320000</v>
      </c>
    </row>
    <row r="7" spans="1:9" x14ac:dyDescent="0.25">
      <c r="A7" s="32"/>
      <c r="B7" s="40" t="s">
        <v>192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63" t="s">
        <v>193</v>
      </c>
    </row>
    <row r="11" ht="28" customHeight="1" spans="1:9" x14ac:dyDescent="0.25">
      <c r="A11" s="3" t="s">
        <v>38</v>
      </c>
      <c r="B11" s="3" t="s">
        <v>91</v>
      </c>
      <c r="C11" s="3" t="s">
        <v>183</v>
      </c>
      <c r="D11" s="3" t="s">
        <v>184</v>
      </c>
      <c r="E11" s="3" t="s">
        <v>102</v>
      </c>
      <c r="F11" s="3" t="s">
        <v>194</v>
      </c>
      <c r="G11" s="3" t="s">
        <v>195</v>
      </c>
      <c r="H11" s="3" t="s">
        <v>196</v>
      </c>
      <c r="I11" s="3" t="s">
        <v>197</v>
      </c>
    </row>
    <row r="12" spans="1:9" x14ac:dyDescent="0.25">
      <c r="A12" s="32"/>
      <c r="B12" s="32" t="str">
        <f>'LED Cost Sheet'!A4</f>
        <v>Underpass 3</v>
      </c>
      <c r="C12" s="45">
        <f>'LED Cost Sheet'!K4</f>
        <v>0</v>
      </c>
      <c r="D12" s="45">
        <f>'LED Cost Sheet'!J4</f>
        <v>0</v>
      </c>
      <c r="E12" s="32">
        <f>'LED Cost Sheet'!L4</f>
        <v>1</v>
      </c>
      <c r="F12" s="45">
        <f>C12*D12*E12</f>
        <v>3326976</v>
      </c>
      <c r="G12" s="32">
        <f>IFERROR(CEILING(F12/650000,1),0)</f>
        <v>6</v>
      </c>
      <c r="H12" s="32" t="str">
        <f>IF(G12&gt;8,"MCTRL4K","660 Pro")</f>
        <v>660 Pro</v>
      </c>
      <c r="I12" s="32">
        <f>IFERROR(CEILING(G12/IF(G12&gt;8,16,8),1),0)</f>
        <v>1</v>
      </c>
    </row>
    <row r="13" spans="2:9" x14ac:dyDescent="0.25">
      <c r="B13" t="str">
        <f>'LED Cost Sheet'!A5</f>
        <v>Underpass 4</v>
      </c>
      <c r="C13" s="52">
        <f>'LED Cost Sheet'!K5</f>
        <v>0</v>
      </c>
      <c r="D13" s="52">
        <f>'LED Cost Sheet'!J5</f>
        <v>0</v>
      </c>
      <c r="E13">
        <f>'LED Cost Sheet'!L5</f>
        <v>1</v>
      </c>
      <c r="F13" s="52">
        <f>C13*D13*E13</f>
        <v>5603328</v>
      </c>
      <c r="G13">
        <f>IFERROR(CEILING(F13/650000,1),0)</f>
        <v>9</v>
      </c>
      <c r="H13" t="str">
        <f>IF(G13&gt;8,"MCTRL4K","660 Pro")</f>
        <v>MCTRL4K</v>
      </c>
      <c r="I13">
        <f>IFERROR(CEILING(G13/IF(G13&gt;8,16,8),1),0)</f>
        <v>1</v>
      </c>
    </row>
    <row r="14" spans="1:9" x14ac:dyDescent="0.25">
      <c r="A14" s="32"/>
      <c r="B14" s="32" t="str">
        <f>'LED Cost Sheet'!A6</f>
        <v>Concourse</v>
      </c>
      <c r="C14" s="45">
        <f>'LED Cost Sheet'!K6</f>
        <v>0</v>
      </c>
      <c r="D14" s="45">
        <f>'LED Cost Sheet'!J6</f>
        <v>0</v>
      </c>
      <c r="E14" s="32">
        <f>'LED Cost Sheet'!L6</f>
        <v>1</v>
      </c>
      <c r="F14" s="45">
        <f>C14*D14*E14</f>
        <v>39369600</v>
      </c>
      <c r="G14" s="32">
        <f>IFERROR(CEILING(F14/650000,1),0)</f>
        <v>61</v>
      </c>
      <c r="H14" s="32" t="str">
        <f>IF(G14&gt;8,"MCTRL4K","660 Pro")</f>
        <v>MCTRL4K</v>
      </c>
      <c r="I14" s="32">
        <f>IFERROR(CEILING(G14/IF(G14&gt;8,16,8),1),0)</f>
        <v>4</v>
      </c>
    </row>
    <row r="15" spans="2:9" x14ac:dyDescent="0.25">
      <c r="B15" t="str">
        <f>'LED Cost Sheet'!A7</f>
        <v>T4-B1 (6-9)</v>
      </c>
      <c r="C15" s="52">
        <f>'LED Cost Sheet'!K7</f>
        <v>0</v>
      </c>
      <c r="D15" s="52">
        <f>'LED Cost Sheet'!J7</f>
        <v>0</v>
      </c>
      <c r="E15">
        <f>'LED Cost Sheet'!L7</f>
        <v>4</v>
      </c>
      <c r="F15" s="52">
        <f>C15*D15*E15</f>
        <v>4055040</v>
      </c>
      <c r="G15">
        <f>IFERROR(CEILING(F15/650000,1),0)</f>
        <v>7</v>
      </c>
      <c r="H15" t="str">
        <f>IF(G15&gt;8,"MCTRL4K","660 Pro")</f>
        <v>660 Pro</v>
      </c>
      <c r="I15">
        <f>IFERROR(CEILING(G15/IF(G15&gt;8,16,8),1),0)</f>
        <v>1</v>
      </c>
    </row>
    <row r="16" spans="1:9" x14ac:dyDescent="0.25">
      <c r="A16" s="32"/>
      <c r="B16" s="32" t="str">
        <f>'LED Cost Sheet'!A8</f>
        <v>T4-B2 (10-18)</v>
      </c>
      <c r="C16" s="45">
        <f>'LED Cost Sheet'!K8</f>
        <v>0</v>
      </c>
      <c r="D16" s="45">
        <f>'LED Cost Sheet'!J8</f>
        <v>0</v>
      </c>
      <c r="E16" s="32">
        <f>'LED Cost Sheet'!L8</f>
        <v>9</v>
      </c>
      <c r="F16" s="45">
        <f>C16*D16*E16</f>
        <v>9123840</v>
      </c>
      <c r="G16" s="32">
        <f>IFERROR(CEILING(F16/650000,1),0)</f>
        <v>15</v>
      </c>
      <c r="H16" s="32" t="str">
        <f>IF(G16&gt;8,"MCTRL4K","660 Pro")</f>
        <v>MCTRL4K</v>
      </c>
      <c r="I16" s="32">
        <f>IFERROR(CEILING(G16/IF(G16&gt;8,16,8),1),0)</f>
        <v>1</v>
      </c>
    </row>
    <row r="17" spans="2:9" x14ac:dyDescent="0.25">
      <c r="B17" t="str">
        <f>'LED Cost Sheet'!A9</f>
        <v>T4 Lobby Elevator</v>
      </c>
      <c r="C17" s="52">
        <f>'LED Cost Sheet'!K9</f>
        <v>0</v>
      </c>
      <c r="D17" s="52">
        <f>'LED Cost Sheet'!J9</f>
        <v>0</v>
      </c>
      <c r="E17">
        <f>'LED Cost Sheet'!L9</f>
        <v>1</v>
      </c>
      <c r="F17" s="52">
        <f>C17*D17*E17</f>
        <v>5857159</v>
      </c>
      <c r="G17">
        <f>IFERROR(CEILING(F17/650000,1),0)</f>
        <v>10</v>
      </c>
      <c r="H17" t="str">
        <f>IF(G17&gt;8,"MCTRL4K","660 Pro")</f>
        <v>MCTRL4K</v>
      </c>
      <c r="I17">
        <f>IFERROR(CEILING(G17/IF(G17&gt;8,16,8),1),0)</f>
        <v>1</v>
      </c>
    </row>
    <row r="18" spans="1:9" x14ac:dyDescent="0.25">
      <c r="A18" s="32"/>
      <c r="B18" s="32" t="str">
        <f>'LED Cost Sheet'!A10</f>
        <v>T2-B1M Screen 20</v>
      </c>
      <c r="C18" s="45">
        <f>'LED Cost Sheet'!K10</f>
        <v>0</v>
      </c>
      <c r="D18" s="45">
        <f>'LED Cost Sheet'!J10</f>
        <v>0</v>
      </c>
      <c r="E18" s="32">
        <f>'LED Cost Sheet'!L10</f>
        <v>1</v>
      </c>
      <c r="F18" s="45">
        <f>C18*D18*E18</f>
        <v>1939568</v>
      </c>
      <c r="G18" s="32">
        <f>IFERROR(CEILING(F18/650000,1),0)</f>
        <v>3</v>
      </c>
      <c r="H18" s="32" t="str">
        <f>IF(G18&gt;8,"MCTRL4K","660 Pro")</f>
        <v>660 Pro</v>
      </c>
      <c r="I18" s="32">
        <f>IFERROR(CEILING(G18/IF(G18&gt;8,16,8),1),0)</f>
        <v>1</v>
      </c>
    </row>
    <row r="19" spans="2:9" x14ac:dyDescent="0.25">
      <c r="B19" t="str">
        <f>'LED Cost Sheet'!A11</f>
        <v>T2-B1M Screen 21</v>
      </c>
      <c r="C19" s="52">
        <f>'LED Cost Sheet'!K11</f>
        <v>0</v>
      </c>
      <c r="D19" s="52">
        <f>'LED Cost Sheet'!J11</f>
        <v>0</v>
      </c>
      <c r="E19">
        <f>'LED Cost Sheet'!L11</f>
        <v>1</v>
      </c>
      <c r="F19" s="52">
        <f>C19*D19*E19</f>
        <v>1390088</v>
      </c>
      <c r="G19">
        <f>IFERROR(CEILING(F19/650000,1),0)</f>
        <v>3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2"/>
      <c r="B20" s="32" t="str">
        <f>'LED Cost Sheet'!A12</f>
        <v>T2-B1M Screen 22</v>
      </c>
      <c r="C20" s="45">
        <f>'LED Cost Sheet'!K12</f>
        <v>0</v>
      </c>
      <c r="D20" s="45">
        <f>'LED Cost Sheet'!J12</f>
        <v>0</v>
      </c>
      <c r="E20" s="32">
        <f>'LED Cost Sheet'!L12</f>
        <v>1</v>
      </c>
      <c r="F20" s="45">
        <f>C20*D20*E20</f>
        <v>929296</v>
      </c>
      <c r="G20" s="32">
        <f>IFERROR(CEILING(F20/650000,1),0)</f>
        <v>2</v>
      </c>
      <c r="H20" s="32" t="str">
        <f>IF(G20&gt;8,"MCTRL4K","660 Pro")</f>
        <v>660 Pro</v>
      </c>
      <c r="I20" s="32">
        <f>IFERROR(CEILING(G20/IF(G20&gt;8,16,8),1),0)</f>
        <v>1</v>
      </c>
    </row>
    <row r="21" spans="2:9" x14ac:dyDescent="0.25">
      <c r="B21" t="str">
        <f>'LED Cost Sheet'!A13</f>
        <v>New Path Hall Option 1</v>
      </c>
      <c r="C21" s="52">
        <f>'LED Cost Sheet'!K13</f>
        <v>0</v>
      </c>
      <c r="D21" s="52">
        <f>'LED Cost Sheet'!J13</f>
        <v>0</v>
      </c>
      <c r="E21">
        <f>'LED Cost Sheet'!L13</f>
        <v>1</v>
      </c>
      <c r="F21" s="52">
        <f>C21*D21*E21</f>
        <v>9989364</v>
      </c>
      <c r="G21">
        <f>IFERROR(CEILING(F21/650000,1),0)</f>
        <v>16</v>
      </c>
      <c r="H21" t="str">
        <f>IF(G21&gt;8,"MCTRL4K","660 Pro")</f>
        <v>MCTRL4K</v>
      </c>
      <c r="I21">
        <f>IFERROR(CEILING(G21/IF(G21&gt;8,16,8),1),0)</f>
        <v>1</v>
      </c>
    </row>
    <row r="22" spans="1:9" x14ac:dyDescent="0.25">
      <c r="A22" s="32"/>
      <c r="B22" s="32" t="str">
        <f>'LED Cost Sheet'!A14</f>
        <v>New Path Hall Option 2</v>
      </c>
      <c r="C22" s="45">
        <f>'LED Cost Sheet'!K14</f>
        <v>0</v>
      </c>
      <c r="D22" s="45">
        <f>'LED Cost Sheet'!J14</f>
        <v>0</v>
      </c>
      <c r="E22" s="32">
        <f>'LED Cost Sheet'!L14</f>
        <v>1</v>
      </c>
      <c r="F22" s="45">
        <f>C22*D22*E22</f>
        <v>12561125</v>
      </c>
      <c r="G22" s="32">
        <f>IFERROR(CEILING(F22/650000,1),0)</f>
        <v>20</v>
      </c>
      <c r="H22" s="32" t="str">
        <f>IF(G22&gt;8,"MCTRL4K","660 Pro")</f>
        <v>MCTRL4K</v>
      </c>
      <c r="I22" s="32">
        <f>IFERROR(CEILING(G22/IF(G22&gt;8,16,8),1),0)</f>
        <v>2</v>
      </c>
    </row>
    <row r="23" spans="1:9" x14ac:dyDescent="0.25">
      <c r="A23" s="55"/>
      <c r="B23" s="55" t="s">
        <v>198</v>
      </c>
      <c r="C23" s="55"/>
      <c r="D23" s="55"/>
      <c r="E23" s="55"/>
      <c r="F23" s="56">
        <f>SUM(F12:F22)</f>
        <v>94145384</v>
      </c>
      <c r="G23" s="55">
        <f>SUM(G12:G22)</f>
        <v>152</v>
      </c>
      <c r="H23" s="55"/>
      <c r="I23" s="55">
        <f>SUM(I12:I22)</f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68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199</v>
      </c>
      <c r="B1" s="1"/>
      <c r="C1" s="1"/>
      <c r="D1" s="1"/>
    </row>
    <row r="2" spans="1:4" x14ac:dyDescent="0.25">
      <c r="A2" s="2" t="s">
        <v>200</v>
      </c>
      <c r="B2" s="2"/>
      <c r="C2" s="2"/>
      <c r="D2" s="2"/>
    </row>
    <row r="6" ht="28" customHeight="1" spans="1:8" x14ac:dyDescent="0.25">
      <c r="A6" s="24" t="s">
        <v>77</v>
      </c>
      <c r="B6" s="24" t="s">
        <v>201</v>
      </c>
      <c r="C6" s="24" t="s">
        <v>40</v>
      </c>
      <c r="D6" s="24" t="s">
        <v>102</v>
      </c>
      <c r="E6" s="24" t="s">
        <v>32</v>
      </c>
      <c r="F6" s="24" t="s">
        <v>202</v>
      </c>
      <c r="G6" s="24" t="s">
        <v>41</v>
      </c>
      <c r="H6" s="24" t="s">
        <v>42</v>
      </c>
    </row>
    <row r="7" spans="1:1" s="32" customFormat="1" x14ac:dyDescent="0.25">
      <c r="A7" s="40" t="s">
        <v>44</v>
      </c>
    </row>
    <row r="8" spans="1:8" x14ac:dyDescent="0.25">
      <c r="A8" s="32" t="s">
        <v>203</v>
      </c>
      <c r="B8" s="32" t="s">
        <v>204</v>
      </c>
      <c r="C8" s="65">
        <v>450</v>
      </c>
      <c r="D8" s="46">
        <v>1</v>
      </c>
      <c r="E8" s="33">
        <f>C8*D8</f>
        <v>450</v>
      </c>
      <c r="F8" s="69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203</v>
      </c>
      <c r="B9" t="s">
        <v>205</v>
      </c>
      <c r="C9" s="66">
        <v>134.28</v>
      </c>
      <c r="D9" s="53">
        <v>1</v>
      </c>
      <c r="E9" s="19">
        <f>C9*D9</f>
        <v>134.28</v>
      </c>
      <c r="F9" s="20">
        <v>0.15</v>
      </c>
      <c r="G9" s="19">
        <f>IFERROR(E9/(1-F9),0)</f>
        <v>157.98</v>
      </c>
      <c r="H9" s="19">
        <f>IFERROR(G9-E9,0)</f>
        <v>23.7</v>
      </c>
    </row>
    <row r="10" spans="2:8" x14ac:dyDescent="0.25">
      <c r="B10" s="25" t="s">
        <v>206</v>
      </c>
      <c r="E10" s="54">
        <f>SUM(E8:E9)</f>
        <v>584.28</v>
      </c>
      <c r="G10" s="19">
        <f>SUM(G8:G9)</f>
        <v>687.39</v>
      </c>
      <c r="H10" s="19">
        <f>IFERROR(G10-E10,0)</f>
        <v>103.10999999999996</v>
      </c>
    </row>
    <row r="12" spans="1:1" s="32" customFormat="1" x14ac:dyDescent="0.25">
      <c r="A12" s="40" t="s">
        <v>56</v>
      </c>
    </row>
    <row r="13" spans="1:8" x14ac:dyDescent="0.25">
      <c r="A13" t="s">
        <v>203</v>
      </c>
      <c r="B13" t="s">
        <v>204</v>
      </c>
      <c r="C13" s="66">
        <v>8400</v>
      </c>
      <c r="D13" s="53">
        <v>1</v>
      </c>
      <c r="E13" s="19">
        <f>C13*D13</f>
        <v>8400</v>
      </c>
      <c r="F13" s="20">
        <v>0.15</v>
      </c>
      <c r="G13" s="19">
        <f>IFERROR(E13/(1-F13),0)</f>
        <v>9882.35</v>
      </c>
      <c r="H13" s="19">
        <f>IFERROR(G13-E13,0)</f>
        <v>1482.35</v>
      </c>
    </row>
    <row r="14" spans="1:8" x14ac:dyDescent="0.25">
      <c r="A14" s="32" t="s">
        <v>203</v>
      </c>
      <c r="B14" s="32" t="s">
        <v>205</v>
      </c>
      <c r="C14" s="65">
        <v>226.19</v>
      </c>
      <c r="D14" s="46">
        <v>1</v>
      </c>
      <c r="E14" s="33">
        <f>C14*D14</f>
        <v>226.19</v>
      </c>
      <c r="F14" s="69">
        <v>0.15</v>
      </c>
      <c r="G14" s="33">
        <f>IFERROR(E14/(1-F14),0)</f>
        <v>266.11</v>
      </c>
      <c r="H14" s="33">
        <f>IFERROR(G14-E14,0)</f>
        <v>39.92</v>
      </c>
    </row>
    <row r="15" spans="1:8" x14ac:dyDescent="0.25">
      <c r="A15" t="s">
        <v>203</v>
      </c>
      <c r="B15" t="s">
        <v>207</v>
      </c>
      <c r="C15" s="66">
        <v>12000</v>
      </c>
      <c r="D15" s="53">
        <v>1</v>
      </c>
      <c r="E15" s="19">
        <f>C15*D15</f>
        <v>12000</v>
      </c>
      <c r="F15" s="20">
        <v>0.15</v>
      </c>
      <c r="G15" s="19">
        <f>IFERROR(E15/(1-F15),0)</f>
        <v>14117.65</v>
      </c>
      <c r="H15" s="19">
        <f>IFERROR(G15-E15,0)</f>
        <v>2117.65</v>
      </c>
    </row>
    <row r="16" spans="2:8" x14ac:dyDescent="0.25">
      <c r="B16" s="25" t="s">
        <v>206</v>
      </c>
      <c r="E16" s="54">
        <f>SUM(E13:E15)</f>
        <v>20626.190000000002</v>
      </c>
      <c r="G16" s="19">
        <f>SUM(G13:G15)</f>
        <v>24266.11</v>
      </c>
      <c r="H16" s="19">
        <f>IFERROR(G16-E16,0)</f>
        <v>3639.92</v>
      </c>
    </row>
    <row r="18" spans="1:1" s="32" customFormat="1" x14ac:dyDescent="0.25">
      <c r="A18" s="40" t="s">
        <v>57</v>
      </c>
    </row>
    <row r="19" spans="1:8" x14ac:dyDescent="0.25">
      <c r="A19" t="s">
        <v>203</v>
      </c>
      <c r="B19" t="s">
        <v>204</v>
      </c>
      <c r="C19" s="66">
        <v>33600</v>
      </c>
      <c r="D19" s="53">
        <v>1</v>
      </c>
      <c r="E19" s="19">
        <f>C19*D19</f>
        <v>33600</v>
      </c>
      <c r="F19" s="20">
        <v>0.15</v>
      </c>
      <c r="G19" s="19">
        <f>IFERROR(E19/(1-F19),0)</f>
        <v>39529.41</v>
      </c>
      <c r="H19" s="19">
        <f>IFERROR(G19-E19,0)</f>
        <v>5929.41</v>
      </c>
    </row>
    <row r="20" spans="1:8" x14ac:dyDescent="0.25">
      <c r="A20" s="32" t="s">
        <v>203</v>
      </c>
      <c r="B20" s="32" t="s">
        <v>205</v>
      </c>
      <c r="C20" s="65">
        <v>1589.36</v>
      </c>
      <c r="D20" s="46">
        <v>1</v>
      </c>
      <c r="E20" s="33">
        <f>C20*D20</f>
        <v>1589.36</v>
      </c>
      <c r="F20" s="69">
        <v>0.15</v>
      </c>
      <c r="G20" s="33">
        <f>IFERROR(E20/(1-F20),0)</f>
        <v>1869.84</v>
      </c>
      <c r="H20" s="33">
        <f>IFERROR(G20-E20,0)</f>
        <v>280.48</v>
      </c>
    </row>
    <row r="21" spans="1:8" x14ac:dyDescent="0.25">
      <c r="A21" t="s">
        <v>203</v>
      </c>
      <c r="B21" t="s">
        <v>207</v>
      </c>
      <c r="C21" s="66">
        <v>12000</v>
      </c>
      <c r="D21" s="53">
        <v>1</v>
      </c>
      <c r="E21" s="19">
        <f>C21*D21</f>
        <v>12000</v>
      </c>
      <c r="F21" s="20">
        <v>0.15</v>
      </c>
      <c r="G21" s="19">
        <f>IFERROR(E21/(1-F21),0)</f>
        <v>14117.65</v>
      </c>
      <c r="H21" s="19">
        <f>IFERROR(G21-E21,0)</f>
        <v>2117.65</v>
      </c>
    </row>
    <row r="22" spans="2:8" x14ac:dyDescent="0.25">
      <c r="B22" s="25" t="s">
        <v>206</v>
      </c>
      <c r="E22" s="54">
        <f>SUM(E19:E21)</f>
        <v>47189.36</v>
      </c>
      <c r="G22" s="19">
        <f>SUM(G19:G21)</f>
        <v>55516.9</v>
      </c>
      <c r="H22" s="19">
        <f>IFERROR(G22-E22,0)</f>
        <v>8327.540000000005</v>
      </c>
    </row>
    <row r="24" spans="1:1" s="32" customFormat="1" x14ac:dyDescent="0.25">
      <c r="A24" s="40" t="s">
        <v>58</v>
      </c>
    </row>
    <row r="25" spans="1:8" x14ac:dyDescent="0.25">
      <c r="A25" t="s">
        <v>203</v>
      </c>
      <c r="B25" t="s">
        <v>204</v>
      </c>
      <c r="C25" s="66">
        <v>450</v>
      </c>
      <c r="D25" s="53">
        <v>1</v>
      </c>
      <c r="E25" s="19">
        <f>C25*D25</f>
        <v>450</v>
      </c>
      <c r="F25" s="20">
        <v>0.15</v>
      </c>
      <c r="G25" s="19">
        <f>IFERROR(E25/(1-F25),0)</f>
        <v>529.41</v>
      </c>
      <c r="H25" s="19">
        <f>IFERROR(G25-E25,0)</f>
        <v>79.41</v>
      </c>
    </row>
    <row r="26" spans="1:8" x14ac:dyDescent="0.25">
      <c r="A26" s="32" t="s">
        <v>203</v>
      </c>
      <c r="B26" s="32" t="s">
        <v>205</v>
      </c>
      <c r="C26" s="65">
        <v>163.57</v>
      </c>
      <c r="D26" s="46">
        <v>1</v>
      </c>
      <c r="E26" s="33">
        <f>C26*D26</f>
        <v>163.57</v>
      </c>
      <c r="F26" s="69">
        <v>0.15</v>
      </c>
      <c r="G26" s="33">
        <f>IFERROR(E26/(1-F26),0)</f>
        <v>192.44</v>
      </c>
      <c r="H26" s="33">
        <f>IFERROR(G26-E26,0)</f>
        <v>28.87</v>
      </c>
    </row>
    <row r="27" spans="2:8" x14ac:dyDescent="0.25">
      <c r="B27" s="25" t="s">
        <v>206</v>
      </c>
      <c r="E27" s="54">
        <f>SUM(E25:E26)</f>
        <v>613.5699999999999</v>
      </c>
      <c r="G27" s="19">
        <f>SUM(G25:G26)</f>
        <v>721.8499999999999</v>
      </c>
      <c r="H27" s="19">
        <f>IFERROR(G27-E27,0)</f>
        <v>108.27999999999997</v>
      </c>
    </row>
    <row r="29" spans="1:1" s="32" customFormat="1" x14ac:dyDescent="0.25">
      <c r="A29" s="40" t="s">
        <v>59</v>
      </c>
    </row>
    <row r="30" spans="1:8" x14ac:dyDescent="0.25">
      <c r="A30" s="32" t="s">
        <v>203</v>
      </c>
      <c r="B30" s="32" t="s">
        <v>204</v>
      </c>
      <c r="C30" s="65">
        <v>8400</v>
      </c>
      <c r="D30" s="46">
        <v>1</v>
      </c>
      <c r="E30" s="33">
        <f>C30*D30</f>
        <v>8400</v>
      </c>
      <c r="F30" s="69">
        <v>0.15</v>
      </c>
      <c r="G30" s="33">
        <f>IFERROR(E30/(1-F30),0)</f>
        <v>9882.35</v>
      </c>
      <c r="H30" s="33">
        <f>IFERROR(G30-E30,0)</f>
        <v>1482.35</v>
      </c>
    </row>
    <row r="31" spans="1:8" x14ac:dyDescent="0.25">
      <c r="A31" t="s">
        <v>203</v>
      </c>
      <c r="B31" t="s">
        <v>205</v>
      </c>
      <c r="C31" s="66">
        <v>368.03</v>
      </c>
      <c r="D31" s="53">
        <v>1</v>
      </c>
      <c r="E31" s="19">
        <f>C31*D31</f>
        <v>368.03</v>
      </c>
      <c r="F31" s="20">
        <v>0.15</v>
      </c>
      <c r="G31" s="19">
        <f>IFERROR(E31/(1-F31),0)</f>
        <v>432.98</v>
      </c>
      <c r="H31" s="19">
        <f>IFERROR(G31-E31,0)</f>
        <v>64.95</v>
      </c>
    </row>
    <row r="32" spans="1:8" x14ac:dyDescent="0.25">
      <c r="A32" s="32" t="s">
        <v>203</v>
      </c>
      <c r="B32" s="32" t="s">
        <v>207</v>
      </c>
      <c r="C32" s="65">
        <v>12000</v>
      </c>
      <c r="D32" s="46">
        <v>1</v>
      </c>
      <c r="E32" s="33">
        <f>C32*D32</f>
        <v>12000</v>
      </c>
      <c r="F32" s="69">
        <v>0.15</v>
      </c>
      <c r="G32" s="33">
        <f>IFERROR(E32/(1-F32),0)</f>
        <v>14117.65</v>
      </c>
      <c r="H32" s="33">
        <f>IFERROR(G32-E32,0)</f>
        <v>2117.65</v>
      </c>
    </row>
    <row r="33" spans="2:8" x14ac:dyDescent="0.25">
      <c r="B33" s="25" t="s">
        <v>206</v>
      </c>
      <c r="E33" s="54">
        <f>SUM(E30:E32)</f>
        <v>20768.03</v>
      </c>
      <c r="G33" s="19">
        <f>SUM(G30:G32)</f>
        <v>24432.98</v>
      </c>
      <c r="H33" s="19">
        <f>IFERROR(G33-E33,0)</f>
        <v>3664.9500000000007</v>
      </c>
    </row>
    <row r="35" spans="1:1" s="32" customFormat="1" x14ac:dyDescent="0.25">
      <c r="A35" s="40" t="s">
        <v>60</v>
      </c>
    </row>
    <row r="36" spans="1:8" x14ac:dyDescent="0.25">
      <c r="A36" s="32" t="s">
        <v>203</v>
      </c>
      <c r="B36" s="32" t="s">
        <v>204</v>
      </c>
      <c r="C36" s="65">
        <v>8400</v>
      </c>
      <c r="D36" s="46">
        <v>1</v>
      </c>
      <c r="E36" s="33">
        <f>C36*D36</f>
        <v>8400</v>
      </c>
      <c r="F36" s="69">
        <v>0.15</v>
      </c>
      <c r="G36" s="33">
        <f>IFERROR(E36/(1-F36),0)</f>
        <v>9882.35</v>
      </c>
      <c r="H36" s="33">
        <f>IFERROR(G36-E36,0)</f>
        <v>1482.35</v>
      </c>
    </row>
    <row r="37" spans="1:8" x14ac:dyDescent="0.25">
      <c r="A37" t="s">
        <v>203</v>
      </c>
      <c r="B37" t="s">
        <v>205</v>
      </c>
      <c r="C37" s="66">
        <v>236.28</v>
      </c>
      <c r="D37" s="53">
        <v>1</v>
      </c>
      <c r="E37" s="19">
        <f>C37*D37</f>
        <v>236.28</v>
      </c>
      <c r="F37" s="20">
        <v>0.15</v>
      </c>
      <c r="G37" s="19">
        <f>IFERROR(E37/(1-F37),0)</f>
        <v>277.98</v>
      </c>
      <c r="H37" s="19">
        <f>IFERROR(G37-E37,0)</f>
        <v>41.7</v>
      </c>
    </row>
    <row r="38" spans="1:8" x14ac:dyDescent="0.25">
      <c r="A38" s="32" t="s">
        <v>203</v>
      </c>
      <c r="B38" s="32" t="s">
        <v>207</v>
      </c>
      <c r="C38" s="65">
        <v>12000</v>
      </c>
      <c r="D38" s="46">
        <v>1</v>
      </c>
      <c r="E38" s="33">
        <f>C38*D38</f>
        <v>12000</v>
      </c>
      <c r="F38" s="69">
        <v>0.15</v>
      </c>
      <c r="G38" s="33">
        <f>IFERROR(E38/(1-F38),0)</f>
        <v>14117.65</v>
      </c>
      <c r="H38" s="33">
        <f>IFERROR(G38-E38,0)</f>
        <v>2117.65</v>
      </c>
    </row>
    <row r="39" spans="2:8" x14ac:dyDescent="0.25">
      <c r="B39" s="25" t="s">
        <v>206</v>
      </c>
      <c r="E39" s="54">
        <f>SUM(E36:E38)</f>
        <v>20636.28</v>
      </c>
      <c r="G39" s="19">
        <f>SUM(G36:G38)</f>
        <v>24277.98</v>
      </c>
      <c r="H39" s="19">
        <f>IFERROR(G39-E39,0)</f>
        <v>3641.7000000000007</v>
      </c>
    </row>
    <row r="41" spans="1:1" s="32" customFormat="1" x14ac:dyDescent="0.25">
      <c r="A41" s="40" t="s">
        <v>61</v>
      </c>
    </row>
    <row r="42" spans="1:8" x14ac:dyDescent="0.25">
      <c r="A42" s="32" t="s">
        <v>203</v>
      </c>
      <c r="B42" s="32" t="s">
        <v>204</v>
      </c>
      <c r="C42" s="65">
        <v>450</v>
      </c>
      <c r="D42" s="46">
        <v>1</v>
      </c>
      <c r="E42" s="33">
        <f>C42*D42</f>
        <v>450</v>
      </c>
      <c r="F42" s="69">
        <v>0.15</v>
      </c>
      <c r="G42" s="33">
        <f>IFERROR(E42/(1-F42),0)</f>
        <v>529.41</v>
      </c>
      <c r="H42" s="33">
        <f>IFERROR(G42-E42,0)</f>
        <v>79.41</v>
      </c>
    </row>
    <row r="43" spans="1:8" x14ac:dyDescent="0.25">
      <c r="A43" t="s">
        <v>203</v>
      </c>
      <c r="B43" t="s">
        <v>205</v>
      </c>
      <c r="C43" s="66">
        <v>78.31</v>
      </c>
      <c r="D43" s="53">
        <v>1</v>
      </c>
      <c r="E43" s="19">
        <f>C43*D43</f>
        <v>78.31</v>
      </c>
      <c r="F43" s="20">
        <v>0.15</v>
      </c>
      <c r="G43" s="19">
        <f>IFERROR(E43/(1-F43),0)</f>
        <v>92.13</v>
      </c>
      <c r="H43" s="19">
        <f>IFERROR(G43-E43,0)</f>
        <v>13.82</v>
      </c>
    </row>
    <row r="44" spans="2:8" x14ac:dyDescent="0.25">
      <c r="B44" s="25" t="s">
        <v>206</v>
      </c>
      <c r="E44" s="54">
        <f>SUM(E42:E43)</f>
        <v>528.31</v>
      </c>
      <c r="G44" s="19">
        <f>SUM(G42:G43)</f>
        <v>621.54</v>
      </c>
      <c r="H44" s="19">
        <f>IFERROR(G44-E44,0)</f>
        <v>93.22999999999996</v>
      </c>
    </row>
    <row r="46" spans="1:1" s="32" customFormat="1" x14ac:dyDescent="0.25">
      <c r="A46" s="40" t="s">
        <v>62</v>
      </c>
    </row>
    <row r="47" spans="1:8" x14ac:dyDescent="0.25">
      <c r="A47" t="s">
        <v>203</v>
      </c>
      <c r="B47" t="s">
        <v>204</v>
      </c>
      <c r="C47" s="66">
        <v>450</v>
      </c>
      <c r="D47" s="53">
        <v>1</v>
      </c>
      <c r="E47" s="19">
        <f>C47*D47</f>
        <v>450</v>
      </c>
      <c r="F47" s="20">
        <v>0.15</v>
      </c>
      <c r="G47" s="19">
        <f>IFERROR(E47/(1-F47),0)</f>
        <v>529.41</v>
      </c>
      <c r="H47" s="19">
        <f>IFERROR(G47-E47,0)</f>
        <v>79.41</v>
      </c>
    </row>
    <row r="48" spans="1:8" x14ac:dyDescent="0.25">
      <c r="A48" s="32" t="s">
        <v>203</v>
      </c>
      <c r="B48" s="32" t="s">
        <v>205</v>
      </c>
      <c r="C48" s="65">
        <v>56.15</v>
      </c>
      <c r="D48" s="46">
        <v>1</v>
      </c>
      <c r="E48" s="33">
        <f>C48*D48</f>
        <v>56.15</v>
      </c>
      <c r="F48" s="69">
        <v>0.15</v>
      </c>
      <c r="G48" s="33">
        <f>IFERROR(E48/(1-F48),0)</f>
        <v>66.06</v>
      </c>
      <c r="H48" s="33">
        <f>IFERROR(G48-E48,0)</f>
        <v>9.91</v>
      </c>
    </row>
    <row r="49" spans="2:8" x14ac:dyDescent="0.25">
      <c r="B49" s="25" t="s">
        <v>206</v>
      </c>
      <c r="E49" s="54">
        <f>SUM(E47:E48)</f>
        <v>506.15</v>
      </c>
      <c r="G49" s="19">
        <f>SUM(G47:G48)</f>
        <v>595.47</v>
      </c>
      <c r="H49" s="19">
        <f>IFERROR(G49-E49,0)</f>
        <v>89.31999999999996</v>
      </c>
    </row>
    <row r="51" spans="1:1" s="32" customFormat="1" x14ac:dyDescent="0.25">
      <c r="A51" s="40" t="s">
        <v>63</v>
      </c>
    </row>
    <row r="52" spans="1:8" x14ac:dyDescent="0.25">
      <c r="A52" s="32" t="s">
        <v>203</v>
      </c>
      <c r="B52" s="32" t="s">
        <v>204</v>
      </c>
      <c r="C52" s="65">
        <v>450</v>
      </c>
      <c r="D52" s="46">
        <v>1</v>
      </c>
      <c r="E52" s="33">
        <f>C52*D52</f>
        <v>450</v>
      </c>
      <c r="F52" s="69">
        <v>0.15</v>
      </c>
      <c r="G52" s="33">
        <f>IFERROR(E52/(1-F52),0)</f>
        <v>529.41</v>
      </c>
      <c r="H52" s="33">
        <f>IFERROR(G52-E52,0)</f>
        <v>79.41</v>
      </c>
    </row>
    <row r="53" spans="1:8" x14ac:dyDescent="0.25">
      <c r="A53" t="s">
        <v>203</v>
      </c>
      <c r="B53" t="s">
        <v>205</v>
      </c>
      <c r="C53" s="66">
        <v>37.54</v>
      </c>
      <c r="D53" s="53">
        <v>1</v>
      </c>
      <c r="E53" s="19">
        <f>C53*D53</f>
        <v>37.54</v>
      </c>
      <c r="F53" s="20">
        <v>0.15</v>
      </c>
      <c r="G53" s="19">
        <f>IFERROR(E53/(1-F53),0)</f>
        <v>44.16</v>
      </c>
      <c r="H53" s="19">
        <f>IFERROR(G53-E53,0)</f>
        <v>6.62</v>
      </c>
    </row>
    <row r="54" spans="2:8" x14ac:dyDescent="0.25">
      <c r="B54" s="25" t="s">
        <v>206</v>
      </c>
      <c r="E54" s="54">
        <f>SUM(E52:E53)</f>
        <v>487.54</v>
      </c>
      <c r="G54" s="19">
        <f>SUM(G52:G53)</f>
        <v>573.5699999999999</v>
      </c>
      <c r="H54" s="19">
        <f>IFERROR(G54-E54,0)</f>
        <v>86.02999999999997</v>
      </c>
    </row>
    <row r="56" spans="1:1" s="32" customFormat="1" x14ac:dyDescent="0.25">
      <c r="A56" s="40" t="s">
        <v>64</v>
      </c>
    </row>
    <row r="57" spans="1:8" x14ac:dyDescent="0.25">
      <c r="A57" t="s">
        <v>203</v>
      </c>
      <c r="B57" t="s">
        <v>204</v>
      </c>
      <c r="C57" s="66">
        <v>8400</v>
      </c>
      <c r="D57" s="53">
        <v>1</v>
      </c>
      <c r="E57" s="19">
        <f>C57*D57</f>
        <v>8400</v>
      </c>
      <c r="F57" s="20">
        <v>0.15</v>
      </c>
      <c r="G57" s="19">
        <f>IFERROR(E57/(1-F57),0)</f>
        <v>9882.35</v>
      </c>
      <c r="H57" s="19">
        <f>IFERROR(G57-E57,0)</f>
        <v>1482.35</v>
      </c>
    </row>
    <row r="58" spans="1:8" x14ac:dyDescent="0.25">
      <c r="A58" s="32" t="s">
        <v>203</v>
      </c>
      <c r="B58" s="32" t="s">
        <v>205</v>
      </c>
      <c r="C58" s="65">
        <v>403.2</v>
      </c>
      <c r="D58" s="46">
        <v>1</v>
      </c>
      <c r="E58" s="33">
        <f>C58*D58</f>
        <v>403.2</v>
      </c>
      <c r="F58" s="69">
        <v>0.15</v>
      </c>
      <c r="G58" s="33">
        <f>IFERROR(E58/(1-F58),0)</f>
        <v>474.35</v>
      </c>
      <c r="H58" s="33">
        <f>IFERROR(G58-E58,0)</f>
        <v>71.15</v>
      </c>
    </row>
    <row r="59" spans="1:8" x14ac:dyDescent="0.25">
      <c r="A59" t="s">
        <v>203</v>
      </c>
      <c r="B59" t="s">
        <v>207</v>
      </c>
      <c r="C59" s="66">
        <v>12000</v>
      </c>
      <c r="D59" s="53">
        <v>1</v>
      </c>
      <c r="E59" s="19">
        <f>C59*D59</f>
        <v>12000</v>
      </c>
      <c r="F59" s="20">
        <v>0.15</v>
      </c>
      <c r="G59" s="19">
        <f>IFERROR(E59/(1-F59),0)</f>
        <v>14117.65</v>
      </c>
      <c r="H59" s="19">
        <f>IFERROR(G59-E59,0)</f>
        <v>2117.65</v>
      </c>
    </row>
    <row r="60" spans="2:8" x14ac:dyDescent="0.25">
      <c r="B60" s="25" t="s">
        <v>206</v>
      </c>
      <c r="E60" s="54">
        <f>SUM(E57:E59)</f>
        <v>20803.2</v>
      </c>
      <c r="G60" s="19">
        <f>SUM(G57:G59)</f>
        <v>24474.35</v>
      </c>
      <c r="H60" s="19">
        <f>IFERROR(G60-E60,0)</f>
        <v>3671.1499999999996</v>
      </c>
    </row>
    <row r="62" spans="1:1" s="32" customFormat="1" x14ac:dyDescent="0.25">
      <c r="A62" s="40" t="s">
        <v>65</v>
      </c>
    </row>
    <row r="63" spans="1:8" x14ac:dyDescent="0.25">
      <c r="A63" t="s">
        <v>203</v>
      </c>
      <c r="B63" t="s">
        <v>204</v>
      </c>
      <c r="C63" s="66">
        <v>16800</v>
      </c>
      <c r="D63" s="53">
        <v>1</v>
      </c>
      <c r="E63" s="19">
        <f>C63*D63</f>
        <v>16800</v>
      </c>
      <c r="F63" s="20">
        <v>0.15</v>
      </c>
      <c r="G63" s="19">
        <f>IFERROR(E63/(1-F63),0)</f>
        <v>19764.71</v>
      </c>
      <c r="H63" s="19">
        <f>IFERROR(G63-E63,0)</f>
        <v>2964.71</v>
      </c>
    </row>
    <row r="64" spans="1:8" x14ac:dyDescent="0.25">
      <c r="A64" s="32" t="s">
        <v>203</v>
      </c>
      <c r="B64" s="32" t="s">
        <v>205</v>
      </c>
      <c r="C64" s="65">
        <v>507</v>
      </c>
      <c r="D64" s="46">
        <v>1</v>
      </c>
      <c r="E64" s="33">
        <f>C64*D64</f>
        <v>507</v>
      </c>
      <c r="F64" s="69">
        <v>0.15</v>
      </c>
      <c r="G64" s="33">
        <f>IFERROR(E64/(1-F64),0)</f>
        <v>596.47</v>
      </c>
      <c r="H64" s="33">
        <f>IFERROR(G64-E64,0)</f>
        <v>89.47</v>
      </c>
    </row>
    <row r="65" spans="1:8" x14ac:dyDescent="0.25">
      <c r="A65" t="s">
        <v>203</v>
      </c>
      <c r="B65" t="s">
        <v>207</v>
      </c>
      <c r="C65" s="66">
        <v>12000</v>
      </c>
      <c r="D65" s="53">
        <v>1</v>
      </c>
      <c r="E65" s="19">
        <f>C65*D65</f>
        <v>12000</v>
      </c>
      <c r="F65" s="20">
        <v>0.15</v>
      </c>
      <c r="G65" s="19">
        <f>IFERROR(E65/(1-F65),0)</f>
        <v>14117.65</v>
      </c>
      <c r="H65" s="19">
        <f>IFERROR(G65-E65,0)</f>
        <v>2117.65</v>
      </c>
    </row>
    <row r="66" spans="2:8" x14ac:dyDescent="0.25">
      <c r="B66" s="25" t="s">
        <v>206</v>
      </c>
      <c r="E66" s="54">
        <f>SUM(E63:E65)</f>
        <v>29307</v>
      </c>
      <c r="G66" s="19">
        <f>SUM(G63:G65)</f>
        <v>34478.83</v>
      </c>
      <c r="H66" s="19">
        <f>IFERROR(G66-E66,0)</f>
        <v>5171.829999999998</v>
      </c>
    </row>
    <row r="68" spans="1:8" x14ac:dyDescent="0.25">
      <c r="A68" s="27" t="s">
        <v>208</v>
      </c>
      <c r="B68" s="27"/>
      <c r="C68" s="27"/>
      <c r="D68" s="27"/>
      <c r="E68" s="70">
        <f>E10+E16+E22+E27+E33+E39+E44+E49+E54+E60+E66</f>
        <v>162049.90999999997</v>
      </c>
      <c r="F68" s="27"/>
      <c r="G68" s="70">
        <f>G10+G16+G22+G27+G33+G39+G44+G49+G54+G60+G66</f>
        <v>190646.96</v>
      </c>
      <c r="H68" s="70">
        <f>IFERROR(G68-E68,0)</f>
        <v>28597.050000000017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209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38</v>
      </c>
      <c r="B4" s="3" t="s">
        <v>210</v>
      </c>
      <c r="C4" s="3" t="s">
        <v>40</v>
      </c>
      <c r="D4" s="3" t="s">
        <v>211</v>
      </c>
      <c r="E4" s="3" t="s">
        <v>32</v>
      </c>
    </row>
    <row r="5" spans="1:7" x14ac:dyDescent="0.25">
      <c r="A5" s="32"/>
      <c r="B5" s="32" t="s">
        <v>212</v>
      </c>
      <c r="C5" s="33">
        <v>300</v>
      </c>
      <c r="D5" s="71">
        <v>0</v>
      </c>
      <c r="E5" s="33">
        <v>0</v>
      </c>
      <c r="G5" s="72" t="s">
        <v>38</v>
      </c>
    </row>
    <row r="6" spans="2:7" x14ac:dyDescent="0.25">
      <c r="B6" t="s">
        <v>213</v>
      </c>
      <c r="C6" s="19">
        <v>1000</v>
      </c>
      <c r="D6" s="73">
        <v>0</v>
      </c>
      <c r="E6" s="19">
        <v>0</v>
      </c>
      <c r="G6" s="72" t="s">
        <v>38</v>
      </c>
    </row>
    <row r="7" spans="1:7" x14ac:dyDescent="0.25">
      <c r="A7" s="32"/>
      <c r="B7" s="32" t="s">
        <v>214</v>
      </c>
      <c r="C7" s="33">
        <v>125</v>
      </c>
      <c r="D7" s="71">
        <v>0</v>
      </c>
      <c r="E7" s="33">
        <v>0</v>
      </c>
      <c r="G7" s="72" t="s">
        <v>38</v>
      </c>
    </row>
    <row r="8" spans="2:7" x14ac:dyDescent="0.25">
      <c r="B8" t="s">
        <v>215</v>
      </c>
      <c r="C8" s="19">
        <v>100</v>
      </c>
      <c r="D8" s="73">
        <v>0</v>
      </c>
      <c r="E8" s="19">
        <v>0</v>
      </c>
      <c r="G8" s="72" t="s">
        <v>38</v>
      </c>
    </row>
    <row r="9" spans="1:7" x14ac:dyDescent="0.25">
      <c r="A9" s="32"/>
      <c r="B9" s="32" t="s">
        <v>216</v>
      </c>
      <c r="C9" s="33">
        <v>10000</v>
      </c>
      <c r="D9" s="71">
        <v>0</v>
      </c>
      <c r="E9" s="33">
        <v>0</v>
      </c>
      <c r="G9" s="72" t="s">
        <v>217</v>
      </c>
    </row>
    <row r="10" spans="1:5" x14ac:dyDescent="0.25">
      <c r="A10" s="67"/>
      <c r="B10" s="67" t="s">
        <v>218</v>
      </c>
      <c r="C10" s="67"/>
      <c r="D10" s="67"/>
      <c r="E10" s="68">
        <v>0</v>
      </c>
    </row>
    <row r="11" spans="1:5" x14ac:dyDescent="0.25">
      <c r="A11" s="35"/>
      <c r="B11" s="35" t="s">
        <v>198</v>
      </c>
      <c r="C11" s="35" t="s">
        <v>219</v>
      </c>
      <c r="D11" s="35"/>
      <c r="E11" s="36">
        <v>0</v>
      </c>
    </row>
    <row r="13" ht="24" customHeight="1" spans="1:5" x14ac:dyDescent="0.25">
      <c r="A13" s="3" t="s">
        <v>38</v>
      </c>
      <c r="B13" s="3" t="s">
        <v>220</v>
      </c>
      <c r="C13" s="3" t="s">
        <v>40</v>
      </c>
      <c r="D13" s="3" t="s">
        <v>211</v>
      </c>
      <c r="E13" s="3" t="s">
        <v>32</v>
      </c>
    </row>
    <row r="14" spans="1:7" x14ac:dyDescent="0.25">
      <c r="A14" s="32"/>
      <c r="B14" s="32" t="s">
        <v>212</v>
      </c>
      <c r="C14" s="33">
        <v>300</v>
      </c>
      <c r="D14" s="71">
        <v>0</v>
      </c>
      <c r="E14" s="33">
        <v>0</v>
      </c>
      <c r="G14" s="72" t="s">
        <v>38</v>
      </c>
    </row>
    <row r="15" spans="2:7" x14ac:dyDescent="0.25">
      <c r="B15" t="s">
        <v>213</v>
      </c>
      <c r="C15" s="19">
        <v>1000</v>
      </c>
      <c r="D15" s="73">
        <v>0</v>
      </c>
      <c r="E15" s="19">
        <v>0</v>
      </c>
      <c r="G15" s="72" t="s">
        <v>38</v>
      </c>
    </row>
    <row r="16" spans="1:7" x14ac:dyDescent="0.25">
      <c r="A16" s="32"/>
      <c r="B16" s="32" t="s">
        <v>214</v>
      </c>
      <c r="C16" s="33">
        <v>125</v>
      </c>
      <c r="D16" s="71">
        <v>0</v>
      </c>
      <c r="E16" s="33">
        <v>0</v>
      </c>
      <c r="G16" s="72" t="s">
        <v>38</v>
      </c>
    </row>
    <row r="17" spans="2:7" x14ac:dyDescent="0.25">
      <c r="B17" t="s">
        <v>215</v>
      </c>
      <c r="C17" s="19">
        <v>100</v>
      </c>
      <c r="D17" s="73">
        <v>0</v>
      </c>
      <c r="E17" s="19">
        <v>0</v>
      </c>
      <c r="G17" s="72" t="s">
        <v>38</v>
      </c>
    </row>
    <row r="18" spans="1:7" x14ac:dyDescent="0.25">
      <c r="A18" s="32"/>
      <c r="B18" s="32" t="s">
        <v>216</v>
      </c>
      <c r="C18" s="33">
        <v>10000</v>
      </c>
      <c r="D18" s="71">
        <v>0</v>
      </c>
      <c r="E18" s="33">
        <v>0</v>
      </c>
      <c r="G18" s="72" t="s">
        <v>217</v>
      </c>
    </row>
    <row r="19" spans="1:5" x14ac:dyDescent="0.25">
      <c r="A19" s="67"/>
      <c r="B19" s="67" t="s">
        <v>218</v>
      </c>
      <c r="C19" s="67"/>
      <c r="D19" s="67"/>
      <c r="E19" s="68">
        <v>0</v>
      </c>
    </row>
    <row r="20" spans="1:5" x14ac:dyDescent="0.25">
      <c r="A20" s="35"/>
      <c r="B20" s="35" t="s">
        <v>198</v>
      </c>
      <c r="C20" s="35" t="s">
        <v>219</v>
      </c>
      <c r="D20" s="35"/>
      <c r="E20" s="36">
        <v>0</v>
      </c>
    </row>
    <row r="22" ht="24" customHeight="1" spans="1:5" x14ac:dyDescent="0.25">
      <c r="A22" s="3" t="s">
        <v>38</v>
      </c>
      <c r="B22" s="3" t="s">
        <v>221</v>
      </c>
      <c r="C22" s="3" t="s">
        <v>40</v>
      </c>
      <c r="D22" s="3" t="s">
        <v>211</v>
      </c>
      <c r="E22" s="3" t="s">
        <v>32</v>
      </c>
    </row>
    <row r="23" spans="1:7" x14ac:dyDescent="0.25">
      <c r="A23" s="32"/>
      <c r="B23" s="32" t="s">
        <v>212</v>
      </c>
      <c r="C23" s="33">
        <v>300</v>
      </c>
      <c r="D23" s="71">
        <v>0</v>
      </c>
      <c r="E23" s="33">
        <v>0</v>
      </c>
      <c r="G23" s="72" t="s">
        <v>38</v>
      </c>
    </row>
    <row r="24" spans="2:7" x14ac:dyDescent="0.25">
      <c r="B24" t="s">
        <v>213</v>
      </c>
      <c r="C24" s="19">
        <v>1000</v>
      </c>
      <c r="D24" s="73">
        <v>0</v>
      </c>
      <c r="E24" s="19">
        <v>0</v>
      </c>
      <c r="G24" s="72" t="s">
        <v>38</v>
      </c>
    </row>
    <row r="25" spans="1:7" x14ac:dyDescent="0.25">
      <c r="A25" s="32"/>
      <c r="B25" s="32" t="s">
        <v>214</v>
      </c>
      <c r="C25" s="33">
        <v>125</v>
      </c>
      <c r="D25" s="71">
        <v>0</v>
      </c>
      <c r="E25" s="33">
        <v>0</v>
      </c>
      <c r="G25" s="72" t="s">
        <v>38</v>
      </c>
    </row>
    <row r="26" spans="2:7" x14ac:dyDescent="0.25">
      <c r="B26" t="s">
        <v>215</v>
      </c>
      <c r="C26" s="19">
        <v>100</v>
      </c>
      <c r="D26" s="73">
        <v>0</v>
      </c>
      <c r="E26" s="19">
        <v>0</v>
      </c>
      <c r="G26" s="72" t="s">
        <v>38</v>
      </c>
    </row>
    <row r="27" spans="1:7" x14ac:dyDescent="0.25">
      <c r="A27" s="32"/>
      <c r="B27" s="32" t="s">
        <v>216</v>
      </c>
      <c r="C27" s="33">
        <v>10000</v>
      </c>
      <c r="D27" s="71">
        <v>0</v>
      </c>
      <c r="E27" s="33">
        <v>0</v>
      </c>
      <c r="G27" s="72" t="s">
        <v>217</v>
      </c>
    </row>
    <row r="28" spans="2:7" x14ac:dyDescent="0.25">
      <c r="B28" t="s">
        <v>222</v>
      </c>
      <c r="C28" s="19">
        <v>1500</v>
      </c>
      <c r="D28" s="73">
        <v>0</v>
      </c>
      <c r="E28" s="19">
        <v>0</v>
      </c>
      <c r="G28" s="72" t="s">
        <v>38</v>
      </c>
    </row>
    <row r="29" spans="1:5" x14ac:dyDescent="0.25">
      <c r="A29" s="67"/>
      <c r="B29" s="67" t="s">
        <v>218</v>
      </c>
      <c r="C29" s="67"/>
      <c r="D29" s="67"/>
      <c r="E29" s="68">
        <v>0</v>
      </c>
    </row>
    <row r="30" spans="1:5" x14ac:dyDescent="0.25">
      <c r="A30" s="35"/>
      <c r="B30" s="35" t="s">
        <v>198</v>
      </c>
      <c r="C30" s="35" t="s">
        <v>219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223</v>
      </c>
      <c r="B1" s="1"/>
      <c r="C1" s="1"/>
      <c r="D1" s="1"/>
      <c r="E1" s="1"/>
      <c r="F1" s="1"/>
      <c r="G1" s="1"/>
    </row>
    <row r="4" spans="2:2" x14ac:dyDescent="0.25">
      <c r="B4" s="63" t="s">
        <v>224</v>
      </c>
    </row>
    <row r="5" spans="2:2" x14ac:dyDescent="0.25">
      <c r="B5" s="74" t="s">
        <v>225</v>
      </c>
    </row>
    <row r="6" ht="24" customHeight="1" spans="1:9" x14ac:dyDescent="0.25">
      <c r="A6" s="24" t="s">
        <v>38</v>
      </c>
      <c r="B6" s="24" t="s">
        <v>77</v>
      </c>
      <c r="C6" s="24" t="s">
        <v>226</v>
      </c>
      <c r="D6" s="24" t="s">
        <v>40</v>
      </c>
      <c r="E6" s="24" t="s">
        <v>211</v>
      </c>
      <c r="F6" s="24" t="s">
        <v>32</v>
      </c>
      <c r="G6" s="24" t="s">
        <v>202</v>
      </c>
      <c r="H6" s="24" t="s">
        <v>41</v>
      </c>
      <c r="I6" s="24" t="s">
        <v>42</v>
      </c>
    </row>
    <row r="7" spans="1:9" x14ac:dyDescent="0.25">
      <c r="A7" s="32"/>
      <c r="B7" s="6" t="s">
        <v>227</v>
      </c>
      <c r="C7" s="32" t="s">
        <v>228</v>
      </c>
      <c r="D7" s="65">
        <v>0</v>
      </c>
      <c r="E7" s="71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227</v>
      </c>
      <c r="C8" t="s">
        <v>229</v>
      </c>
      <c r="D8" s="66">
        <v>0</v>
      </c>
      <c r="E8" s="73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227</v>
      </c>
      <c r="C9" s="32" t="s">
        <v>230</v>
      </c>
      <c r="D9" s="65">
        <v>0</v>
      </c>
      <c r="E9" s="71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227</v>
      </c>
      <c r="C10" t="s">
        <v>231</v>
      </c>
      <c r="D10" s="66">
        <v>0</v>
      </c>
      <c r="E10" s="73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232</v>
      </c>
      <c r="C11" s="32" t="s">
        <v>228</v>
      </c>
      <c r="D11" s="65">
        <v>0</v>
      </c>
      <c r="E11" s="71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232</v>
      </c>
      <c r="C12" t="s">
        <v>229</v>
      </c>
      <c r="D12" s="66">
        <v>0</v>
      </c>
      <c r="E12" s="73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232</v>
      </c>
      <c r="C13" s="32" t="s">
        <v>230</v>
      </c>
      <c r="D13" s="65">
        <v>0</v>
      </c>
      <c r="E13" s="71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233</v>
      </c>
      <c r="C14" t="s">
        <v>234</v>
      </c>
      <c r="D14" s="66">
        <v>0</v>
      </c>
      <c r="E14" s="73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233</v>
      </c>
      <c r="C15" s="32" t="s">
        <v>235</v>
      </c>
      <c r="D15" s="65">
        <v>0</v>
      </c>
      <c r="E15" s="71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233</v>
      </c>
      <c r="C16" t="s">
        <v>236</v>
      </c>
      <c r="D16" s="66">
        <v>0</v>
      </c>
      <c r="E16" s="73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38</v>
      </c>
      <c r="C17" s="32" t="s">
        <v>237</v>
      </c>
      <c r="D17" s="65">
        <v>0</v>
      </c>
      <c r="E17" s="71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238</v>
      </c>
      <c r="D18" s="66">
        <v>0</v>
      </c>
      <c r="E18" s="73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109</v>
      </c>
      <c r="D19" s="65">
        <v>0</v>
      </c>
      <c r="E19" s="71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239</v>
      </c>
      <c r="D20" s="66">
        <v>0</v>
      </c>
      <c r="E20" s="73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55"/>
      <c r="B22" s="55"/>
      <c r="C22" s="55" t="s">
        <v>240</v>
      </c>
      <c r="D22" s="55"/>
      <c r="E22" s="55"/>
      <c r="F22" s="57">
        <f>SUM(F7:F20)</f>
        <v>0</v>
      </c>
      <c r="G22" s="55"/>
      <c r="H22" s="57">
        <f>SUM(H7:H20)</f>
        <v>0</v>
      </c>
      <c r="I22" s="57">
        <f>IFERROR(H22-F22,0)</f>
        <v>0</v>
      </c>
    </row>
    <row r="24" spans="2:6" x14ac:dyDescent="0.25">
      <c r="B24" t="s">
        <v>86</v>
      </c>
      <c r="F24" s="66">
        <v>0</v>
      </c>
    </row>
    <row r="25" spans="2:6" x14ac:dyDescent="0.25">
      <c r="B25" t="s">
        <v>87</v>
      </c>
      <c r="F25" s="66">
        <v>0</v>
      </c>
    </row>
    <row r="26" spans="1:9" x14ac:dyDescent="0.25">
      <c r="A26" s="27"/>
      <c r="B26" s="75" t="s">
        <v>241</v>
      </c>
      <c r="C26" s="75" t="s">
        <v>219</v>
      </c>
      <c r="D26" s="27"/>
      <c r="E26" s="27"/>
      <c r="F26" s="76">
        <f>F22+F24+F25</f>
        <v>0</v>
      </c>
      <c r="G26" s="27"/>
      <c r="H26" s="76">
        <f>H22</f>
        <v>0</v>
      </c>
      <c r="I26" s="76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242</v>
      </c>
      <c r="B1" s="1"/>
      <c r="C1" s="1"/>
      <c r="D1" s="1"/>
      <c r="E1" s="1"/>
      <c r="F1" s="1"/>
      <c r="G1" s="1"/>
    </row>
    <row r="4" spans="2:2" x14ac:dyDescent="0.25">
      <c r="B4" s="63" t="s">
        <v>243</v>
      </c>
    </row>
    <row r="5" spans="2:2" x14ac:dyDescent="0.25">
      <c r="B5" s="74" t="s">
        <v>225</v>
      </c>
    </row>
    <row r="6" ht="24" customHeight="1" spans="1:9" x14ac:dyDescent="0.25">
      <c r="A6" s="24" t="s">
        <v>38</v>
      </c>
      <c r="B6" s="24" t="s">
        <v>77</v>
      </c>
      <c r="C6" s="24" t="s">
        <v>226</v>
      </c>
      <c r="D6" s="24" t="s">
        <v>40</v>
      </c>
      <c r="E6" s="24" t="s">
        <v>211</v>
      </c>
      <c r="F6" s="24" t="s">
        <v>32</v>
      </c>
      <c r="G6" s="24" t="s">
        <v>202</v>
      </c>
      <c r="H6" s="24" t="s">
        <v>41</v>
      </c>
      <c r="I6" s="24" t="s">
        <v>42</v>
      </c>
    </row>
    <row r="7" spans="1:9" x14ac:dyDescent="0.25">
      <c r="A7" s="32"/>
      <c r="B7" s="6" t="s">
        <v>244</v>
      </c>
      <c r="C7" s="32" t="s">
        <v>245</v>
      </c>
      <c r="D7" s="65">
        <v>0</v>
      </c>
      <c r="E7" s="71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244</v>
      </c>
      <c r="C8" t="s">
        <v>246</v>
      </c>
      <c r="D8" s="66">
        <v>0</v>
      </c>
      <c r="E8" s="73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244</v>
      </c>
      <c r="C9" s="32" t="s">
        <v>247</v>
      </c>
      <c r="D9" s="65">
        <v>0</v>
      </c>
      <c r="E9" s="71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244</v>
      </c>
      <c r="C10" t="s">
        <v>248</v>
      </c>
      <c r="D10" s="66">
        <v>0</v>
      </c>
      <c r="E10" s="73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244</v>
      </c>
      <c r="C11" s="32" t="s">
        <v>249</v>
      </c>
      <c r="D11" s="65">
        <v>0</v>
      </c>
      <c r="E11" s="71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250</v>
      </c>
      <c r="C12" t="s">
        <v>251</v>
      </c>
      <c r="D12" s="66">
        <v>0</v>
      </c>
      <c r="E12" s="73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250</v>
      </c>
      <c r="C13" s="32" t="s">
        <v>252</v>
      </c>
      <c r="D13" s="65">
        <v>0</v>
      </c>
      <c r="E13" s="71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250</v>
      </c>
      <c r="C14" t="s">
        <v>253</v>
      </c>
      <c r="D14" s="66">
        <v>0</v>
      </c>
      <c r="E14" s="73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254</v>
      </c>
      <c r="C15" s="32" t="s">
        <v>234</v>
      </c>
      <c r="D15" s="65">
        <v>0</v>
      </c>
      <c r="E15" s="71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254</v>
      </c>
      <c r="C16" t="s">
        <v>255</v>
      </c>
      <c r="D16" s="66">
        <v>0</v>
      </c>
      <c r="E16" s="73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254</v>
      </c>
      <c r="C17" s="32" t="s">
        <v>236</v>
      </c>
      <c r="D17" s="65">
        <v>0</v>
      </c>
      <c r="E17" s="71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237</v>
      </c>
      <c r="D18" s="66">
        <v>0</v>
      </c>
      <c r="E18" s="73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238</v>
      </c>
      <c r="D19" s="65">
        <v>0</v>
      </c>
      <c r="E19" s="71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109</v>
      </c>
      <c r="D20" s="66">
        <v>0</v>
      </c>
      <c r="E20" s="73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38</v>
      </c>
      <c r="C21" s="32" t="s">
        <v>239</v>
      </c>
      <c r="D21" s="65">
        <v>0</v>
      </c>
      <c r="E21" s="71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55"/>
      <c r="B23" s="55"/>
      <c r="C23" s="55" t="s">
        <v>256</v>
      </c>
      <c r="D23" s="55"/>
      <c r="E23" s="55"/>
      <c r="F23" s="57">
        <f>SUM(F7:F21)</f>
        <v>0</v>
      </c>
      <c r="G23" s="55"/>
      <c r="H23" s="57">
        <f>SUM(H7:H21)</f>
        <v>0</v>
      </c>
      <c r="I23" s="57">
        <f>IFERROR(H23-F23,0)</f>
        <v>0</v>
      </c>
    </row>
    <row r="25" spans="2:6" x14ac:dyDescent="0.25">
      <c r="B25" t="s">
        <v>86</v>
      </c>
      <c r="F25" s="66">
        <v>0</v>
      </c>
    </row>
    <row r="26" spans="2:6" x14ac:dyDescent="0.25">
      <c r="B26" t="s">
        <v>87</v>
      </c>
      <c r="F26" s="66">
        <v>0</v>
      </c>
    </row>
    <row r="27" spans="1:9" x14ac:dyDescent="0.25">
      <c r="A27" s="27"/>
      <c r="B27" s="75" t="s">
        <v>241</v>
      </c>
      <c r="C27" s="75" t="s">
        <v>219</v>
      </c>
      <c r="D27" s="27"/>
      <c r="E27" s="27"/>
      <c r="F27" s="76">
        <f>F23+F25+F26</f>
        <v>0</v>
      </c>
      <c r="G27" s="27"/>
      <c r="H27" s="76">
        <f>H23</f>
        <v>0</v>
      </c>
      <c r="I27" s="76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257</v>
      </c>
      <c r="B1" s="1"/>
      <c r="C1" s="1"/>
      <c r="D1" s="1"/>
      <c r="E1" s="1"/>
    </row>
    <row r="2" spans="1:5" x14ac:dyDescent="0.25">
      <c r="A2" s="2" t="s">
        <v>258</v>
      </c>
      <c r="B2" s="2"/>
      <c r="C2" s="2"/>
      <c r="D2" s="2"/>
      <c r="E2" s="2"/>
    </row>
    <row r="4" spans="1:3" x14ac:dyDescent="0.25">
      <c r="A4" t="s">
        <v>259</v>
      </c>
      <c r="B4" s="73">
        <v>3</v>
      </c>
      <c r="C4" s="77" t="s">
        <v>260</v>
      </c>
    </row>
    <row r="5" spans="1:3" x14ac:dyDescent="0.25">
      <c r="A5" t="s">
        <v>261</v>
      </c>
      <c r="B5" s="66">
        <v>0</v>
      </c>
      <c r="C5" s="77" t="s">
        <v>262</v>
      </c>
    </row>
    <row r="6" spans="1:3" x14ac:dyDescent="0.25">
      <c r="A6" t="s">
        <v>263</v>
      </c>
      <c r="B6" s="20">
        <v>0.03</v>
      </c>
      <c r="C6" s="77" t="s">
        <v>264</v>
      </c>
    </row>
    <row r="7" spans="1:3" x14ac:dyDescent="0.25">
      <c r="A7" t="s">
        <v>43</v>
      </c>
      <c r="B7" s="20">
        <v>0.15</v>
      </c>
      <c r="C7" s="77" t="s">
        <v>265</v>
      </c>
    </row>
    <row r="10" spans="1:5" x14ac:dyDescent="0.25">
      <c r="A10" s="24" t="s">
        <v>266</v>
      </c>
      <c r="B10" s="24" t="s">
        <v>40</v>
      </c>
      <c r="C10" s="24" t="s">
        <v>41</v>
      </c>
      <c r="D10" s="24" t="s">
        <v>42</v>
      </c>
      <c r="E10" s="24" t="s">
        <v>267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268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268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268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38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38</v>
      </c>
    </row>
    <row r="17" spans="1:5" x14ac:dyDescent="0.25">
      <c r="A17" s="55" t="s">
        <v>269</v>
      </c>
      <c r="B17" s="57">
        <f>SUM(B11:B15)</f>
        <v>0</v>
      </c>
      <c r="C17" s="57">
        <f>SUM(C11:C15)</f>
        <v>0</v>
      </c>
      <c r="D17" s="57">
        <f>IFERROR(C17-B17,0)</f>
        <v>0</v>
      </c>
      <c r="E17" s="55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270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38</v>
      </c>
      <c r="B4" s="24" t="s">
        <v>77</v>
      </c>
      <c r="C4" s="24" t="s">
        <v>226</v>
      </c>
      <c r="D4" s="24" t="s">
        <v>40</v>
      </c>
      <c r="E4" s="24" t="s">
        <v>211</v>
      </c>
      <c r="F4" s="24" t="s">
        <v>32</v>
      </c>
      <c r="G4" s="24" t="s">
        <v>202</v>
      </c>
      <c r="H4" s="24" t="s">
        <v>41</v>
      </c>
      <c r="I4" s="24" t="s">
        <v>42</v>
      </c>
    </row>
    <row r="5" spans="1:9" x14ac:dyDescent="0.25">
      <c r="A5" s="32"/>
      <c r="B5" s="32" t="s">
        <v>271</v>
      </c>
      <c r="C5" s="32" t="s">
        <v>272</v>
      </c>
      <c r="D5" s="65">
        <v>0</v>
      </c>
      <c r="E5" s="71">
        <v>1</v>
      </c>
      <c r="F5" s="33">
        <f>D5*E5</f>
        <v>0</v>
      </c>
      <c r="G5" s="69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273</v>
      </c>
      <c r="C6" t="s">
        <v>71</v>
      </c>
      <c r="D6" s="66">
        <v>0</v>
      </c>
      <c r="E6" s="73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274</v>
      </c>
      <c r="C7" s="32" t="s">
        <v>72</v>
      </c>
      <c r="D7" s="65">
        <v>0</v>
      </c>
      <c r="E7" s="71">
        <v>1</v>
      </c>
      <c r="F7" s="33">
        <f>D7*E7</f>
        <v>0</v>
      </c>
      <c r="G7" s="69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164</v>
      </c>
      <c r="C8" t="s">
        <v>73</v>
      </c>
      <c r="D8" s="66">
        <v>0</v>
      </c>
      <c r="E8" s="73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55"/>
      <c r="B10" s="55"/>
      <c r="C10" s="55" t="s">
        <v>275</v>
      </c>
      <c r="D10" s="55"/>
      <c r="E10" s="55"/>
      <c r="F10" s="57">
        <f>SUM(F5:F8)</f>
        <v>0</v>
      </c>
      <c r="G10" s="55"/>
      <c r="H10" s="57">
        <f>SUM(H5:H8)</f>
        <v>0</v>
      </c>
      <c r="I10" s="57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8" t="s">
        <v>276</v>
      </c>
    </row>
    <row r="2" spans="2:2" x14ac:dyDescent="0.25">
      <c r="B2" t="s">
        <v>277</v>
      </c>
    </row>
    <row r="4" ht="24" customHeight="1" spans="2:4" x14ac:dyDescent="0.25">
      <c r="B4" s="79" t="s">
        <v>278</v>
      </c>
      <c r="C4" s="80" t="s">
        <v>279</v>
      </c>
      <c r="D4" s="80" t="s">
        <v>280</v>
      </c>
    </row>
    <row r="5" spans="1:4" x14ac:dyDescent="0.25">
      <c r="A5" s="32"/>
      <c r="B5" s="81" t="s">
        <v>281</v>
      </c>
      <c r="C5" s="46" t="s">
        <v>38</v>
      </c>
      <c r="D5" s="46" t="s">
        <v>282</v>
      </c>
    </row>
    <row r="6" spans="2:4" x14ac:dyDescent="0.25">
      <c r="B6" s="82" t="s">
        <v>283</v>
      </c>
      <c r="C6" s="53" t="s">
        <v>284</v>
      </c>
      <c r="D6" s="53" t="s">
        <v>38</v>
      </c>
    </row>
    <row r="7" spans="1:4" x14ac:dyDescent="0.25">
      <c r="A7" s="32"/>
      <c r="B7" s="81" t="s">
        <v>285</v>
      </c>
      <c r="C7" s="46" t="s">
        <v>284</v>
      </c>
      <c r="D7" s="46" t="s">
        <v>38</v>
      </c>
    </row>
    <row r="8" spans="2:4" x14ac:dyDescent="0.25">
      <c r="B8" s="82" t="s">
        <v>286</v>
      </c>
      <c r="C8" s="53" t="s">
        <v>282</v>
      </c>
      <c r="D8" s="53" t="s">
        <v>38</v>
      </c>
    </row>
    <row r="9" spans="1:4" x14ac:dyDescent="0.25">
      <c r="A9" s="32"/>
      <c r="B9" s="81" t="s">
        <v>287</v>
      </c>
      <c r="C9" s="46" t="s">
        <v>282</v>
      </c>
      <c r="D9" s="46" t="s">
        <v>38</v>
      </c>
    </row>
    <row r="10" spans="2:4" x14ac:dyDescent="0.25">
      <c r="B10" s="82" t="s">
        <v>288</v>
      </c>
      <c r="C10" s="53" t="s">
        <v>38</v>
      </c>
      <c r="D10" s="53" t="s">
        <v>282</v>
      </c>
    </row>
    <row r="11" spans="1:4" x14ac:dyDescent="0.25">
      <c r="A11" s="32"/>
      <c r="B11" s="81" t="s">
        <v>289</v>
      </c>
      <c r="C11" s="46" t="s">
        <v>38</v>
      </c>
      <c r="D11" s="46" t="s">
        <v>282</v>
      </c>
    </row>
    <row r="13" ht="24" customHeight="1" spans="2:4" x14ac:dyDescent="0.25">
      <c r="B13" s="79" t="s">
        <v>290</v>
      </c>
      <c r="C13" s="80" t="s">
        <v>279</v>
      </c>
      <c r="D13" s="80" t="s">
        <v>280</v>
      </c>
    </row>
    <row r="14" spans="1:4" x14ac:dyDescent="0.25">
      <c r="A14" s="32"/>
      <c r="B14" s="81" t="s">
        <v>291</v>
      </c>
      <c r="C14" s="46" t="s">
        <v>38</v>
      </c>
      <c r="D14" s="46" t="s">
        <v>282</v>
      </c>
    </row>
    <row r="15" spans="2:4" x14ac:dyDescent="0.25">
      <c r="B15" s="82" t="s">
        <v>292</v>
      </c>
      <c r="C15" s="53" t="s">
        <v>282</v>
      </c>
      <c r="D15" s="53" t="s">
        <v>38</v>
      </c>
    </row>
    <row r="16" spans="1:4" x14ac:dyDescent="0.25">
      <c r="A16" s="32"/>
      <c r="B16" s="81" t="s">
        <v>293</v>
      </c>
      <c r="C16" s="46" t="s">
        <v>282</v>
      </c>
      <c r="D16" s="46" t="s">
        <v>38</v>
      </c>
    </row>
    <row r="17" spans="2:4" x14ac:dyDescent="0.25">
      <c r="B17" s="82" t="s">
        <v>294</v>
      </c>
      <c r="C17" s="53" t="s">
        <v>38</v>
      </c>
      <c r="D17" s="53" t="s">
        <v>282</v>
      </c>
    </row>
    <row r="18" spans="1:4" x14ac:dyDescent="0.25">
      <c r="A18" s="32"/>
      <c r="B18" s="81" t="s">
        <v>295</v>
      </c>
      <c r="C18" s="46" t="s">
        <v>38</v>
      </c>
      <c r="D18" s="46" t="s">
        <v>282</v>
      </c>
    </row>
    <row r="20" ht="24" customHeight="1" spans="2:4" x14ac:dyDescent="0.25">
      <c r="B20" s="79" t="s">
        <v>296</v>
      </c>
      <c r="C20" s="80" t="s">
        <v>279</v>
      </c>
      <c r="D20" s="80" t="s">
        <v>280</v>
      </c>
    </row>
    <row r="21" spans="1:4" x14ac:dyDescent="0.25">
      <c r="A21" s="32"/>
      <c r="B21" s="81" t="s">
        <v>297</v>
      </c>
      <c r="C21" s="46" t="s">
        <v>298</v>
      </c>
      <c r="D21" s="46" t="s">
        <v>38</v>
      </c>
    </row>
    <row r="22" spans="2:4" x14ac:dyDescent="0.25">
      <c r="B22" s="82" t="s">
        <v>299</v>
      </c>
      <c r="C22" s="53" t="s">
        <v>38</v>
      </c>
      <c r="D22" s="53" t="s">
        <v>282</v>
      </c>
    </row>
    <row r="23" spans="1:4" x14ac:dyDescent="0.25">
      <c r="A23" s="32"/>
      <c r="B23" s="81" t="s">
        <v>300</v>
      </c>
      <c r="C23" s="46" t="s">
        <v>298</v>
      </c>
      <c r="D23" s="46" t="s">
        <v>38</v>
      </c>
    </row>
    <row r="24" spans="2:4" x14ac:dyDescent="0.25">
      <c r="B24" s="82" t="s">
        <v>301</v>
      </c>
      <c r="C24" s="53" t="s">
        <v>282</v>
      </c>
      <c r="D24" s="53" t="s">
        <v>38</v>
      </c>
    </row>
    <row r="25" spans="1:4" x14ac:dyDescent="0.25">
      <c r="A25" s="32"/>
      <c r="B25" s="81" t="s">
        <v>302</v>
      </c>
      <c r="C25" s="46" t="s">
        <v>282</v>
      </c>
      <c r="D25" s="46" t="s">
        <v>38</v>
      </c>
    </row>
    <row r="26" spans="2:4" x14ac:dyDescent="0.25">
      <c r="B26" s="82" t="s">
        <v>303</v>
      </c>
      <c r="C26" s="53" t="s">
        <v>38</v>
      </c>
      <c r="D26" s="53" t="s">
        <v>282</v>
      </c>
    </row>
    <row r="28" ht="24" customHeight="1" spans="2:4" x14ac:dyDescent="0.25">
      <c r="B28" s="79" t="s">
        <v>304</v>
      </c>
      <c r="C28" s="80" t="s">
        <v>279</v>
      </c>
      <c r="D28" s="80" t="s">
        <v>280</v>
      </c>
    </row>
    <row r="29" spans="1:4" x14ac:dyDescent="0.25">
      <c r="A29" s="32"/>
      <c r="B29" s="81" t="s">
        <v>305</v>
      </c>
      <c r="C29" s="46" t="s">
        <v>282</v>
      </c>
      <c r="D29" s="46" t="s">
        <v>38</v>
      </c>
    </row>
    <row r="30" spans="2:4" x14ac:dyDescent="0.25">
      <c r="B30" s="82" t="s">
        <v>306</v>
      </c>
      <c r="C30" s="53" t="s">
        <v>38</v>
      </c>
      <c r="D30" s="53" t="s">
        <v>282</v>
      </c>
    </row>
    <row r="31" spans="1:4" x14ac:dyDescent="0.25">
      <c r="A31" s="32"/>
      <c r="B31" s="81" t="s">
        <v>307</v>
      </c>
      <c r="C31" s="46" t="s">
        <v>38</v>
      </c>
      <c r="D31" s="46" t="s">
        <v>282</v>
      </c>
    </row>
    <row r="32" spans="2:4" x14ac:dyDescent="0.25">
      <c r="B32" s="82" t="s">
        <v>308</v>
      </c>
      <c r="C32" s="53" t="s">
        <v>282</v>
      </c>
      <c r="D32" s="53" t="s">
        <v>38</v>
      </c>
    </row>
    <row r="33" spans="1:4" x14ac:dyDescent="0.25">
      <c r="A33" s="32"/>
      <c r="B33" s="81" t="s">
        <v>309</v>
      </c>
      <c r="C33" s="46" t="s">
        <v>38</v>
      </c>
      <c r="D33" s="46" t="s">
        <v>282</v>
      </c>
    </row>
    <row r="34" spans="2:4" x14ac:dyDescent="0.25">
      <c r="B34" s="82" t="s">
        <v>310</v>
      </c>
      <c r="C34" s="53" t="s">
        <v>282</v>
      </c>
      <c r="D34" s="53" t="s">
        <v>38</v>
      </c>
    </row>
    <row r="35" spans="1:4" x14ac:dyDescent="0.25">
      <c r="A35" s="32"/>
      <c r="B35" s="81" t="s">
        <v>311</v>
      </c>
      <c r="C35" s="46" t="s">
        <v>282</v>
      </c>
      <c r="D35" s="46" t="s">
        <v>38</v>
      </c>
    </row>
    <row r="36" spans="2:4" x14ac:dyDescent="0.25">
      <c r="B36" s="82" t="s">
        <v>312</v>
      </c>
      <c r="C36" s="53" t="s">
        <v>282</v>
      </c>
      <c r="D36" s="53" t="s">
        <v>38</v>
      </c>
    </row>
    <row r="37" spans="1:4" x14ac:dyDescent="0.25">
      <c r="A37" s="32"/>
      <c r="B37" s="81" t="s">
        <v>313</v>
      </c>
      <c r="C37" s="46" t="s">
        <v>38</v>
      </c>
      <c r="D37" s="46" t="s">
        <v>282</v>
      </c>
    </row>
    <row r="39" ht="24" customHeight="1" spans="2:4" x14ac:dyDescent="0.25">
      <c r="B39" s="79" t="s">
        <v>314</v>
      </c>
      <c r="C39" s="80" t="s">
        <v>279</v>
      </c>
      <c r="D39" s="80" t="s">
        <v>280</v>
      </c>
    </row>
    <row r="40" spans="1:4" x14ac:dyDescent="0.25">
      <c r="A40" s="32"/>
      <c r="B40" s="81" t="s">
        <v>315</v>
      </c>
      <c r="C40" s="46" t="s">
        <v>298</v>
      </c>
      <c r="D40" s="46" t="s">
        <v>38</v>
      </c>
    </row>
    <row r="41" spans="2:4" x14ac:dyDescent="0.25">
      <c r="B41" s="82" t="s">
        <v>316</v>
      </c>
      <c r="C41" s="53" t="s">
        <v>38</v>
      </c>
      <c r="D41" s="53" t="s">
        <v>282</v>
      </c>
    </row>
    <row r="42" spans="1:4" x14ac:dyDescent="0.25">
      <c r="A42" s="32"/>
      <c r="B42" s="81" t="s">
        <v>317</v>
      </c>
      <c r="C42" s="46" t="s">
        <v>38</v>
      </c>
      <c r="D42" s="46" t="s">
        <v>282</v>
      </c>
    </row>
    <row r="44" ht="24" customHeight="1" spans="2:4" x14ac:dyDescent="0.25">
      <c r="B44" s="79" t="s">
        <v>318</v>
      </c>
      <c r="C44" s="80" t="s">
        <v>279</v>
      </c>
      <c r="D44" s="80" t="s">
        <v>280</v>
      </c>
    </row>
    <row r="45" spans="1:4" x14ac:dyDescent="0.25">
      <c r="A45" s="32"/>
      <c r="B45" s="81" t="s">
        <v>319</v>
      </c>
      <c r="C45" s="46" t="s">
        <v>282</v>
      </c>
      <c r="D45" s="46" t="s">
        <v>38</v>
      </c>
    </row>
    <row r="46" spans="2:4" x14ac:dyDescent="0.25">
      <c r="B46" s="82" t="s">
        <v>320</v>
      </c>
      <c r="C46" s="53" t="s">
        <v>282</v>
      </c>
      <c r="D46" s="53" t="s">
        <v>38</v>
      </c>
    </row>
    <row r="47" spans="1:4" x14ac:dyDescent="0.25">
      <c r="A47" s="32"/>
      <c r="B47" s="81" t="s">
        <v>321</v>
      </c>
      <c r="C47" s="46" t="s">
        <v>282</v>
      </c>
      <c r="D47" s="46" t="s">
        <v>38</v>
      </c>
    </row>
    <row r="48" spans="2:4" x14ac:dyDescent="0.25">
      <c r="B48" s="82" t="s">
        <v>322</v>
      </c>
      <c r="C48" s="53" t="s">
        <v>282</v>
      </c>
      <c r="D48" s="53" t="s">
        <v>38</v>
      </c>
    </row>
    <row r="50" ht="24" customHeight="1" spans="2:4" x14ac:dyDescent="0.25">
      <c r="B50" s="79" t="s">
        <v>323</v>
      </c>
      <c r="C50" s="80" t="s">
        <v>279</v>
      </c>
      <c r="D50" s="80" t="s">
        <v>280</v>
      </c>
    </row>
    <row r="51" spans="1:4" x14ac:dyDescent="0.25">
      <c r="A51" s="32"/>
      <c r="B51" s="81" t="s">
        <v>324</v>
      </c>
      <c r="C51" s="46" t="s">
        <v>298</v>
      </c>
      <c r="D51" s="46" t="s">
        <v>38</v>
      </c>
    </row>
    <row r="52" spans="2:4" x14ac:dyDescent="0.25">
      <c r="B52" s="82" t="s">
        <v>325</v>
      </c>
      <c r="C52" s="53" t="s">
        <v>38</v>
      </c>
      <c r="D52" s="53" t="s">
        <v>282</v>
      </c>
    </row>
    <row r="53" spans="1:4" x14ac:dyDescent="0.25">
      <c r="A53" s="32"/>
      <c r="B53" s="81" t="s">
        <v>326</v>
      </c>
      <c r="C53" s="46" t="s">
        <v>298</v>
      </c>
      <c r="D53" s="46" t="s">
        <v>38</v>
      </c>
    </row>
    <row r="54" spans="2:4" x14ac:dyDescent="0.25">
      <c r="B54" s="82" t="s">
        <v>327</v>
      </c>
      <c r="C54" s="53" t="s">
        <v>298</v>
      </c>
      <c r="D54" s="53" t="s">
        <v>38</v>
      </c>
    </row>
    <row r="55" spans="1:4" x14ac:dyDescent="0.25">
      <c r="A55" s="32"/>
      <c r="B55" s="81" t="s">
        <v>328</v>
      </c>
      <c r="C55" s="46" t="s">
        <v>298</v>
      </c>
      <c r="D55" s="4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330</v>
      </c>
      <c r="D3" s="83" t="s">
        <v>331</v>
      </c>
    </row>
    <row r="5" spans="2:9" x14ac:dyDescent="0.25">
      <c r="B5" s="63" t="s">
        <v>332</v>
      </c>
      <c r="I5" s="63" t="s">
        <v>333</v>
      </c>
    </row>
    <row r="6" spans="1:10" x14ac:dyDescent="0.25">
      <c r="A6" s="24" t="s">
        <v>38</v>
      </c>
      <c r="B6" s="24" t="s">
        <v>334</v>
      </c>
      <c r="C6" s="24" t="s">
        <v>335</v>
      </c>
      <c r="D6" s="24" t="s">
        <v>202</v>
      </c>
      <c r="I6" s="24" t="s">
        <v>334</v>
      </c>
      <c r="J6" s="24" t="s">
        <v>335</v>
      </c>
    </row>
    <row r="7" spans="1:10" x14ac:dyDescent="0.25">
      <c r="A7" t="s">
        <v>336</v>
      </c>
      <c r="B7" s="19">
        <v>3967550.77</v>
      </c>
      <c r="C7" s="19">
        <v>3435750.15</v>
      </c>
      <c r="D7" s="19">
        <v>531800.62</v>
      </c>
      <c r="H7" s="25" t="s">
        <v>337</v>
      </c>
      <c r="I7" s="19">
        <v>3967550.77</v>
      </c>
      <c r="J7" s="19">
        <v>3435750.15</v>
      </c>
    </row>
    <row r="8" spans="1:6" x14ac:dyDescent="0.25">
      <c r="A8" s="35" t="s">
        <v>337</v>
      </c>
      <c r="B8" s="36">
        <v>3967550.77</v>
      </c>
      <c r="C8" s="36">
        <v>3435750.15</v>
      </c>
      <c r="D8" s="36">
        <v>531800.62</v>
      </c>
      <c r="E8" s="35"/>
      <c r="F8" s="35"/>
    </row>
    <row r="10" spans="1:1" x14ac:dyDescent="0.25">
      <c r="A10" s="84" t="s">
        <v>338</v>
      </c>
    </row>
    <row r="11" spans="1:4" x14ac:dyDescent="0.25">
      <c r="A11" t="s">
        <v>339</v>
      </c>
      <c r="B11" s="19">
        <v>0</v>
      </c>
      <c r="C11" s="19">
        <v>0</v>
      </c>
      <c r="D11" s="19">
        <v>0</v>
      </c>
    </row>
    <row r="13" spans="1:6" x14ac:dyDescent="0.25">
      <c r="A13" s="55" t="s">
        <v>340</v>
      </c>
      <c r="B13" s="57">
        <v>3967550.77</v>
      </c>
      <c r="C13" s="57">
        <v>3435750.15</v>
      </c>
      <c r="D13" s="57">
        <v>531800.62</v>
      </c>
      <c r="E13" s="55"/>
      <c r="F13" s="55"/>
    </row>
    <row r="16" spans="1:5" x14ac:dyDescent="0.25">
      <c r="A16" s="24" t="s">
        <v>341</v>
      </c>
      <c r="B16" s="24" t="s">
        <v>334</v>
      </c>
      <c r="C16" s="24" t="s">
        <v>342</v>
      </c>
      <c r="D16" s="24" t="s">
        <v>343</v>
      </c>
      <c r="E16" s="24" t="s">
        <v>344</v>
      </c>
    </row>
    <row r="17" spans="1:5" x14ac:dyDescent="0.25">
      <c r="A17" s="32" t="s">
        <v>345</v>
      </c>
      <c r="B17" s="33">
        <v>0</v>
      </c>
      <c r="C17" s="33">
        <v>1757826.34</v>
      </c>
      <c r="D17" s="65">
        <v>0</v>
      </c>
      <c r="E17" s="33">
        <v>1757826.34</v>
      </c>
    </row>
    <row r="18" spans="1:5" x14ac:dyDescent="0.25">
      <c r="A18" t="s">
        <v>346</v>
      </c>
      <c r="B18" s="19">
        <v>0</v>
      </c>
      <c r="C18" s="19">
        <v>599617.52</v>
      </c>
      <c r="D18" s="66">
        <v>0</v>
      </c>
      <c r="E18" s="19">
        <v>599617.52</v>
      </c>
    </row>
    <row r="19" spans="1:5" x14ac:dyDescent="0.25">
      <c r="A19" s="32" t="s">
        <v>347</v>
      </c>
      <c r="B19" s="33">
        <v>0</v>
      </c>
      <c r="C19" s="33">
        <v>483562.52</v>
      </c>
      <c r="D19" s="65">
        <v>0</v>
      </c>
      <c r="E19" s="33">
        <v>483562.52</v>
      </c>
    </row>
    <row r="20" spans="1:5" x14ac:dyDescent="0.25">
      <c r="A20" t="s">
        <v>348</v>
      </c>
      <c r="B20" s="19">
        <v>0</v>
      </c>
      <c r="C20" s="19">
        <v>165000</v>
      </c>
      <c r="D20" s="66">
        <v>0</v>
      </c>
      <c r="E20" s="19">
        <v>165000</v>
      </c>
    </row>
    <row r="21" spans="1:5" x14ac:dyDescent="0.25">
      <c r="A21" s="32" t="s">
        <v>349</v>
      </c>
      <c r="B21" s="33">
        <v>0</v>
      </c>
      <c r="C21" s="33">
        <v>51764.67999999999</v>
      </c>
      <c r="D21" s="65">
        <v>0</v>
      </c>
      <c r="E21" s="33">
        <v>51764.67999999999</v>
      </c>
    </row>
    <row r="22" spans="1:5" x14ac:dyDescent="0.25">
      <c r="A22" t="s">
        <v>350</v>
      </c>
      <c r="B22" s="19">
        <v>0</v>
      </c>
      <c r="C22" s="19">
        <v>0</v>
      </c>
      <c r="D22" s="66">
        <v>0</v>
      </c>
      <c r="E22" s="19">
        <v>0</v>
      </c>
    </row>
    <row r="23" spans="1:5" x14ac:dyDescent="0.25">
      <c r="A23" s="32" t="s">
        <v>351</v>
      </c>
      <c r="B23" s="33">
        <v>0</v>
      </c>
      <c r="C23" s="33">
        <v>0</v>
      </c>
      <c r="D23" s="65">
        <v>0</v>
      </c>
      <c r="E23" s="33">
        <v>0</v>
      </c>
    </row>
    <row r="24" spans="1:5" x14ac:dyDescent="0.25">
      <c r="A24" t="s">
        <v>352</v>
      </c>
      <c r="B24" s="19">
        <v>0</v>
      </c>
      <c r="C24" s="19">
        <v>0</v>
      </c>
      <c r="D24" s="66">
        <v>0</v>
      </c>
      <c r="E24" s="19">
        <v>0</v>
      </c>
    </row>
    <row r="25" spans="1:5" x14ac:dyDescent="0.25">
      <c r="A25" s="32" t="s">
        <v>353</v>
      </c>
      <c r="B25" s="33">
        <v>0</v>
      </c>
      <c r="C25" s="33">
        <v>0</v>
      </c>
      <c r="D25" s="65">
        <v>0</v>
      </c>
      <c r="E25" s="33">
        <v>0</v>
      </c>
    </row>
    <row r="26" spans="1:5" x14ac:dyDescent="0.25">
      <c r="A26" t="s">
        <v>354</v>
      </c>
      <c r="B26" s="19">
        <v>0</v>
      </c>
      <c r="C26" s="19">
        <v>0</v>
      </c>
      <c r="D26" s="66">
        <v>0</v>
      </c>
      <c r="E26" s="19">
        <v>0</v>
      </c>
    </row>
    <row r="27" spans="1:5" x14ac:dyDescent="0.25">
      <c r="A27" s="55" t="s">
        <v>355</v>
      </c>
      <c r="B27" s="55"/>
      <c r="C27" s="57">
        <v>3435750.15</v>
      </c>
      <c r="D27" s="57">
        <v>0</v>
      </c>
      <c r="E27" s="57">
        <v>3435750.15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357</v>
      </c>
    </row>
    <row r="4" spans="4:8" x14ac:dyDescent="0.25">
      <c r="D4" s="4" t="s">
        <v>358</v>
      </c>
      <c r="E4" s="4" t="s">
        <v>359</v>
      </c>
      <c r="F4" s="4" t="s">
        <v>360</v>
      </c>
      <c r="G4" s="4" t="s">
        <v>361</v>
      </c>
      <c r="H4" s="4" t="s">
        <v>362</v>
      </c>
    </row>
    <row r="5" spans="4:8" x14ac:dyDescent="0.25">
      <c r="D5" t="s">
        <v>363</v>
      </c>
      <c r="E5" s="26">
        <v>0.5</v>
      </c>
      <c r="F5" s="26">
        <v>0.2</v>
      </c>
      <c r="G5" s="26">
        <v>0.2</v>
      </c>
      <c r="H5" s="26">
        <v>0.1</v>
      </c>
    </row>
    <row r="6" spans="2:3" x14ac:dyDescent="0.25">
      <c r="B6" t="s">
        <v>364</v>
      </c>
      <c r="C6" s="73" t="s">
        <v>365</v>
      </c>
    </row>
    <row r="7" spans="2:3" x14ac:dyDescent="0.25">
      <c r="B7" t="s">
        <v>366</v>
      </c>
      <c r="C7" s="73" t="s">
        <v>365</v>
      </c>
    </row>
    <row r="9" spans="1:6" x14ac:dyDescent="0.25">
      <c r="A9" s="24" t="s">
        <v>38</v>
      </c>
      <c r="B9" s="24" t="s">
        <v>334</v>
      </c>
      <c r="C9" s="24" t="s">
        <v>367</v>
      </c>
      <c r="D9" s="24" t="s">
        <v>368</v>
      </c>
      <c r="E9" s="24" t="s">
        <v>369</v>
      </c>
      <c r="F9" s="24" t="s">
        <v>370</v>
      </c>
    </row>
    <row r="10" spans="1:6" x14ac:dyDescent="0.25">
      <c r="A10" s="55"/>
      <c r="B10" s="57">
        <v>3967550.77</v>
      </c>
      <c r="C10" s="57">
        <v>3435750.15</v>
      </c>
      <c r="D10" s="57">
        <v>531800.6200000001</v>
      </c>
      <c r="E10" s="58">
        <v>0.1340375084853672</v>
      </c>
      <c r="F10" s="57">
        <v>0</v>
      </c>
    </row>
    <row r="12" spans="1:14" x14ac:dyDescent="0.25">
      <c r="A12" s="25" t="s">
        <v>371</v>
      </c>
      <c r="E12" s="85" t="s">
        <v>372</v>
      </c>
      <c r="F12" s="85" t="s">
        <v>373</v>
      </c>
      <c r="G12" s="85" t="s">
        <v>374</v>
      </c>
      <c r="H12" s="85" t="s">
        <v>375</v>
      </c>
      <c r="I12" s="85" t="s">
        <v>376</v>
      </c>
      <c r="J12" s="85" t="s">
        <v>377</v>
      </c>
      <c r="K12" s="85" t="s">
        <v>378</v>
      </c>
      <c r="L12" s="85" t="s">
        <v>379</v>
      </c>
      <c r="M12" s="85" t="s">
        <v>380</v>
      </c>
      <c r="N12" s="85" t="s">
        <v>381</v>
      </c>
    </row>
    <row r="13" spans="1:4" x14ac:dyDescent="0.25">
      <c r="A13" s="3" t="s">
        <v>334</v>
      </c>
      <c r="C13" s="3" t="s">
        <v>382</v>
      </c>
      <c r="D13" s="3" t="s">
        <v>383</v>
      </c>
    </row>
    <row r="14" spans="1:14" x14ac:dyDescent="0.25">
      <c r="A14" s="32">
        <v>1</v>
      </c>
      <c r="B14" s="32"/>
      <c r="C14" s="65">
        <v>0</v>
      </c>
      <c r="D14" s="71" t="s">
        <v>38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66">
        <v>0</v>
      </c>
      <c r="D15" s="73" t="s">
        <v>38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65">
        <v>0</v>
      </c>
      <c r="D16" s="71" t="s">
        <v>38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66">
        <v>0</v>
      </c>
      <c r="D17" s="73" t="s">
        <v>38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65">
        <v>0</v>
      </c>
      <c r="D18" s="71" t="s">
        <v>38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66">
        <v>0</v>
      </c>
      <c r="D19" s="73" t="s">
        <v>38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65">
        <v>0</v>
      </c>
      <c r="D20" s="71" t="s">
        <v>38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66">
        <v>0</v>
      </c>
      <c r="D21" s="73" t="s">
        <v>38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65">
        <v>0</v>
      </c>
      <c r="D22" s="71" t="s">
        <v>38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66">
        <v>0</v>
      </c>
      <c r="D23" s="73" t="s">
        <v>38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67" t="s">
        <v>384</v>
      </c>
      <c r="B24" s="67"/>
      <c r="C24" s="68">
        <v>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158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spans="2:4" s="12" customFormat="1" x14ac:dyDescent="0.25">
      <c r="B5" s="12" t="s">
        <v>44</v>
      </c>
      <c r="D5" s="13" t="s">
        <v>41</v>
      </c>
    </row>
    <row r="6" spans="2:6" x14ac:dyDescent="0.25" outlineLevel="1" collapsed="1">
      <c r="B6" s="14" t="s">
        <v>45</v>
      </c>
      <c r="C6" s="15">
        <f>'LED Cost Sheet'!T4</f>
        <v>68046.11</v>
      </c>
      <c r="D6" s="15">
        <f>'LED Cost Sheet'!V4</f>
        <v>80054.25</v>
      </c>
      <c r="E6" s="15">
        <f>IFERROR(D6-C6,0)</f>
        <v>12008.14</v>
      </c>
      <c r="F6" s="16">
        <v>0.15</v>
      </c>
    </row>
    <row r="7" spans="2:6" x14ac:dyDescent="0.25" outlineLevel="1" collapsed="1">
      <c r="B7" s="14" t="s">
        <v>46</v>
      </c>
      <c r="C7" s="15">
        <f>'Underpass 3 - Install'!I26</f>
        <v>4102.5</v>
      </c>
      <c r="D7" s="15">
        <f>IFERROR(C7/(1-F7),0)</f>
        <v>4826.47</v>
      </c>
      <c r="E7" s="15">
        <f>IFERROR(D7-C7,0)</f>
        <v>723.97</v>
      </c>
      <c r="F7" s="16">
        <v>0.15</v>
      </c>
    </row>
    <row r="8" spans="2:6" x14ac:dyDescent="0.25" outlineLevel="1" collapsed="1">
      <c r="B8" s="14" t="s">
        <v>47</v>
      </c>
      <c r="C8" s="15">
        <f>'Underpass 3 - Install'!I35-'Underpass 3 - Install'!I34</f>
        <v>17093.75</v>
      </c>
      <c r="D8" s="15">
        <f>IFERROR(C8/(1-F8),0)</f>
        <v>20110.29</v>
      </c>
      <c r="E8" s="15">
        <f>IFERROR(D8-C8,0)</f>
        <v>3016.54</v>
      </c>
      <c r="F8" s="16">
        <v>0.15</v>
      </c>
    </row>
    <row r="9" spans="2:6" x14ac:dyDescent="0.25" outlineLevel="1" collapsed="1">
      <c r="B9" s="14" t="s">
        <v>48</v>
      </c>
      <c r="C9" s="15">
        <f>'Underpass 3 - Install'!I44</f>
        <v>17093.75</v>
      </c>
      <c r="D9" s="15">
        <f>IFERROR(C9/(1-F9),0)</f>
        <v>20110.29</v>
      </c>
      <c r="E9" s="15">
        <f>IFERROR(D9-C9,0)</f>
        <v>3016.54</v>
      </c>
      <c r="F9" s="16">
        <v>0.15</v>
      </c>
    </row>
    <row r="10" spans="2:6" x14ac:dyDescent="0.25" outlineLevel="1" collapsed="1">
      <c r="B10" s="14" t="s">
        <v>49</v>
      </c>
      <c r="C10" s="15">
        <f>'Underpass 3 - Install'!I34</f>
        <v>20882.35</v>
      </c>
      <c r="D10" s="15">
        <f>IFERROR(C10/(1-F10),0)</f>
        <v>24567.47</v>
      </c>
      <c r="E10" s="15">
        <f>IFERROR(D10-C10,0)</f>
        <v>3685.12</v>
      </c>
      <c r="F10" s="16">
        <v>0.15</v>
      </c>
    </row>
    <row r="11" spans="2:6" x14ac:dyDescent="0.25" outlineLevel="1" collapsed="1">
      <c r="B11" s="14" t="s">
        <v>50</v>
      </c>
      <c r="C11" s="15">
        <f>'Underpass 3 - Install'!I52</f>
        <v>4705.88</v>
      </c>
      <c r="D11" s="15">
        <f>IFERROR(C11/(1-F11),0)</f>
        <v>5536.33</v>
      </c>
      <c r="E11" s="15">
        <f>IFERROR(D11-C11,0)</f>
        <v>830.45</v>
      </c>
      <c r="F11" s="16">
        <v>0.15</v>
      </c>
    </row>
    <row r="12" spans="2:6" x14ac:dyDescent="0.25" outlineLevel="1" collapsed="1">
      <c r="B12" s="4" t="s">
        <v>51</v>
      </c>
      <c r="C12" s="17">
        <f>SUM(C6:C11)</f>
        <v>131924.34</v>
      </c>
      <c r="D12" s="17">
        <f>SUM(D6:D11)</f>
        <v>152572.17</v>
      </c>
      <c r="E12" s="17">
        <f>IFERROR(D12-C12,0)</f>
        <v>20647.83</v>
      </c>
      <c r="F12" s="18">
        <f>IFERROR(1-C12/D12,0)</f>
        <v>0.13533199999999998</v>
      </c>
    </row>
    <row r="13" spans="2:7" x14ac:dyDescent="0.25" outlineLevel="1" collapsed="1">
      <c r="B13" s="14" t="s">
        <v>52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53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54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55</v>
      </c>
      <c r="C16" s="22">
        <f>C12+C13+C14+C15</f>
        <v>131924.34</v>
      </c>
      <c r="D16" s="22">
        <f>D12+D13+D14+D15</f>
        <v>152572.17</v>
      </c>
      <c r="E16" s="22">
        <f>IFERROR(D16-C16,0)</f>
        <v>20647.830000000016</v>
      </c>
      <c r="F16" s="23">
        <f>IFERROR(1-C16/D16,0)</f>
        <v>0.13533156145055825</v>
      </c>
    </row>
    <row r="18" spans="2:4" s="12" customFormat="1" x14ac:dyDescent="0.25">
      <c r="B18" s="12" t="s">
        <v>56</v>
      </c>
      <c r="D18" s="13" t="s">
        <v>41</v>
      </c>
    </row>
    <row r="19" spans="2:6" x14ac:dyDescent="0.25" outlineLevel="1" collapsed="1">
      <c r="B19" s="14" t="s">
        <v>45</v>
      </c>
      <c r="C19" s="15">
        <f>'LED Cost Sheet'!T5</f>
        <v>134265.3</v>
      </c>
      <c r="D19" s="15">
        <f>'LED Cost Sheet'!V5</f>
        <v>157959.18</v>
      </c>
      <c r="E19" s="15">
        <f>IFERROR(D19-C19,0)</f>
        <v>23693.88</v>
      </c>
      <c r="F19" s="16">
        <v>0.15</v>
      </c>
    </row>
    <row r="20" spans="2:6" x14ac:dyDescent="0.25" outlineLevel="1" collapsed="1">
      <c r="B20" s="14" t="s">
        <v>46</v>
      </c>
      <c r="C20" s="15">
        <f>'Underpass 4 - Install'!I26</f>
        <v>6907.5</v>
      </c>
      <c r="D20" s="15">
        <f>IFERROR(C20/(1-F20),0)</f>
        <v>8126.47</v>
      </c>
      <c r="E20" s="15">
        <f>IFERROR(D20-C20,0)</f>
        <v>1218.97</v>
      </c>
      <c r="F20" s="16">
        <v>0.15</v>
      </c>
    </row>
    <row r="21" spans="2:6" x14ac:dyDescent="0.25" outlineLevel="1" collapsed="1">
      <c r="B21" s="14" t="s">
        <v>47</v>
      </c>
      <c r="C21" s="15">
        <f>'Underpass 4 - Install'!I35-'Underpass 4 - Install'!I34</f>
        <v>28781.25</v>
      </c>
      <c r="D21" s="15">
        <f>IFERROR(C21/(1-F21),0)</f>
        <v>33860.29</v>
      </c>
      <c r="E21" s="15">
        <f>IFERROR(D21-C21,0)</f>
        <v>5079.04</v>
      </c>
      <c r="F21" s="16">
        <v>0.15</v>
      </c>
    </row>
    <row r="22" spans="2:6" x14ac:dyDescent="0.25" outlineLevel="1" collapsed="1">
      <c r="B22" s="14" t="s">
        <v>48</v>
      </c>
      <c r="C22" s="15">
        <f>'Underpass 4 - Install'!I44</f>
        <v>28781.25</v>
      </c>
      <c r="D22" s="15">
        <f>IFERROR(C22/(1-F22),0)</f>
        <v>33860.29</v>
      </c>
      <c r="E22" s="15">
        <f>IFERROR(D22-C22,0)</f>
        <v>5079.04</v>
      </c>
      <c r="F22" s="16">
        <v>0.15</v>
      </c>
    </row>
    <row r="23" spans="2:6" x14ac:dyDescent="0.25" outlineLevel="1" collapsed="1">
      <c r="B23" s="14" t="s">
        <v>49</v>
      </c>
      <c r="C23" s="15">
        <f>'Underpass 4 - Install'!I34</f>
        <v>20882.35</v>
      </c>
      <c r="D23" s="15">
        <f>IFERROR(C23/(1-F23),0)</f>
        <v>24567.47</v>
      </c>
      <c r="E23" s="15">
        <f>IFERROR(D23-C23,0)</f>
        <v>3685.12</v>
      </c>
      <c r="F23" s="16">
        <v>0.15</v>
      </c>
    </row>
    <row r="24" spans="2:6" x14ac:dyDescent="0.25" outlineLevel="1" collapsed="1">
      <c r="B24" s="14" t="s">
        <v>50</v>
      </c>
      <c r="C24" s="15">
        <f>'Underpass 4 - Install'!I52</f>
        <v>4705.88</v>
      </c>
      <c r="D24" s="15">
        <f>IFERROR(C24/(1-F24),0)</f>
        <v>5536.33</v>
      </c>
      <c r="E24" s="15">
        <f>IFERROR(D24-C24,0)</f>
        <v>830.45</v>
      </c>
      <c r="F24" s="16">
        <v>0.15</v>
      </c>
    </row>
    <row r="25" spans="2:6" x14ac:dyDescent="0.25" outlineLevel="1" collapsed="1">
      <c r="B25" s="4" t="s">
        <v>51</v>
      </c>
      <c r="C25" s="17">
        <f>SUM(C19:C24)</f>
        <v>224323.53</v>
      </c>
      <c r="D25" s="17">
        <f>SUM(D19:D24)</f>
        <v>259474.86</v>
      </c>
      <c r="E25" s="17">
        <f>IFERROR(D25-C25,0)</f>
        <v>35151.33</v>
      </c>
      <c r="F25" s="18">
        <f>IFERROR(1-C25/D25,0)</f>
        <v>0.135471</v>
      </c>
    </row>
    <row r="26" spans="2:7" x14ac:dyDescent="0.25" outlineLevel="1" collapsed="1">
      <c r="B26" s="14" t="s">
        <v>52</v>
      </c>
      <c r="C26" s="19">
        <v>0</v>
      </c>
      <c r="D26" s="19">
        <v>0</v>
      </c>
      <c r="E26" s="19">
        <v>0</v>
      </c>
      <c r="G26" s="20">
        <v>0</v>
      </c>
    </row>
    <row r="27" spans="2:7" x14ac:dyDescent="0.25" outlineLevel="1" collapsed="1">
      <c r="B27" s="14" t="s">
        <v>53</v>
      </c>
      <c r="C27" s="19">
        <v>0</v>
      </c>
      <c r="D27" s="19">
        <v>0</v>
      </c>
      <c r="E27" s="19">
        <v>0</v>
      </c>
      <c r="G27" s="20">
        <v>0</v>
      </c>
    </row>
    <row r="28" spans="2:7" x14ac:dyDescent="0.25" outlineLevel="1" collapsed="1">
      <c r="B28" s="14" t="s">
        <v>54</v>
      </c>
      <c r="C28" s="19">
        <v>0</v>
      </c>
      <c r="D28" s="19">
        <v>0</v>
      </c>
      <c r="E28" s="19">
        <v>0</v>
      </c>
      <c r="G28" s="20">
        <v>0</v>
      </c>
    </row>
    <row r="29" spans="2:6" x14ac:dyDescent="0.25">
      <c r="B29" s="21" t="s">
        <v>55</v>
      </c>
      <c r="C29" s="22">
        <f>C25+C26+C27+C28</f>
        <v>224323.53</v>
      </c>
      <c r="D29" s="22">
        <f>D25+D26+D27+D28</f>
        <v>259474.86</v>
      </c>
      <c r="E29" s="22">
        <f>IFERROR(D29-C29,0)</f>
        <v>35151.32999999999</v>
      </c>
      <c r="F29" s="23">
        <f>IFERROR(1-C29/D29,0)</f>
        <v>0.13547104332188475</v>
      </c>
    </row>
    <row r="31" spans="2:4" s="12" customFormat="1" x14ac:dyDescent="0.25">
      <c r="B31" s="12" t="s">
        <v>57</v>
      </c>
      <c r="D31" s="13" t="s">
        <v>41</v>
      </c>
    </row>
    <row r="32" spans="2:6" x14ac:dyDescent="0.25" outlineLevel="1" collapsed="1">
      <c r="B32" s="14" t="s">
        <v>45</v>
      </c>
      <c r="C32" s="15">
        <f>'LED Cost Sheet'!T6</f>
        <v>845677.52</v>
      </c>
      <c r="D32" s="15">
        <f>'LED Cost Sheet'!V6</f>
        <v>994914.73</v>
      </c>
      <c r="E32" s="15">
        <f>IFERROR(D32-C32,0)</f>
        <v>149237.21</v>
      </c>
      <c r="F32" s="16">
        <v>0.15</v>
      </c>
    </row>
    <row r="33" spans="2:6" x14ac:dyDescent="0.25" outlineLevel="1" collapsed="1">
      <c r="B33" s="14" t="s">
        <v>46</v>
      </c>
      <c r="C33" s="15">
        <f>'Concourse - Install'!I26</f>
        <v>48536.25</v>
      </c>
      <c r="D33" s="15">
        <f>IFERROR(C33/(1-F33),0)</f>
        <v>57101.47</v>
      </c>
      <c r="E33" s="15">
        <f>IFERROR(D33-C33,0)</f>
        <v>8565.22</v>
      </c>
      <c r="F33" s="16">
        <v>0.15</v>
      </c>
    </row>
    <row r="34" spans="2:6" x14ac:dyDescent="0.25" outlineLevel="1" collapsed="1">
      <c r="B34" s="14" t="s">
        <v>47</v>
      </c>
      <c r="C34" s="15">
        <f>'Concourse - Install'!I35-'Concourse - Install'!I34</f>
        <v>202234.38</v>
      </c>
      <c r="D34" s="15">
        <f>IFERROR(C34/(1-F34),0)</f>
        <v>237922.8</v>
      </c>
      <c r="E34" s="15">
        <f>IFERROR(D34-C34,0)</f>
        <v>35688.42</v>
      </c>
      <c r="F34" s="16">
        <v>0.15</v>
      </c>
    </row>
    <row r="35" spans="2:6" x14ac:dyDescent="0.25" outlineLevel="1" collapsed="1">
      <c r="B35" s="14" t="s">
        <v>48</v>
      </c>
      <c r="C35" s="15">
        <f>'Concourse - Install'!I44</f>
        <v>202234.38</v>
      </c>
      <c r="D35" s="15">
        <f>IFERROR(C35/(1-F35),0)</f>
        <v>237922.8</v>
      </c>
      <c r="E35" s="15">
        <f>IFERROR(D35-C35,0)</f>
        <v>35688.42</v>
      </c>
      <c r="F35" s="16">
        <v>0.15</v>
      </c>
    </row>
    <row r="36" spans="2:6" x14ac:dyDescent="0.25" outlineLevel="1" collapsed="1">
      <c r="B36" s="14" t="s">
        <v>49</v>
      </c>
      <c r="C36" s="15">
        <f>'Concourse - Install'!I34</f>
        <v>20882.35</v>
      </c>
      <c r="D36" s="15">
        <f>IFERROR(C36/(1-F36),0)</f>
        <v>24567.47</v>
      </c>
      <c r="E36" s="15">
        <f>IFERROR(D36-C36,0)</f>
        <v>3685.12</v>
      </c>
      <c r="F36" s="16">
        <v>0.15</v>
      </c>
    </row>
    <row r="37" spans="2:6" x14ac:dyDescent="0.25" outlineLevel="1" collapsed="1">
      <c r="B37" s="14" t="s">
        <v>50</v>
      </c>
      <c r="C37" s="15">
        <f>'Concourse - Install'!I52</f>
        <v>4705.88</v>
      </c>
      <c r="D37" s="15">
        <f>IFERROR(C37/(1-F37),0)</f>
        <v>5536.33</v>
      </c>
      <c r="E37" s="15">
        <f>IFERROR(D37-C37,0)</f>
        <v>830.45</v>
      </c>
      <c r="F37" s="16">
        <v>0.15</v>
      </c>
    </row>
    <row r="38" spans="2:6" x14ac:dyDescent="0.25" outlineLevel="1" collapsed="1">
      <c r="B38" s="4" t="s">
        <v>51</v>
      </c>
      <c r="C38" s="17">
        <f>SUM(C32:C37)</f>
        <v>1324270.76</v>
      </c>
      <c r="D38" s="17">
        <f>SUM(D32:D37)</f>
        <v>1526801.71</v>
      </c>
      <c r="E38" s="17">
        <f>IFERROR(D38-C38,0)</f>
        <v>202530.95</v>
      </c>
      <c r="F38" s="18">
        <f>IFERROR(1-C38/D38,0)</f>
        <v>0.13265</v>
      </c>
    </row>
    <row r="39" spans="2:7" x14ac:dyDescent="0.25" outlineLevel="1" collapsed="1">
      <c r="B39" s="14" t="s">
        <v>52</v>
      </c>
      <c r="C39" s="19">
        <v>0</v>
      </c>
      <c r="D39" s="19">
        <v>0</v>
      </c>
      <c r="E39" s="19">
        <v>0</v>
      </c>
      <c r="G39" s="20">
        <v>0</v>
      </c>
    </row>
    <row r="40" spans="2:7" x14ac:dyDescent="0.25" outlineLevel="1" collapsed="1">
      <c r="B40" s="14" t="s">
        <v>53</v>
      </c>
      <c r="C40" s="19">
        <v>0</v>
      </c>
      <c r="D40" s="19">
        <v>0</v>
      </c>
      <c r="E40" s="19">
        <v>0</v>
      </c>
      <c r="G40" s="20">
        <v>0</v>
      </c>
    </row>
    <row r="41" spans="2:7" x14ac:dyDescent="0.25" outlineLevel="1" collapsed="1">
      <c r="B41" s="14" t="s">
        <v>54</v>
      </c>
      <c r="C41" s="19">
        <v>0</v>
      </c>
      <c r="D41" s="19">
        <v>0</v>
      </c>
      <c r="E41" s="19">
        <v>0</v>
      </c>
      <c r="G41" s="20">
        <v>0</v>
      </c>
    </row>
    <row r="42" spans="2:6" x14ac:dyDescent="0.25">
      <c r="B42" s="21" t="s">
        <v>55</v>
      </c>
      <c r="C42" s="22">
        <f>C38+C39+C40+C41</f>
        <v>1324270.76</v>
      </c>
      <c r="D42" s="22">
        <f>D38+D39+D40+D41</f>
        <v>1526801.71</v>
      </c>
      <c r="E42" s="22">
        <f>IFERROR(D42-C42,0)</f>
        <v>202530.94999999995</v>
      </c>
      <c r="F42" s="23">
        <f>IFERROR(1-C42/D42,0)</f>
        <v>0.13265046054998197</v>
      </c>
    </row>
    <row r="44" spans="2:4" s="12" customFormat="1" x14ac:dyDescent="0.25">
      <c r="B44" s="12" t="s">
        <v>58</v>
      </c>
      <c r="D44" s="13" t="s">
        <v>41</v>
      </c>
    </row>
    <row r="45" spans="2:6" x14ac:dyDescent="0.25" outlineLevel="1" collapsed="1">
      <c r="B45" s="14" t="s">
        <v>45</v>
      </c>
      <c r="C45" s="15">
        <f>'LED Cost Sheet'!T7</f>
        <v>82785.77</v>
      </c>
      <c r="D45" s="15">
        <f>'LED Cost Sheet'!V7</f>
        <v>97395.02</v>
      </c>
      <c r="E45" s="15">
        <f>IFERROR(D45-C45,0)</f>
        <v>14609.25</v>
      </c>
      <c r="F45" s="16">
        <v>0.15</v>
      </c>
    </row>
    <row r="46" spans="2:6" x14ac:dyDescent="0.25" outlineLevel="1" collapsed="1">
      <c r="B46" s="14" t="s">
        <v>46</v>
      </c>
      <c r="C46" s="15">
        <f>'T4-B1 (6-9) - Install'!I26</f>
        <v>4995</v>
      </c>
      <c r="D46" s="15">
        <f>IFERROR(C46/(1-F46),0)</f>
        <v>5876.47</v>
      </c>
      <c r="E46" s="15">
        <f>IFERROR(D46-C46,0)</f>
        <v>881.47</v>
      </c>
      <c r="F46" s="16">
        <v>0.15</v>
      </c>
    </row>
    <row r="47" spans="2:6" x14ac:dyDescent="0.25" outlineLevel="1" collapsed="1">
      <c r="B47" s="14" t="s">
        <v>47</v>
      </c>
      <c r="C47" s="15">
        <f>'T4-B1 (6-9) - Install'!I35-'T4-B1 (6-9) - Install'!I34</f>
        <v>20812.5</v>
      </c>
      <c r="D47" s="15">
        <f>IFERROR(C47/(1-F47),0)</f>
        <v>24485.29</v>
      </c>
      <c r="E47" s="15">
        <f>IFERROR(D47-C47,0)</f>
        <v>3672.79</v>
      </c>
      <c r="F47" s="16">
        <v>0.15</v>
      </c>
    </row>
    <row r="48" spans="2:6" x14ac:dyDescent="0.25" outlineLevel="1" collapsed="1">
      <c r="B48" s="14" t="s">
        <v>48</v>
      </c>
      <c r="C48" s="15">
        <f>'T4-B1 (6-9) - Install'!I44</f>
        <v>20812.5</v>
      </c>
      <c r="D48" s="15">
        <f>IFERROR(C48/(1-F48),0)</f>
        <v>24485.29</v>
      </c>
      <c r="E48" s="15">
        <f>IFERROR(D48-C48,0)</f>
        <v>3672.79</v>
      </c>
      <c r="F48" s="16">
        <v>0.15</v>
      </c>
    </row>
    <row r="49" spans="2:6" x14ac:dyDescent="0.25" outlineLevel="1" collapsed="1">
      <c r="B49" s="14" t="s">
        <v>49</v>
      </c>
      <c r="C49" s="15">
        <f>'T4-B1 (6-9) - Install'!I34</f>
        <v>20882.35</v>
      </c>
      <c r="D49" s="15">
        <f>IFERROR(C49/(1-F49),0)</f>
        <v>24567.47</v>
      </c>
      <c r="E49" s="15">
        <f>IFERROR(D49-C49,0)</f>
        <v>3685.12</v>
      </c>
      <c r="F49" s="16">
        <v>0.15</v>
      </c>
    </row>
    <row r="50" spans="2:6" x14ac:dyDescent="0.25" outlineLevel="1" collapsed="1">
      <c r="B50" s="14" t="s">
        <v>50</v>
      </c>
      <c r="C50" s="15">
        <f>'T4-B1 (6-9) - Install'!I52</f>
        <v>4705.88</v>
      </c>
      <c r="D50" s="15">
        <f>IFERROR(C50/(1-F50),0)</f>
        <v>5536.33</v>
      </c>
      <c r="E50" s="15">
        <f>IFERROR(D50-C50,0)</f>
        <v>830.45</v>
      </c>
      <c r="F50" s="16">
        <v>0.15</v>
      </c>
    </row>
    <row r="51" spans="2:6" x14ac:dyDescent="0.25" outlineLevel="1" collapsed="1">
      <c r="B51" s="4" t="s">
        <v>51</v>
      </c>
      <c r="C51" s="17">
        <f>SUM(C45:C50)</f>
        <v>154994</v>
      </c>
      <c r="D51" s="17">
        <f>SUM(D45:D50)</f>
        <v>179138.59</v>
      </c>
      <c r="E51" s="17">
        <f>IFERROR(D51-C51,0)</f>
        <v>24144.59</v>
      </c>
      <c r="F51" s="18">
        <f>IFERROR(1-C51/D51,0)</f>
        <v>0.13478199999999999</v>
      </c>
    </row>
    <row r="52" spans="2:7" x14ac:dyDescent="0.25" outlineLevel="1" collapsed="1">
      <c r="B52" s="14" t="s">
        <v>52</v>
      </c>
      <c r="C52" s="19">
        <v>0</v>
      </c>
      <c r="D52" s="19">
        <v>0</v>
      </c>
      <c r="E52" s="19">
        <v>0</v>
      </c>
      <c r="G52" s="20">
        <v>0</v>
      </c>
    </row>
    <row r="53" spans="2:7" x14ac:dyDescent="0.25" outlineLevel="1" collapsed="1">
      <c r="B53" s="14" t="s">
        <v>53</v>
      </c>
      <c r="C53" s="19">
        <v>0</v>
      </c>
      <c r="D53" s="19">
        <v>0</v>
      </c>
      <c r="E53" s="19">
        <v>0</v>
      </c>
      <c r="G53" s="20">
        <v>0</v>
      </c>
    </row>
    <row r="54" spans="2:7" x14ac:dyDescent="0.25" outlineLevel="1" collapsed="1">
      <c r="B54" s="14" t="s">
        <v>54</v>
      </c>
      <c r="C54" s="19">
        <v>0</v>
      </c>
      <c r="D54" s="19">
        <v>0</v>
      </c>
      <c r="E54" s="19">
        <v>0</v>
      </c>
      <c r="G54" s="20">
        <v>0</v>
      </c>
    </row>
    <row r="55" spans="2:6" x14ac:dyDescent="0.25">
      <c r="B55" s="21" t="s">
        <v>55</v>
      </c>
      <c r="C55" s="22">
        <f>C51+C52+C53+C54</f>
        <v>154994</v>
      </c>
      <c r="D55" s="22">
        <f>D51+D52+D53+D54</f>
        <v>179138.59</v>
      </c>
      <c r="E55" s="22">
        <f>IFERROR(D55-C55,0)</f>
        <v>24144.589999999997</v>
      </c>
      <c r="F55" s="23">
        <f>IFERROR(1-C55/D55,0)</f>
        <v>0.13478162354632794</v>
      </c>
    </row>
    <row r="57" spans="2:4" s="12" customFormat="1" x14ac:dyDescent="0.25">
      <c r="B57" s="12" t="s">
        <v>59</v>
      </c>
      <c r="D57" s="13" t="s">
        <v>41</v>
      </c>
    </row>
    <row r="58" spans="2:6" x14ac:dyDescent="0.25" outlineLevel="1" collapsed="1">
      <c r="B58" s="14" t="s">
        <v>45</v>
      </c>
      <c r="C58" s="15">
        <f>'LED Cost Sheet'!T8</f>
        <v>205655.43</v>
      </c>
      <c r="D58" s="15">
        <f>'LED Cost Sheet'!V8</f>
        <v>241947.56</v>
      </c>
      <c r="E58" s="15">
        <f>IFERROR(D58-C58,0)</f>
        <v>36292.13</v>
      </c>
      <c r="F58" s="16">
        <v>0.15</v>
      </c>
    </row>
    <row r="59" spans="2:6" x14ac:dyDescent="0.25" outlineLevel="1" collapsed="1">
      <c r="B59" s="14" t="s">
        <v>46</v>
      </c>
      <c r="C59" s="15">
        <f>'T4-B2 (10-18) - Install'!I26</f>
        <v>11238.75</v>
      </c>
      <c r="D59" s="15">
        <f>IFERROR(C59/(1-F59),0)</f>
        <v>13222.06</v>
      </c>
      <c r="E59" s="15">
        <f>IFERROR(D59-C59,0)</f>
        <v>1983.31</v>
      </c>
      <c r="F59" s="16">
        <v>0.15</v>
      </c>
    </row>
    <row r="60" spans="2:6" x14ac:dyDescent="0.25" outlineLevel="1" collapsed="1">
      <c r="B60" s="14" t="s">
        <v>47</v>
      </c>
      <c r="C60" s="15">
        <f>'T4-B2 (10-18) - Install'!I35-'T4-B2 (10-18) - Install'!I34</f>
        <v>46828.13</v>
      </c>
      <c r="D60" s="15">
        <f>IFERROR(C60/(1-F60),0)</f>
        <v>55091.92</v>
      </c>
      <c r="E60" s="15">
        <f>IFERROR(D60-C60,0)</f>
        <v>8263.79</v>
      </c>
      <c r="F60" s="16">
        <v>0.15</v>
      </c>
    </row>
    <row r="61" spans="2:6" x14ac:dyDescent="0.25" outlineLevel="1" collapsed="1">
      <c r="B61" s="14" t="s">
        <v>48</v>
      </c>
      <c r="C61" s="15">
        <f>'T4-B2 (10-18) - Install'!I44</f>
        <v>46828.13</v>
      </c>
      <c r="D61" s="15">
        <f>IFERROR(C61/(1-F61),0)</f>
        <v>55091.92</v>
      </c>
      <c r="E61" s="15">
        <f>IFERROR(D61-C61,0)</f>
        <v>8263.79</v>
      </c>
      <c r="F61" s="16">
        <v>0.15</v>
      </c>
    </row>
    <row r="62" spans="2:6" x14ac:dyDescent="0.25" outlineLevel="1" collapsed="1">
      <c r="B62" s="14" t="s">
        <v>49</v>
      </c>
      <c r="C62" s="15">
        <f>'T4-B2 (10-18) - Install'!I34</f>
        <v>20882.35</v>
      </c>
      <c r="D62" s="15">
        <f>IFERROR(C62/(1-F62),0)</f>
        <v>24567.47</v>
      </c>
      <c r="E62" s="15">
        <f>IFERROR(D62-C62,0)</f>
        <v>3685.12</v>
      </c>
      <c r="F62" s="16">
        <v>0.15</v>
      </c>
    </row>
    <row r="63" spans="2:6" x14ac:dyDescent="0.25" outlineLevel="1" collapsed="1">
      <c r="B63" s="14" t="s">
        <v>50</v>
      </c>
      <c r="C63" s="15">
        <f>'T4-B2 (10-18) - Install'!I52</f>
        <v>4705.88</v>
      </c>
      <c r="D63" s="15">
        <f>IFERROR(C63/(1-F63),0)</f>
        <v>5536.33</v>
      </c>
      <c r="E63" s="15">
        <f>IFERROR(D63-C63,0)</f>
        <v>830.45</v>
      </c>
      <c r="F63" s="16">
        <v>0.15</v>
      </c>
    </row>
    <row r="64" spans="2:6" x14ac:dyDescent="0.25" outlineLevel="1" collapsed="1">
      <c r="B64" s="4" t="s">
        <v>51</v>
      </c>
      <c r="C64" s="17">
        <f>SUM(C58:C63)</f>
        <v>336138.67</v>
      </c>
      <c r="D64" s="17">
        <f>SUM(D58:D63)</f>
        <v>388240.91</v>
      </c>
      <c r="E64" s="17">
        <f>IFERROR(D64-C64,0)</f>
        <v>52102.24</v>
      </c>
      <c r="F64" s="18">
        <f>IFERROR(1-C64/D64,0)</f>
        <v>0.134201</v>
      </c>
    </row>
    <row r="65" spans="2:7" x14ac:dyDescent="0.25" outlineLevel="1" collapsed="1">
      <c r="B65" s="14" t="s">
        <v>52</v>
      </c>
      <c r="C65" s="19">
        <v>0</v>
      </c>
      <c r="D65" s="19">
        <v>0</v>
      </c>
      <c r="E65" s="19">
        <v>0</v>
      </c>
      <c r="G65" s="20">
        <v>0</v>
      </c>
    </row>
    <row r="66" spans="2:7" x14ac:dyDescent="0.25" outlineLevel="1" collapsed="1">
      <c r="B66" s="14" t="s">
        <v>53</v>
      </c>
      <c r="C66" s="19">
        <v>0</v>
      </c>
      <c r="D66" s="19">
        <v>0</v>
      </c>
      <c r="E66" s="19">
        <v>0</v>
      </c>
      <c r="G66" s="20">
        <v>0</v>
      </c>
    </row>
    <row r="67" spans="2:7" x14ac:dyDescent="0.25" outlineLevel="1" collapsed="1">
      <c r="B67" s="14" t="s">
        <v>54</v>
      </c>
      <c r="C67" s="19">
        <v>0</v>
      </c>
      <c r="D67" s="19">
        <v>0</v>
      </c>
      <c r="E67" s="19">
        <v>0</v>
      </c>
      <c r="G67" s="20">
        <v>0</v>
      </c>
    </row>
    <row r="68" spans="2:6" x14ac:dyDescent="0.25">
      <c r="B68" s="21" t="s">
        <v>55</v>
      </c>
      <c r="C68" s="22">
        <f>C64+C65+C66+C67</f>
        <v>336138.67</v>
      </c>
      <c r="D68" s="22">
        <f>D64+D65+D66+D67</f>
        <v>388240.91</v>
      </c>
      <c r="E68" s="22">
        <f>IFERROR(D68-C68,0)</f>
        <v>52102.23999999999</v>
      </c>
      <c r="F68" s="23">
        <f>IFERROR(1-C68/D68,0)</f>
        <v>0.1342007981590606</v>
      </c>
    </row>
    <row r="70" spans="2:4" s="12" customFormat="1" x14ac:dyDescent="0.25">
      <c r="B70" s="12" t="s">
        <v>60</v>
      </c>
      <c r="D70" s="13" t="s">
        <v>41</v>
      </c>
    </row>
    <row r="71" spans="2:6" x14ac:dyDescent="0.25" outlineLevel="1" collapsed="1">
      <c r="B71" s="14" t="s">
        <v>45</v>
      </c>
      <c r="C71" s="15">
        <f>'LED Cost Sheet'!T9</f>
        <v>139342.57</v>
      </c>
      <c r="D71" s="15">
        <f>'LED Cost Sheet'!V9</f>
        <v>163932.44</v>
      </c>
      <c r="E71" s="15">
        <f>IFERROR(D71-C71,0)</f>
        <v>24589.87</v>
      </c>
      <c r="F71" s="16">
        <v>0.15</v>
      </c>
    </row>
    <row r="72" spans="2:6" x14ac:dyDescent="0.25" outlineLevel="1" collapsed="1">
      <c r="B72" s="14" t="s">
        <v>46</v>
      </c>
      <c r="C72" s="15">
        <f>'T4 Lobby Elevator - Install'!I26</f>
        <v>7222.5</v>
      </c>
      <c r="D72" s="15">
        <f>IFERROR(C72/(1-F72),0)</f>
        <v>8497.06</v>
      </c>
      <c r="E72" s="15">
        <f>IFERROR(D72-C72,0)</f>
        <v>1274.56</v>
      </c>
      <c r="F72" s="16">
        <v>0.15</v>
      </c>
    </row>
    <row r="73" spans="2:6" x14ac:dyDescent="0.25" outlineLevel="1" collapsed="1">
      <c r="B73" s="14" t="s">
        <v>47</v>
      </c>
      <c r="C73" s="15">
        <f>'T4 Lobby Elevator - Install'!I35-'T4 Lobby Elevator - Install'!I34</f>
        <v>30093.75</v>
      </c>
      <c r="D73" s="15">
        <f>IFERROR(C73/(1-F73),0)</f>
        <v>35404.41</v>
      </c>
      <c r="E73" s="15">
        <f>IFERROR(D73-C73,0)</f>
        <v>5310.66</v>
      </c>
      <c r="F73" s="16">
        <v>0.15</v>
      </c>
    </row>
    <row r="74" spans="2:6" x14ac:dyDescent="0.25" outlineLevel="1" collapsed="1">
      <c r="B74" s="14" t="s">
        <v>48</v>
      </c>
      <c r="C74" s="15">
        <f>'T4 Lobby Elevator - Install'!I44</f>
        <v>30093.75</v>
      </c>
      <c r="D74" s="15">
        <f>IFERROR(C74/(1-F74),0)</f>
        <v>35404.41</v>
      </c>
      <c r="E74" s="15">
        <f>IFERROR(D74-C74,0)</f>
        <v>5310.66</v>
      </c>
      <c r="F74" s="16">
        <v>0.15</v>
      </c>
    </row>
    <row r="75" spans="2:6" x14ac:dyDescent="0.25" outlineLevel="1" collapsed="1">
      <c r="B75" s="14" t="s">
        <v>49</v>
      </c>
      <c r="C75" s="15">
        <f>'T4 Lobby Elevator - Install'!I34</f>
        <v>20882.35</v>
      </c>
      <c r="D75" s="15">
        <f>IFERROR(C75/(1-F75),0)</f>
        <v>24567.47</v>
      </c>
      <c r="E75" s="15">
        <f>IFERROR(D75-C75,0)</f>
        <v>3685.12</v>
      </c>
      <c r="F75" s="16">
        <v>0.15</v>
      </c>
    </row>
    <row r="76" spans="2:6" x14ac:dyDescent="0.25" outlineLevel="1" collapsed="1">
      <c r="B76" s="14" t="s">
        <v>50</v>
      </c>
      <c r="C76" s="15">
        <f>'T4 Lobby Elevator - Install'!I52</f>
        <v>4705.88</v>
      </c>
      <c r="D76" s="15">
        <f>IFERROR(C76/(1-F76),0)</f>
        <v>5536.33</v>
      </c>
      <c r="E76" s="15">
        <f>IFERROR(D76-C76,0)</f>
        <v>830.45</v>
      </c>
      <c r="F76" s="16">
        <v>0.15</v>
      </c>
    </row>
    <row r="77" spans="2:6" x14ac:dyDescent="0.25" outlineLevel="1" collapsed="1">
      <c r="B77" s="4" t="s">
        <v>51</v>
      </c>
      <c r="C77" s="17">
        <f>SUM(C71:C76)</f>
        <v>232340.8</v>
      </c>
      <c r="D77" s="17">
        <f>SUM(D71:D76)</f>
        <v>268709.18</v>
      </c>
      <c r="E77" s="17">
        <f>IFERROR(D77-C77,0)</f>
        <v>36368.38</v>
      </c>
      <c r="F77" s="18">
        <f>IFERROR(1-C77/D77,0)</f>
        <v>0.135345</v>
      </c>
    </row>
    <row r="78" spans="2:7" x14ac:dyDescent="0.25" outlineLevel="1" collapsed="1">
      <c r="B78" s="14" t="s">
        <v>52</v>
      </c>
      <c r="C78" s="19">
        <v>0</v>
      </c>
      <c r="D78" s="19">
        <v>0</v>
      </c>
      <c r="E78" s="19">
        <v>0</v>
      </c>
      <c r="G78" s="20">
        <v>0</v>
      </c>
    </row>
    <row r="79" spans="2:7" x14ac:dyDescent="0.25" outlineLevel="1" collapsed="1">
      <c r="B79" s="14" t="s">
        <v>53</v>
      </c>
      <c r="C79" s="19">
        <v>0</v>
      </c>
      <c r="D79" s="19">
        <v>0</v>
      </c>
      <c r="E79" s="19">
        <v>0</v>
      </c>
      <c r="G79" s="20">
        <v>0</v>
      </c>
    </row>
    <row r="80" spans="2:7" x14ac:dyDescent="0.25" outlineLevel="1" collapsed="1">
      <c r="B80" s="14" t="s">
        <v>54</v>
      </c>
      <c r="C80" s="19">
        <v>0</v>
      </c>
      <c r="D80" s="19">
        <v>0</v>
      </c>
      <c r="E80" s="19">
        <v>0</v>
      </c>
      <c r="G80" s="20">
        <v>0</v>
      </c>
    </row>
    <row r="81" spans="2:6" x14ac:dyDescent="0.25">
      <c r="B81" s="21" t="s">
        <v>55</v>
      </c>
      <c r="C81" s="22">
        <f>C77+C78+C79+C80</f>
        <v>232340.8</v>
      </c>
      <c r="D81" s="22">
        <f>D77+D78+D79+D80</f>
        <v>268709.18</v>
      </c>
      <c r="E81" s="22">
        <f>IFERROR(D81-C81,0)</f>
        <v>36368.380000000005</v>
      </c>
      <c r="F81" s="23">
        <f>IFERROR(1-C81/D81,0)</f>
        <v>0.13534476194672618</v>
      </c>
    </row>
    <row r="83" spans="2:4" s="12" customFormat="1" x14ac:dyDescent="0.25">
      <c r="B83" s="12" t="s">
        <v>61</v>
      </c>
      <c r="D83" s="13" t="s">
        <v>41</v>
      </c>
    </row>
    <row r="84" spans="2:6" x14ac:dyDescent="0.25" outlineLevel="1" collapsed="1">
      <c r="B84" s="14" t="s">
        <v>45</v>
      </c>
      <c r="C84" s="15">
        <f>'LED Cost Sheet'!T10</f>
        <v>39871.99999999999</v>
      </c>
      <c r="D84" s="15">
        <f>'LED Cost Sheet'!V10</f>
        <v>46908.24</v>
      </c>
      <c r="E84" s="15">
        <f>IFERROR(D84-C84,0)</f>
        <v>7036.24</v>
      </c>
      <c r="F84" s="16">
        <v>0.15</v>
      </c>
    </row>
    <row r="85" spans="2:6" x14ac:dyDescent="0.25" outlineLevel="1" collapsed="1">
      <c r="B85" s="14" t="s">
        <v>46</v>
      </c>
      <c r="C85" s="15">
        <f>'T2-B1M Screen 20 - Install'!I26</f>
        <v>2392.5</v>
      </c>
      <c r="D85" s="15">
        <f>IFERROR(C85/(1-F85),0)</f>
        <v>2814.71</v>
      </c>
      <c r="E85" s="15">
        <f>IFERROR(D85-C85,0)</f>
        <v>422.21</v>
      </c>
      <c r="F85" s="16">
        <v>0.15</v>
      </c>
    </row>
    <row r="86" spans="2:6" x14ac:dyDescent="0.25" outlineLevel="1" collapsed="1">
      <c r="B86" s="14" t="s">
        <v>47</v>
      </c>
      <c r="C86" s="15">
        <f>'T2-B1M Screen 20 - Install'!I35-'T2-B1M Screen 20 - Install'!I34</f>
        <v>9968.75</v>
      </c>
      <c r="D86" s="15">
        <f>IFERROR(C86/(1-F86),0)</f>
        <v>11727.94</v>
      </c>
      <c r="E86" s="15">
        <f>IFERROR(D86-C86,0)</f>
        <v>1759.19</v>
      </c>
      <c r="F86" s="16">
        <v>0.15</v>
      </c>
    </row>
    <row r="87" spans="2:6" x14ac:dyDescent="0.25" outlineLevel="1" collapsed="1">
      <c r="B87" s="14" t="s">
        <v>48</v>
      </c>
      <c r="C87" s="15">
        <f>'T2-B1M Screen 20 - Install'!I44</f>
        <v>9968.75</v>
      </c>
      <c r="D87" s="15">
        <f>IFERROR(C87/(1-F87),0)</f>
        <v>11727.94</v>
      </c>
      <c r="E87" s="15">
        <f>IFERROR(D87-C87,0)</f>
        <v>1759.19</v>
      </c>
      <c r="F87" s="16">
        <v>0.15</v>
      </c>
    </row>
    <row r="88" spans="2:6" x14ac:dyDescent="0.25" outlineLevel="1" collapsed="1">
      <c r="B88" s="14" t="s">
        <v>49</v>
      </c>
      <c r="C88" s="15">
        <f>'T2-B1M Screen 20 - Install'!I34</f>
        <v>20882.35</v>
      </c>
      <c r="D88" s="15">
        <f>IFERROR(C88/(1-F88),0)</f>
        <v>24567.47</v>
      </c>
      <c r="E88" s="15">
        <f>IFERROR(D88-C88,0)</f>
        <v>3685.12</v>
      </c>
      <c r="F88" s="16">
        <v>0.15</v>
      </c>
    </row>
    <row r="89" spans="2:6" x14ac:dyDescent="0.25" outlineLevel="1" collapsed="1">
      <c r="B89" s="14" t="s">
        <v>50</v>
      </c>
      <c r="C89" s="15">
        <f>'T2-B1M Screen 20 - Install'!I52</f>
        <v>4705.88</v>
      </c>
      <c r="D89" s="15">
        <f>IFERROR(C89/(1-F89),0)</f>
        <v>5536.33</v>
      </c>
      <c r="E89" s="15">
        <f>IFERROR(D89-C89,0)</f>
        <v>830.45</v>
      </c>
      <c r="F89" s="16">
        <v>0.15</v>
      </c>
    </row>
    <row r="90" spans="2:6" x14ac:dyDescent="0.25" outlineLevel="1" collapsed="1">
      <c r="B90" s="4" t="s">
        <v>51</v>
      </c>
      <c r="C90" s="17">
        <f>SUM(C84:C89)</f>
        <v>87790.23</v>
      </c>
      <c r="D90" s="17">
        <f>SUM(D84:D89)</f>
        <v>101747.09</v>
      </c>
      <c r="E90" s="17">
        <f>IFERROR(D90-C90,0)</f>
        <v>13956.86</v>
      </c>
      <c r="F90" s="18">
        <f>IFERROR(1-C90/D90,0)</f>
        <v>0.13717200000000002</v>
      </c>
    </row>
    <row r="91" spans="2:7" x14ac:dyDescent="0.25" outlineLevel="1" collapsed="1">
      <c r="B91" s="14" t="s">
        <v>52</v>
      </c>
      <c r="C91" s="19">
        <v>0</v>
      </c>
      <c r="D91" s="19">
        <v>0</v>
      </c>
      <c r="E91" s="19">
        <v>0</v>
      </c>
      <c r="G91" s="20">
        <v>0</v>
      </c>
    </row>
    <row r="92" spans="2:7" x14ac:dyDescent="0.25" outlineLevel="1" collapsed="1">
      <c r="B92" s="14" t="s">
        <v>53</v>
      </c>
      <c r="C92" s="19">
        <v>0</v>
      </c>
      <c r="D92" s="19">
        <v>0</v>
      </c>
      <c r="E92" s="19">
        <v>0</v>
      </c>
      <c r="G92" s="20">
        <v>0</v>
      </c>
    </row>
    <row r="93" spans="2:7" x14ac:dyDescent="0.25" outlineLevel="1" collapsed="1">
      <c r="B93" s="14" t="s">
        <v>54</v>
      </c>
      <c r="C93" s="19">
        <v>0</v>
      </c>
      <c r="D93" s="19">
        <v>0</v>
      </c>
      <c r="E93" s="19">
        <v>0</v>
      </c>
      <c r="G93" s="20">
        <v>0</v>
      </c>
    </row>
    <row r="94" spans="2:6" x14ac:dyDescent="0.25">
      <c r="B94" s="21" t="s">
        <v>55</v>
      </c>
      <c r="C94" s="22">
        <f>C90+C91+C92+C93</f>
        <v>87790.23</v>
      </c>
      <c r="D94" s="22">
        <f>D90+D91+D92+D93</f>
        <v>101747.09</v>
      </c>
      <c r="E94" s="22">
        <f>IFERROR(D94-C94,0)</f>
        <v>13956.86</v>
      </c>
      <c r="F94" s="23">
        <f>IFERROR(1-C94/D94,0)</f>
        <v>0.13717208030224748</v>
      </c>
    </row>
    <row r="96" spans="2:4" s="12" customFormat="1" x14ac:dyDescent="0.25">
      <c r="B96" s="12" t="s">
        <v>62</v>
      </c>
      <c r="D96" s="13" t="s">
        <v>41</v>
      </c>
    </row>
    <row r="97" spans="2:6" x14ac:dyDescent="0.25" outlineLevel="1" collapsed="1">
      <c r="B97" s="14" t="s">
        <v>45</v>
      </c>
      <c r="C97" s="15">
        <f>'LED Cost Sheet'!T11</f>
        <v>28714.710000000003</v>
      </c>
      <c r="D97" s="15">
        <f>'LED Cost Sheet'!V11</f>
        <v>33782.01</v>
      </c>
      <c r="E97" s="15">
        <f>IFERROR(D97-C97,0)</f>
        <v>5067.3</v>
      </c>
      <c r="F97" s="16">
        <v>0.15</v>
      </c>
    </row>
    <row r="98" spans="2:6" x14ac:dyDescent="0.25" outlineLevel="1" collapsed="1">
      <c r="B98" s="14" t="s">
        <v>46</v>
      </c>
      <c r="C98" s="15">
        <f>'T2-B1M Screen 21 - Install'!I26</f>
        <v>1713.75</v>
      </c>
      <c r="D98" s="15">
        <f>IFERROR(C98/(1-F98),0)</f>
        <v>2016.18</v>
      </c>
      <c r="E98" s="15">
        <f>IFERROR(D98-C98,0)</f>
        <v>302.43</v>
      </c>
      <c r="F98" s="16">
        <v>0.15</v>
      </c>
    </row>
    <row r="99" spans="2:6" x14ac:dyDescent="0.25" outlineLevel="1" collapsed="1">
      <c r="B99" s="14" t="s">
        <v>47</v>
      </c>
      <c r="C99" s="15">
        <f>'T2-B1M Screen 21 - Install'!I35-'T2-B1M Screen 21 - Install'!I34</f>
        <v>7140.63</v>
      </c>
      <c r="D99" s="15">
        <f>IFERROR(C99/(1-F99),0)</f>
        <v>8400.74</v>
      </c>
      <c r="E99" s="15">
        <f>IFERROR(D99-C99,0)</f>
        <v>1260.11</v>
      </c>
      <c r="F99" s="16">
        <v>0.15</v>
      </c>
    </row>
    <row r="100" spans="2:6" x14ac:dyDescent="0.25" outlineLevel="1" collapsed="1">
      <c r="B100" s="14" t="s">
        <v>48</v>
      </c>
      <c r="C100" s="15">
        <f>'T2-B1M Screen 21 - Install'!I44</f>
        <v>7140.63</v>
      </c>
      <c r="D100" s="15">
        <f>IFERROR(C100/(1-F100),0)</f>
        <v>8400.74</v>
      </c>
      <c r="E100" s="15">
        <f>IFERROR(D100-C100,0)</f>
        <v>1260.11</v>
      </c>
      <c r="F100" s="16">
        <v>0.15</v>
      </c>
    </row>
    <row r="101" spans="2:6" x14ac:dyDescent="0.25" outlineLevel="1" collapsed="1">
      <c r="B101" s="14" t="s">
        <v>49</v>
      </c>
      <c r="C101" s="15">
        <f>'T2-B1M Screen 21 - Install'!I34</f>
        <v>20882.35</v>
      </c>
      <c r="D101" s="15">
        <f>IFERROR(C101/(1-F101),0)</f>
        <v>24567.47</v>
      </c>
      <c r="E101" s="15">
        <f>IFERROR(D101-C101,0)</f>
        <v>3685.12</v>
      </c>
      <c r="F101" s="16">
        <v>0.15</v>
      </c>
    </row>
    <row r="102" spans="2:6" x14ac:dyDescent="0.25" outlineLevel="1" collapsed="1">
      <c r="B102" s="14" t="s">
        <v>50</v>
      </c>
      <c r="C102" s="15">
        <f>'T2-B1M Screen 21 - Install'!I52</f>
        <v>4705.88</v>
      </c>
      <c r="D102" s="15">
        <f>IFERROR(C102/(1-F102),0)</f>
        <v>5536.33</v>
      </c>
      <c r="E102" s="15">
        <f>IFERROR(D102-C102,0)</f>
        <v>830.45</v>
      </c>
      <c r="F102" s="16">
        <v>0.15</v>
      </c>
    </row>
    <row r="103" spans="2:6" x14ac:dyDescent="0.25" outlineLevel="1" collapsed="1">
      <c r="B103" s="4" t="s">
        <v>51</v>
      </c>
      <c r="C103" s="17">
        <f>SUM(C97:C102)</f>
        <v>70297.95</v>
      </c>
      <c r="D103" s="17">
        <f>SUM(D97:D102)</f>
        <v>81602.53</v>
      </c>
      <c r="E103" s="17">
        <f>IFERROR(D103-C103,0)</f>
        <v>11304.58</v>
      </c>
      <c r="F103" s="18">
        <f>IFERROR(1-C103/D103,0)</f>
        <v>0.138532</v>
      </c>
    </row>
    <row r="104" spans="2:7" x14ac:dyDescent="0.25" outlineLevel="1" collapsed="1">
      <c r="B104" s="14" t="s">
        <v>52</v>
      </c>
      <c r="C104" s="19">
        <v>0</v>
      </c>
      <c r="D104" s="19">
        <v>0</v>
      </c>
      <c r="E104" s="19">
        <v>0</v>
      </c>
      <c r="G104" s="20">
        <v>0</v>
      </c>
    </row>
    <row r="105" spans="2:7" x14ac:dyDescent="0.25" outlineLevel="1" collapsed="1">
      <c r="B105" s="14" t="s">
        <v>53</v>
      </c>
      <c r="C105" s="19">
        <v>0</v>
      </c>
      <c r="D105" s="19">
        <v>0</v>
      </c>
      <c r="E105" s="19">
        <v>0</v>
      </c>
      <c r="G105" s="20">
        <v>0</v>
      </c>
    </row>
    <row r="106" spans="2:7" x14ac:dyDescent="0.25" outlineLevel="1" collapsed="1">
      <c r="B106" s="14" t="s">
        <v>54</v>
      </c>
      <c r="C106" s="19">
        <v>0</v>
      </c>
      <c r="D106" s="19">
        <v>0</v>
      </c>
      <c r="E106" s="19">
        <v>0</v>
      </c>
      <c r="G106" s="20">
        <v>0</v>
      </c>
    </row>
    <row r="107" spans="2:6" x14ac:dyDescent="0.25">
      <c r="B107" s="21" t="s">
        <v>55</v>
      </c>
      <c r="C107" s="22">
        <f>C103+C104+C105+C106</f>
        <v>70297.95</v>
      </c>
      <c r="D107" s="22">
        <f>D103+D104+D105+D106</f>
        <v>81602.53</v>
      </c>
      <c r="E107" s="22">
        <f>IFERROR(D107-C107,0)</f>
        <v>11304.580000000002</v>
      </c>
      <c r="F107" s="23">
        <f>IFERROR(1-C107/D107,0)</f>
        <v>0.13853222442980628</v>
      </c>
    </row>
    <row r="109" spans="2:4" s="12" customFormat="1" x14ac:dyDescent="0.25">
      <c r="B109" s="12" t="s">
        <v>63</v>
      </c>
      <c r="D109" s="13" t="s">
        <v>41</v>
      </c>
    </row>
    <row r="110" spans="2:6" x14ac:dyDescent="0.25" outlineLevel="1" collapsed="1">
      <c r="B110" s="14" t="s">
        <v>45</v>
      </c>
      <c r="C110" s="15">
        <f>'LED Cost Sheet'!T12</f>
        <v>19348.52</v>
      </c>
      <c r="D110" s="15">
        <f>'LED Cost Sheet'!V12</f>
        <v>22762.96</v>
      </c>
      <c r="E110" s="15">
        <f>IFERROR(D110-C110,0)</f>
        <v>3414.44</v>
      </c>
      <c r="F110" s="16">
        <v>0.15</v>
      </c>
    </row>
    <row r="111" spans="2:6" x14ac:dyDescent="0.25" outlineLevel="1" collapsed="1">
      <c r="B111" s="14" t="s">
        <v>46</v>
      </c>
      <c r="C111" s="15">
        <f>'T2-B1M Screen 22 - Install'!I26</f>
        <v>1147.5</v>
      </c>
      <c r="D111" s="15">
        <f>IFERROR(C111/(1-F111),0)</f>
        <v>1350</v>
      </c>
      <c r="E111" s="15">
        <f>IFERROR(D111-C111,0)</f>
        <v>202.5</v>
      </c>
      <c r="F111" s="16">
        <v>0.15</v>
      </c>
    </row>
    <row r="112" spans="2:6" x14ac:dyDescent="0.25" outlineLevel="1" collapsed="1">
      <c r="B112" s="14" t="s">
        <v>47</v>
      </c>
      <c r="C112" s="15">
        <f>'T2-B1M Screen 22 - Install'!I35-'T2-B1M Screen 22 - Install'!I34</f>
        <v>4781.25</v>
      </c>
      <c r="D112" s="15">
        <f>IFERROR(C112/(1-F112),0)</f>
        <v>5625</v>
      </c>
      <c r="E112" s="15">
        <f>IFERROR(D112-C112,0)</f>
        <v>843.75</v>
      </c>
      <c r="F112" s="16">
        <v>0.15</v>
      </c>
    </row>
    <row r="113" spans="2:6" x14ac:dyDescent="0.25" outlineLevel="1" collapsed="1">
      <c r="B113" s="14" t="s">
        <v>48</v>
      </c>
      <c r="C113" s="15">
        <f>'T2-B1M Screen 22 - Install'!I44</f>
        <v>4781.25</v>
      </c>
      <c r="D113" s="15">
        <f>IFERROR(C113/(1-F113),0)</f>
        <v>5625</v>
      </c>
      <c r="E113" s="15">
        <f>IFERROR(D113-C113,0)</f>
        <v>843.75</v>
      </c>
      <c r="F113" s="16">
        <v>0.15</v>
      </c>
    </row>
    <row r="114" spans="2:6" x14ac:dyDescent="0.25" outlineLevel="1" collapsed="1">
      <c r="B114" s="14" t="s">
        <v>49</v>
      </c>
      <c r="C114" s="15">
        <f>'T2-B1M Screen 22 - Install'!I34</f>
        <v>20882.35</v>
      </c>
      <c r="D114" s="15">
        <f>IFERROR(C114/(1-F114),0)</f>
        <v>24567.47</v>
      </c>
      <c r="E114" s="15">
        <f>IFERROR(D114-C114,0)</f>
        <v>3685.12</v>
      </c>
      <c r="F114" s="16">
        <v>0.15</v>
      </c>
    </row>
    <row r="115" spans="2:6" x14ac:dyDescent="0.25" outlineLevel="1" collapsed="1">
      <c r="B115" s="14" t="s">
        <v>50</v>
      </c>
      <c r="C115" s="15">
        <f>'T2-B1M Screen 22 - Install'!I52</f>
        <v>4705.88</v>
      </c>
      <c r="D115" s="15">
        <f>IFERROR(C115/(1-F115),0)</f>
        <v>5536.33</v>
      </c>
      <c r="E115" s="15">
        <f>IFERROR(D115-C115,0)</f>
        <v>830.45</v>
      </c>
      <c r="F115" s="16">
        <v>0.15</v>
      </c>
    </row>
    <row r="116" spans="2:6" x14ac:dyDescent="0.25" outlineLevel="1" collapsed="1">
      <c r="B116" s="4" t="s">
        <v>51</v>
      </c>
      <c r="C116" s="17">
        <f>SUM(C110:C115)</f>
        <v>55646.75</v>
      </c>
      <c r="D116" s="17">
        <f>SUM(D110:D115)</f>
        <v>64730.65</v>
      </c>
      <c r="E116" s="17">
        <f>IFERROR(D116-C116,0)</f>
        <v>9083.9</v>
      </c>
      <c r="F116" s="18">
        <f>IFERROR(1-C116/D116,0)</f>
        <v>0.140334</v>
      </c>
    </row>
    <row r="117" spans="2:7" x14ac:dyDescent="0.25" outlineLevel="1" collapsed="1">
      <c r="B117" s="14" t="s">
        <v>52</v>
      </c>
      <c r="C117" s="19">
        <v>0</v>
      </c>
      <c r="D117" s="19">
        <v>0</v>
      </c>
      <c r="E117" s="19">
        <v>0</v>
      </c>
      <c r="G117" s="20">
        <v>0</v>
      </c>
    </row>
    <row r="118" spans="2:7" x14ac:dyDescent="0.25" outlineLevel="1" collapsed="1">
      <c r="B118" s="14" t="s">
        <v>53</v>
      </c>
      <c r="C118" s="19">
        <v>0</v>
      </c>
      <c r="D118" s="19">
        <v>0</v>
      </c>
      <c r="E118" s="19">
        <v>0</v>
      </c>
      <c r="G118" s="20">
        <v>0</v>
      </c>
    </row>
    <row r="119" spans="2:7" x14ac:dyDescent="0.25" outlineLevel="1" collapsed="1">
      <c r="B119" s="14" t="s">
        <v>54</v>
      </c>
      <c r="C119" s="19">
        <v>0</v>
      </c>
      <c r="D119" s="19">
        <v>0</v>
      </c>
      <c r="E119" s="19">
        <v>0</v>
      </c>
      <c r="G119" s="20">
        <v>0</v>
      </c>
    </row>
    <row r="120" spans="2:6" x14ac:dyDescent="0.25">
      <c r="B120" s="21" t="s">
        <v>55</v>
      </c>
      <c r="C120" s="22">
        <f>C116+C117+C118+C119</f>
        <v>55646.75</v>
      </c>
      <c r="D120" s="22">
        <f>D116+D117+D118+D119</f>
        <v>64730.65</v>
      </c>
      <c r="E120" s="22">
        <f>IFERROR(D120-C120,0)</f>
        <v>9083.900000000001</v>
      </c>
      <c r="F120" s="23">
        <f>IFERROR(1-C120/D120,0)</f>
        <v>0.1403338294919022</v>
      </c>
    </row>
    <row r="122" spans="2:4" s="12" customFormat="1" x14ac:dyDescent="0.25">
      <c r="B122" s="12" t="s">
        <v>64</v>
      </c>
      <c r="D122" s="13" t="s">
        <v>41</v>
      </c>
    </row>
    <row r="123" spans="2:6" x14ac:dyDescent="0.25" outlineLevel="1" collapsed="1">
      <c r="B123" s="14" t="s">
        <v>45</v>
      </c>
      <c r="C123" s="15">
        <f>'LED Cost Sheet'!T13</f>
        <v>223369.54</v>
      </c>
      <c r="D123" s="15">
        <f>'LED Cost Sheet'!V13</f>
        <v>262787.69</v>
      </c>
      <c r="E123" s="15">
        <f>IFERROR(D123-C123,0)</f>
        <v>39418.15</v>
      </c>
      <c r="F123" s="16">
        <v>0.15</v>
      </c>
    </row>
    <row r="124" spans="2:6" x14ac:dyDescent="0.25" outlineLevel="1" collapsed="1">
      <c r="B124" s="14" t="s">
        <v>46</v>
      </c>
      <c r="C124" s="15">
        <f>'New Path Hall Option 1 - Instal'!I26</f>
        <v>12315</v>
      </c>
      <c r="D124" s="15">
        <f>IFERROR(C124/(1-F124),0)</f>
        <v>14488.24</v>
      </c>
      <c r="E124" s="15">
        <f>IFERROR(D124-C124,0)</f>
        <v>2173.24</v>
      </c>
      <c r="F124" s="16">
        <v>0.15</v>
      </c>
    </row>
    <row r="125" spans="2:6" x14ac:dyDescent="0.25" outlineLevel="1" collapsed="1">
      <c r="B125" s="14" t="s">
        <v>47</v>
      </c>
      <c r="C125" s="15">
        <f>'New Path Hall Option 1 - Instal'!I35-'New Path Hall Option 1 - Instal'!I34</f>
        <v>51312.5</v>
      </c>
      <c r="D125" s="15">
        <f>IFERROR(C125/(1-F125),0)</f>
        <v>60367.65</v>
      </c>
      <c r="E125" s="15">
        <f>IFERROR(D125-C125,0)</f>
        <v>9055.15</v>
      </c>
      <c r="F125" s="16">
        <v>0.15</v>
      </c>
    </row>
    <row r="126" spans="2:6" x14ac:dyDescent="0.25" outlineLevel="1" collapsed="1">
      <c r="B126" s="14" t="s">
        <v>48</v>
      </c>
      <c r="C126" s="15">
        <f>'New Path Hall Option 1 - Instal'!I44</f>
        <v>51312.5</v>
      </c>
      <c r="D126" s="15">
        <f>IFERROR(C126/(1-F126),0)</f>
        <v>60367.65</v>
      </c>
      <c r="E126" s="15">
        <f>IFERROR(D126-C126,0)</f>
        <v>9055.15</v>
      </c>
      <c r="F126" s="16">
        <v>0.15</v>
      </c>
    </row>
    <row r="127" spans="2:6" x14ac:dyDescent="0.25" outlineLevel="1" collapsed="1">
      <c r="B127" s="14" t="s">
        <v>49</v>
      </c>
      <c r="C127" s="15">
        <f>'New Path Hall Option 1 - Instal'!I34</f>
        <v>20882.35</v>
      </c>
      <c r="D127" s="15">
        <f>IFERROR(C127/(1-F127),0)</f>
        <v>24567.47</v>
      </c>
      <c r="E127" s="15">
        <f>IFERROR(D127-C127,0)</f>
        <v>3685.12</v>
      </c>
      <c r="F127" s="16">
        <v>0.15</v>
      </c>
    </row>
    <row r="128" spans="2:6" x14ac:dyDescent="0.25" outlineLevel="1" collapsed="1">
      <c r="B128" s="14" t="s">
        <v>50</v>
      </c>
      <c r="C128" s="15">
        <f>'New Path Hall Option 1 - Instal'!I52</f>
        <v>4705.88</v>
      </c>
      <c r="D128" s="15">
        <f>IFERROR(C128/(1-F128),0)</f>
        <v>5536.33</v>
      </c>
      <c r="E128" s="15">
        <f>IFERROR(D128-C128,0)</f>
        <v>830.45</v>
      </c>
      <c r="F128" s="16">
        <v>0.15</v>
      </c>
    </row>
    <row r="129" spans="2:6" x14ac:dyDescent="0.25" outlineLevel="1" collapsed="1">
      <c r="B129" s="4" t="s">
        <v>51</v>
      </c>
      <c r="C129" s="17">
        <f>SUM(C123:C128)</f>
        <v>363897.77</v>
      </c>
      <c r="D129" s="17">
        <f>SUM(D123:D128)</f>
        <v>420209.14</v>
      </c>
      <c r="E129" s="17">
        <f>IFERROR(D129-C129,0)</f>
        <v>56311.37</v>
      </c>
      <c r="F129" s="18">
        <f>IFERROR(1-C129/D129,0)</f>
        <v>0.134008</v>
      </c>
    </row>
    <row r="130" spans="2:7" x14ac:dyDescent="0.25" outlineLevel="1" collapsed="1">
      <c r="B130" s="14" t="s">
        <v>52</v>
      </c>
      <c r="C130" s="19">
        <v>0</v>
      </c>
      <c r="D130" s="19">
        <v>0</v>
      </c>
      <c r="E130" s="19">
        <v>0</v>
      </c>
      <c r="G130" s="20">
        <v>0</v>
      </c>
    </row>
    <row r="131" spans="2:7" x14ac:dyDescent="0.25" outlineLevel="1" collapsed="1">
      <c r="B131" s="14" t="s">
        <v>53</v>
      </c>
      <c r="C131" s="19">
        <v>0</v>
      </c>
      <c r="D131" s="19">
        <v>0</v>
      </c>
      <c r="E131" s="19">
        <v>0</v>
      </c>
      <c r="G131" s="20">
        <v>0</v>
      </c>
    </row>
    <row r="132" spans="2:7" x14ac:dyDescent="0.25" outlineLevel="1" collapsed="1">
      <c r="B132" s="14" t="s">
        <v>54</v>
      </c>
      <c r="C132" s="19">
        <v>0</v>
      </c>
      <c r="D132" s="19">
        <v>0</v>
      </c>
      <c r="E132" s="19">
        <v>0</v>
      </c>
      <c r="G132" s="20">
        <v>0</v>
      </c>
    </row>
    <row r="133" spans="2:6" x14ac:dyDescent="0.25">
      <c r="B133" s="21" t="s">
        <v>55</v>
      </c>
      <c r="C133" s="22">
        <f>C129+C130+C131+C132</f>
        <v>363897.77</v>
      </c>
      <c r="D133" s="22">
        <f>D129+D130+D131+D132</f>
        <v>420209.14</v>
      </c>
      <c r="E133" s="22">
        <f>IFERROR(D133-C133,0)</f>
        <v>56311.369999999995</v>
      </c>
      <c r="F133" s="23">
        <f>IFERROR(1-C133/D133,0)</f>
        <v>0.13400796089299727</v>
      </c>
    </row>
    <row r="135" spans="2:4" s="12" customFormat="1" x14ac:dyDescent="0.25">
      <c r="B135" s="12" t="s">
        <v>65</v>
      </c>
      <c r="D135" s="13" t="s">
        <v>41</v>
      </c>
    </row>
    <row r="136" spans="2:6" x14ac:dyDescent="0.25" outlineLevel="1" collapsed="1">
      <c r="B136" s="14" t="s">
        <v>45</v>
      </c>
      <c r="C136" s="15">
        <f>'LED Cost Sheet'!T14</f>
        <v>284022.11</v>
      </c>
      <c r="D136" s="15">
        <f>'LED Cost Sheet'!V14</f>
        <v>334143.66</v>
      </c>
      <c r="E136" s="15">
        <f>IFERROR(D136-C136,0)</f>
        <v>50121.55</v>
      </c>
      <c r="F136" s="16">
        <v>0.15</v>
      </c>
    </row>
    <row r="137" spans="2:6" x14ac:dyDescent="0.25" outlineLevel="1" collapsed="1">
      <c r="B137" s="14" t="s">
        <v>46</v>
      </c>
      <c r="C137" s="15">
        <f>'New Path Hall Option 2 - Instal'!I26</f>
        <v>15483.75</v>
      </c>
      <c r="D137" s="15">
        <f>IFERROR(C137/(1-F137),0)</f>
        <v>18216.18</v>
      </c>
      <c r="E137" s="15">
        <f>IFERROR(D137-C137,0)</f>
        <v>2732.43</v>
      </c>
      <c r="F137" s="16">
        <v>0.15</v>
      </c>
    </row>
    <row r="138" spans="2:6" x14ac:dyDescent="0.25" outlineLevel="1" collapsed="1">
      <c r="B138" s="14" t="s">
        <v>47</v>
      </c>
      <c r="C138" s="15">
        <f>'New Path Hall Option 2 - Instal'!I35-'New Path Hall Option 2 - Instal'!I34</f>
        <v>64515.63</v>
      </c>
      <c r="D138" s="15">
        <f>IFERROR(C138/(1-F138),0)</f>
        <v>75900.74</v>
      </c>
      <c r="E138" s="15">
        <f>IFERROR(D138-C138,0)</f>
        <v>11385.11</v>
      </c>
      <c r="F138" s="16">
        <v>0.15</v>
      </c>
    </row>
    <row r="139" spans="2:6" x14ac:dyDescent="0.25" outlineLevel="1" collapsed="1">
      <c r="B139" s="14" t="s">
        <v>48</v>
      </c>
      <c r="C139" s="15">
        <f>'New Path Hall Option 2 - Instal'!I44</f>
        <v>64515.63</v>
      </c>
      <c r="D139" s="15">
        <f>IFERROR(C139/(1-F139),0)</f>
        <v>75900.74</v>
      </c>
      <c r="E139" s="15">
        <f>IFERROR(D139-C139,0)</f>
        <v>11385.11</v>
      </c>
      <c r="F139" s="16">
        <v>0.15</v>
      </c>
    </row>
    <row r="140" spans="2:6" x14ac:dyDescent="0.25" outlineLevel="1" collapsed="1">
      <c r="B140" s="14" t="s">
        <v>49</v>
      </c>
      <c r="C140" s="15">
        <f>'New Path Hall Option 2 - Instal'!I34</f>
        <v>20882.35</v>
      </c>
      <c r="D140" s="15">
        <f>IFERROR(C140/(1-F140),0)</f>
        <v>24567.47</v>
      </c>
      <c r="E140" s="15">
        <f>IFERROR(D140-C140,0)</f>
        <v>3685.12</v>
      </c>
      <c r="F140" s="16">
        <v>0.15</v>
      </c>
    </row>
    <row r="141" spans="2:6" x14ac:dyDescent="0.25" outlineLevel="1" collapsed="1">
      <c r="B141" s="14" t="s">
        <v>50</v>
      </c>
      <c r="C141" s="15">
        <f>'New Path Hall Option 2 - Instal'!I52</f>
        <v>4705.88</v>
      </c>
      <c r="D141" s="15">
        <f>IFERROR(C141/(1-F141),0)</f>
        <v>5536.33</v>
      </c>
      <c r="E141" s="15">
        <f>IFERROR(D141-C141,0)</f>
        <v>830.45</v>
      </c>
      <c r="F141" s="16">
        <v>0.15</v>
      </c>
    </row>
    <row r="142" spans="2:6" x14ac:dyDescent="0.25" outlineLevel="1" collapsed="1">
      <c r="B142" s="4" t="s">
        <v>51</v>
      </c>
      <c r="C142" s="17">
        <f>SUM(C136:C141)</f>
        <v>454125.35</v>
      </c>
      <c r="D142" s="17">
        <f>SUM(D136:D141)</f>
        <v>524323.94</v>
      </c>
      <c r="E142" s="17">
        <f>IFERROR(D142-C142,0)</f>
        <v>70198.59</v>
      </c>
      <c r="F142" s="18">
        <f>IFERROR(1-C142/D142,0)</f>
        <v>0.133884</v>
      </c>
    </row>
    <row r="143" spans="2:7" x14ac:dyDescent="0.25" outlineLevel="1" collapsed="1">
      <c r="B143" s="14" t="s">
        <v>52</v>
      </c>
      <c r="C143" s="19">
        <v>0</v>
      </c>
      <c r="D143" s="19">
        <v>0</v>
      </c>
      <c r="E143" s="19">
        <v>0</v>
      </c>
      <c r="G143" s="20">
        <v>0</v>
      </c>
    </row>
    <row r="144" spans="2:7" x14ac:dyDescent="0.25" outlineLevel="1" collapsed="1">
      <c r="B144" s="14" t="s">
        <v>53</v>
      </c>
      <c r="C144" s="19">
        <v>0</v>
      </c>
      <c r="D144" s="19">
        <v>0</v>
      </c>
      <c r="E144" s="19">
        <v>0</v>
      </c>
      <c r="G144" s="20">
        <v>0</v>
      </c>
    </row>
    <row r="145" spans="2:7" x14ac:dyDescent="0.25" outlineLevel="1" collapsed="1">
      <c r="B145" s="14" t="s">
        <v>54</v>
      </c>
      <c r="C145" s="19">
        <v>0</v>
      </c>
      <c r="D145" s="19">
        <v>0</v>
      </c>
      <c r="E145" s="19">
        <v>0</v>
      </c>
      <c r="G145" s="20">
        <v>0</v>
      </c>
    </row>
    <row r="146" spans="2:6" x14ac:dyDescent="0.25">
      <c r="B146" s="21" t="s">
        <v>55</v>
      </c>
      <c r="C146" s="22">
        <f>C142+C143+C144+C145</f>
        <v>454125.35</v>
      </c>
      <c r="D146" s="22">
        <f>D142+D143+D144+D145</f>
        <v>524323.94</v>
      </c>
      <c r="E146" s="22">
        <f>IFERROR(D146-C146,0)</f>
        <v>70198.58999999997</v>
      </c>
      <c r="F146" s="23">
        <f>IFERROR(1-C146/D146,0)</f>
        <v>0.13388400689848334</v>
      </c>
    </row>
    <row r="149" ht="24" customHeight="1" spans="2:6" x14ac:dyDescent="0.25">
      <c r="B149" s="24" t="s">
        <v>66</v>
      </c>
      <c r="C149" s="24"/>
      <c r="D149" s="24"/>
      <c r="E149" s="24"/>
      <c r="F149" s="24"/>
    </row>
    <row r="150" spans="2:6" x14ac:dyDescent="0.25">
      <c r="B150" s="25" t="s">
        <v>67</v>
      </c>
      <c r="C150" s="19">
        <f>SUM(CMS!F26:F26)</f>
        <v>0</v>
      </c>
      <c r="D150" s="19">
        <f>SUM(CMS!H26:H26)</f>
        <v>0</v>
      </c>
      <c r="E150" s="19">
        <f>SUM(CMS!I26:I26)</f>
        <v>0</v>
      </c>
      <c r="F150" s="20">
        <v>0.15</v>
      </c>
    </row>
    <row r="151" spans="2:6" x14ac:dyDescent="0.25">
      <c r="B151" s="25" t="s">
        <v>68</v>
      </c>
      <c r="C151" s="19">
        <f>SUM(Scoring!F27:F27)</f>
        <v>0</v>
      </c>
      <c r="D151" s="19">
        <f>SUM(Scoring!H27:H27)</f>
        <v>0</v>
      </c>
      <c r="E151" s="19">
        <f>SUM(Scoring!I27:I27)</f>
        <v>0</v>
      </c>
      <c r="F151" s="20">
        <v>0.15</v>
      </c>
    </row>
    <row r="152" spans="2:6" x14ac:dyDescent="0.25">
      <c r="B152" s="25" t="s">
        <v>69</v>
      </c>
      <c r="C152" s="19">
        <f>SUM('Venue Services'!B17:B17)</f>
        <v>0</v>
      </c>
      <c r="D152" s="19">
        <f>SUM('Venue Services'!C17:C17)</f>
        <v>0</v>
      </c>
      <c r="E152" s="19">
        <f>SUM('Venue Services'!D17:D17)</f>
        <v>0</v>
      </c>
      <c r="F152" s="26">
        <v>0.15</v>
      </c>
    </row>
    <row r="153" spans="2:6" x14ac:dyDescent="0.25">
      <c r="B153" s="25" t="s">
        <v>70</v>
      </c>
      <c r="C153" s="19">
        <f>SUM('Additional Items'!F5:F5)</f>
        <v>0</v>
      </c>
      <c r="D153" s="19">
        <f>SUM('Additional Items'!H5:H5)</f>
        <v>0</v>
      </c>
      <c r="E153" s="19">
        <f>SUM('Additional Items'!I5:I5)</f>
        <v>0</v>
      </c>
      <c r="F153" s="26">
        <f>SUM('Additional Items'!G5:G5)</f>
        <v>0.15</v>
      </c>
    </row>
    <row r="154" spans="2:6" x14ac:dyDescent="0.25">
      <c r="B154" s="25" t="s">
        <v>71</v>
      </c>
      <c r="C154" s="19">
        <f>SUM('Additional Items'!F6:F6)</f>
        <v>0</v>
      </c>
      <c r="D154" s="19">
        <f>SUM('Additional Items'!H6:H6)</f>
        <v>0</v>
      </c>
      <c r="E154" s="19">
        <f>SUM('Additional Items'!I6:I6)</f>
        <v>0</v>
      </c>
      <c r="F154" s="26">
        <f>SUM('Additional Items'!G6:G6)</f>
        <v>0.15</v>
      </c>
    </row>
    <row r="155" spans="2:6" x14ac:dyDescent="0.25">
      <c r="B155" s="25" t="s">
        <v>72</v>
      </c>
      <c r="C155" s="19">
        <f>SUM('Additional Items'!F7:F7)</f>
        <v>0</v>
      </c>
      <c r="D155" s="19">
        <f>SUM('Additional Items'!H7:H7)</f>
        <v>0</v>
      </c>
      <c r="E155" s="19">
        <f>SUM('Additional Items'!I7:I7)</f>
        <v>0</v>
      </c>
      <c r="F155" s="26">
        <f>SUM('Additional Items'!G7:G7)</f>
        <v>0.15</v>
      </c>
    </row>
    <row r="156" spans="2:6" x14ac:dyDescent="0.25">
      <c r="B156" s="25" t="s">
        <v>73</v>
      </c>
      <c r="C156" s="19">
        <f>SUM('Additional Items'!F8:F8)</f>
        <v>0</v>
      </c>
      <c r="D156" s="19">
        <f>SUM('Additional Items'!H8:H8)</f>
        <v>0</v>
      </c>
      <c r="E156" s="19">
        <f>SUM('Additional Items'!I8:I8)</f>
        <v>0</v>
      </c>
      <c r="F156" s="26">
        <f>SUM('Additional Items'!G8:G8)</f>
        <v>0.15</v>
      </c>
    </row>
    <row r="158" spans="1:6" x14ac:dyDescent="0.25" outlineLevel="1" collapsed="1">
      <c r="A158" s="27"/>
      <c r="B158" s="28" t="s">
        <v>74</v>
      </c>
      <c r="C158" s="29">
        <f>SUM(C16,C29,C42,C55,C68,C81,C94,C107,C120,C133,C146,C150,C151,C152,C153,C154,C155,C156)</f>
        <v>3435750.15</v>
      </c>
      <c r="D158" s="29">
        <f>SUM(D16,D29,D42,D55,D68,D81,D94,D107,D120,D133,D146,D150,D151,D152,D153,D154,D155,D156)</f>
        <v>3967550.77</v>
      </c>
      <c r="E158" s="29">
        <f>IFERROR(D158-C158,0)</f>
        <v>531800.62</v>
      </c>
      <c r="F158" s="30">
        <f>IFERROR(1-C158/D158,0)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75</v>
      </c>
      <c r="B1" s="1"/>
      <c r="C1" s="1"/>
      <c r="D1" s="1"/>
      <c r="E1" s="1"/>
      <c r="F1" s="1"/>
      <c r="G1" s="1"/>
    </row>
    <row r="2" spans="1:7" x14ac:dyDescent="0.25">
      <c r="A2" s="2" t="s">
        <v>76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38</v>
      </c>
      <c r="B4" s="31" t="s">
        <v>77</v>
      </c>
      <c r="C4" s="31" t="s">
        <v>40</v>
      </c>
      <c r="D4" s="31" t="s">
        <v>41</v>
      </c>
      <c r="E4" s="31" t="s">
        <v>42</v>
      </c>
      <c r="F4" s="31" t="s">
        <v>43</v>
      </c>
      <c r="G4" s="31" t="s">
        <v>78</v>
      </c>
    </row>
    <row r="5" spans="2:7" x14ac:dyDescent="0.25">
      <c r="B5" s="5" t="s">
        <v>79</v>
      </c>
      <c r="C5" s="19">
        <f>SUM('LED Cost Sheet'!Q4:Q14)</f>
        <v>2071099.5799999996</v>
      </c>
      <c r="D5" s="19">
        <f>SUM('LED Cost Sheet'!S4:S14)</f>
        <v>2436587.74</v>
      </c>
      <c r="E5" s="19">
        <f>IFERROR(D5-C5,0)</f>
        <v>365488.16</v>
      </c>
      <c r="F5" s="26">
        <v>0.15</v>
      </c>
      <c r="G5" s="19">
        <f>IFERROR(C5/6333.2,0)</f>
        <v>327.02</v>
      </c>
    </row>
    <row r="6" spans="1:7" x14ac:dyDescent="0.25">
      <c r="A6" s="32"/>
      <c r="B6" s="7" t="s">
        <v>80</v>
      </c>
      <c r="C6" s="33">
        <f>SUM('Underpass 3 - Install'!I26:I26)+SUM('Underpass 4 - Install'!I26:I26)+SUM('Concourse - Install'!I26:I26)+SUM('T4-B1 (6-9) - Install'!I26:I26)+SUM('T4-B2 (10-18) - Install'!I26:I26)+SUM('T4 Lobby Elevator - Install'!I26:I26)+SUM('T2-B1M Screen 20 - Install'!I26:I26)+SUM('T2-B1M Screen 21 - Install'!I26:I26)+SUM('T2-B1M Screen 22 - Install'!I26:I26)+SUM('New Path Hall Option 1 - Instal'!I26:I26)+SUM('New Path Hall Option 2 - Instal'!I26:I26)</f>
        <v>116055</v>
      </c>
      <c r="D6" s="33">
        <f>SUM('Underpass 3 - Install'!K26:K26)+SUM('Underpass 4 - Install'!K26:K26)+SUM('Concourse - Install'!K26:K26)+SUM('T4-B1 (6-9) - Install'!K26:K26)+SUM('T4-B2 (10-18) - Install'!K26:K26)+SUM('T4 Lobby Elevator - Install'!K26:K26)+SUM('T2-B1M Screen 20 - Install'!K26:K26)+SUM('T2-B1M Screen 21 - Install'!K26:K26)+SUM('T2-B1M Screen 22 - Install'!K26:K26)+SUM('New Path Hall Option 1 - Instal'!K26:K26)+SUM('New Path Hall Option 2 - Instal'!K26:K26)</f>
        <v>136535.29</v>
      </c>
      <c r="E6" s="33">
        <f>IFERROR(D6-C6,0)</f>
        <v>20480.29</v>
      </c>
      <c r="F6" s="34">
        <v>0.15</v>
      </c>
      <c r="G6" s="33">
        <f>IFERROR(C6/6333.2,0)</f>
        <v>18.32</v>
      </c>
    </row>
    <row r="7" spans="2:7" x14ac:dyDescent="0.25">
      <c r="B7" s="5" t="s">
        <v>81</v>
      </c>
      <c r="C7" s="19">
        <f>(SUM('Underpass 3 - Install'!I35:I35)-SUM('Underpass 3 - Install'!I34:I34))+(SUM('Underpass 4 - Install'!I35:I35)-SUM('Underpass 4 - Install'!I34:I34))+(SUM('Concourse - Install'!I35:I35)-SUM('Concourse - Install'!I34:I34))+(SUM('T4-B1 (6-9) - Install'!I35:I35)-SUM('T4-B1 (6-9) - Install'!I34:I34))+(SUM('T4-B2 (10-18) - Install'!I35:I35)-SUM('T4-B2 (10-18) - Install'!I34:I34))+(SUM('T4 Lobby Elevator - Install'!I35:I35)-SUM('T4 Lobby Elevator - Install'!I34:I34))+(SUM('T2-B1M Screen 20 - Install'!I35:I35)-SUM('T2-B1M Screen 20 - Install'!I34:I34))+(SUM('T2-B1M Screen 21 - Install'!I35:I35)-SUM('T2-B1M Screen 21 - Install'!I34:I34))+(SUM('T2-B1M Screen 22 - Install'!I35:I35)-SUM('T2-B1M Screen 22 - Install'!I34:I34))+(SUM('New Path Hall Option 1 - Instal'!I35:I35)-SUM('New Path Hall Option 1 - Instal'!I34:I34))+(SUM('New Path Hall Option 2 - Instal'!I35:I35)-SUM('New Path Hall Option 2 - Instal'!I34:I34))</f>
        <v>483562.52</v>
      </c>
      <c r="D7" s="19">
        <f>(SUM('Underpass 3 - Install'!K35:K35)-SUM('Underpass 3 - Install'!K34:K34))+(SUM('Underpass 4 - Install'!K35:K35)-SUM('Underpass 4 - Install'!K34:K34))+(SUM('Concourse - Install'!K35:K35)-SUM('Concourse - Install'!K34:K34))+(SUM('T4-B1 (6-9) - Install'!K35:K35)-SUM('T4-B1 (6-9) - Install'!K34:K34))+(SUM('T4-B2 (10-18) - Install'!K35:K35)-SUM('T4-B2 (10-18) - Install'!K34:K34))+(SUM('T4 Lobby Elevator - Install'!K35:K35)-SUM('T4 Lobby Elevator - Install'!K34:K34))+(SUM('T2-B1M Screen 20 - Install'!K35:K35)-SUM('T2-B1M Screen 20 - Install'!K34:K34))+(SUM('T2-B1M Screen 21 - Install'!K35:K35)-SUM('T2-B1M Screen 21 - Install'!K34:K34))+(SUM('T2-B1M Screen 22 - Install'!K35:K35)-SUM('T2-B1M Screen 22 - Install'!K34:K34))+(SUM('New Path Hall Option 1 - Instal'!K35:K35)-SUM('New Path Hall Option 1 - Instal'!K34:K34))+(SUM('New Path Hall Option 2 - Instal'!K35:K35)-SUM('New Path Hall Option 2 - Instal'!K34:K34))</f>
        <v>568897.08</v>
      </c>
      <c r="E7" s="19">
        <f>IFERROR(D7-C7,0)</f>
        <v>85334.56</v>
      </c>
      <c r="F7" s="26">
        <v>0.15</v>
      </c>
      <c r="G7" s="19">
        <f>IFERROR(C7/6333.2,0)</f>
        <v>76.35</v>
      </c>
    </row>
    <row r="8" spans="1:7" x14ac:dyDescent="0.25">
      <c r="A8" s="32"/>
      <c r="B8" s="7" t="s">
        <v>82</v>
      </c>
      <c r="C8" s="33">
        <f>SUM('Underpass 3 - Install'!I44:I44)+SUM('Underpass 4 - Install'!I44:I44)+SUM('Concourse - Install'!I44:I44)+SUM('T4-B1 (6-9) - Install'!I44:I44)+SUM('T4-B2 (10-18) - Install'!I44:I44)+SUM('T4 Lobby Elevator - Install'!I44:I44)+SUM('T2-B1M Screen 20 - Install'!I44:I44)+SUM('T2-B1M Screen 21 - Install'!I44:I44)+SUM('T2-B1M Screen 22 - Install'!I44:I44)+SUM('New Path Hall Option 1 - Instal'!I44:I44)+SUM('New Path Hall Option 2 - Instal'!I44:I44)</f>
        <v>483562.52</v>
      </c>
      <c r="D8" s="33">
        <f>SUM('Underpass 3 - Install'!K44:K44)+SUM('Underpass 4 - Install'!K44:K44)+SUM('Concourse - Install'!K44:K44)+SUM('T4-B1 (6-9) - Install'!K44:K44)+SUM('T4-B2 (10-18) - Install'!K44:K44)+SUM('T4 Lobby Elevator - Install'!K44:K44)+SUM('T2-B1M Screen 20 - Install'!K44:K44)+SUM('T2-B1M Screen 21 - Install'!K44:K44)+SUM('T2-B1M Screen 22 - Install'!K44:K44)+SUM('New Path Hall Option 1 - Instal'!K44:K44)+SUM('New Path Hall Option 2 - Instal'!K44:K44)</f>
        <v>568897.08</v>
      </c>
      <c r="E8" s="33">
        <f>IFERROR(D8-C8,0)</f>
        <v>85334.56</v>
      </c>
      <c r="F8" s="34">
        <v>0.15</v>
      </c>
      <c r="G8" s="33">
        <f>IFERROR(C8/6333.2,0)</f>
        <v>76.35</v>
      </c>
    </row>
    <row r="9" spans="2:7" x14ac:dyDescent="0.25">
      <c r="B9" s="5" t="s">
        <v>83</v>
      </c>
      <c r="C9" s="19">
        <f>SUM('Underpass 3 - Install'!I34:I34)+SUM('Underpass 4 - Install'!I34:I34)+SUM('Concourse - Install'!I34:I34)+SUM('T4-B1 (6-9) - Install'!I34:I34)+SUM('T4-B2 (10-18) - Install'!I34:I34)+SUM('T4 Lobby Elevator - Install'!I34:I34)+SUM('T2-B1M Screen 20 - Install'!I34:I34)+SUM('T2-B1M Screen 21 - Install'!I34:I34)+SUM('T2-B1M Screen 22 - Install'!I34:I34)+SUM('New Path Hall Option 1 - Instal'!I34:I34)+SUM('New Path Hall Option 2 - Instal'!I34:I34)</f>
        <v>229705.85000000003</v>
      </c>
      <c r="D9" s="19">
        <f>SUM('Underpass 3 - Install'!K34:K34)+SUM('Underpass 4 - Install'!K34:K34)+SUM('Concourse - Install'!K34:K34)+SUM('T4-B1 (6-9) - Install'!K34:K34)+SUM('T4-B2 (10-18) - Install'!K34:K34)+SUM('T4 Lobby Elevator - Install'!K34:K34)+SUM('T2-B1M Screen 20 - Install'!K34:K34)+SUM('T2-B1M Screen 21 - Install'!K34:K34)+SUM('T2-B1M Screen 22 - Install'!K34:K34)+SUM('New Path Hall Option 1 - Instal'!K34:K34)+SUM('New Path Hall Option 2 - Instal'!K34:K34)</f>
        <v>270242.18</v>
      </c>
      <c r="E9" s="19">
        <f>IFERROR(D9-C9,0)</f>
        <v>40536.33</v>
      </c>
      <c r="F9" s="26">
        <v>0.15</v>
      </c>
      <c r="G9" s="19" t="s">
        <v>38</v>
      </c>
    </row>
    <row r="10" spans="1:7" x14ac:dyDescent="0.25">
      <c r="A10" s="32"/>
      <c r="B10" s="7" t="s">
        <v>84</v>
      </c>
      <c r="C10" s="33">
        <f>SUM('Underpass 3 - Install'!I52:I52)+SUM('Underpass 4 - Install'!I52:I52)+SUM('Concourse - Install'!I52:I52)+SUM('T4-B1 (6-9) - Install'!I52:I52)+SUM('T4-B2 (10-18) - Install'!I52:I52)+SUM('T4 Lobby Elevator - Install'!I52:I52)+SUM('T2-B1M Screen 20 - Install'!I52:I52)+SUM('T2-B1M Screen 21 - Install'!I52:I52)+SUM('T2-B1M Screen 22 - Install'!I52:I52)+SUM('New Path Hall Option 1 - Instal'!I52:I52)+SUM('New Path Hall Option 2 - Instal'!I52:I52)</f>
        <v>51764.67999999999</v>
      </c>
      <c r="D10" s="33">
        <f>SUM('Underpass 3 - Install'!K52:K52)+SUM('Underpass 4 - Install'!K52:K52)+SUM('Concourse - Install'!K52:K52)+SUM('T4-B1 (6-9) - Install'!K52:K52)+SUM('T4-B2 (10-18) - Install'!K52:K52)+SUM('T4 Lobby Elevator - Install'!K52:K52)+SUM('T2-B1M Screen 20 - Install'!K52:K52)+SUM('T2-B1M Screen 21 - Install'!K52:K52)+SUM('T2-B1M Screen 22 - Install'!K52:K52)+SUM('New Path Hall Option 1 - Instal'!K52:K52)+SUM('New Path Hall Option 2 - Instal'!K52:K52)</f>
        <v>60899.62</v>
      </c>
      <c r="E10" s="33">
        <f>IFERROR(D10-C10,0)</f>
        <v>9134.94</v>
      </c>
      <c r="F10" s="34">
        <v>0.15</v>
      </c>
      <c r="G10" s="33" t="s">
        <v>38</v>
      </c>
    </row>
    <row r="11" spans="2:7" x14ac:dyDescent="0.25">
      <c r="B11" s="5" t="s">
        <v>67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38</v>
      </c>
    </row>
    <row r="12" spans="1:7" x14ac:dyDescent="0.25">
      <c r="A12" s="32"/>
      <c r="B12" s="7" t="s">
        <v>68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38</v>
      </c>
    </row>
    <row r="13" spans="2:7" x14ac:dyDescent="0.25">
      <c r="B13" s="5" t="s">
        <v>69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38</v>
      </c>
    </row>
    <row r="14" spans="1:7" x14ac:dyDescent="0.25">
      <c r="A14" s="32"/>
      <c r="B14" s="7" t="s">
        <v>70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38</v>
      </c>
    </row>
    <row r="15" spans="2:7" x14ac:dyDescent="0.25">
      <c r="B15" s="5" t="s">
        <v>71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38</v>
      </c>
    </row>
    <row r="16" spans="1:7" x14ac:dyDescent="0.25">
      <c r="A16" s="32"/>
      <c r="B16" s="7" t="s">
        <v>72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38</v>
      </c>
    </row>
    <row r="17" spans="2:7" x14ac:dyDescent="0.25">
      <c r="B17" s="5" t="s">
        <v>73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38</v>
      </c>
    </row>
    <row r="19" spans="1:7" x14ac:dyDescent="0.25">
      <c r="A19" s="35"/>
      <c r="B19" s="35" t="s">
        <v>85</v>
      </c>
      <c r="C19" s="36">
        <f>SUM(C5:C17)</f>
        <v>3435750.15</v>
      </c>
      <c r="D19" s="36">
        <f>SUM(D5:D17)</f>
        <v>3967550.77</v>
      </c>
      <c r="E19" s="36">
        <f>IFERROR(D19-C19,0)</f>
        <v>531800.62</v>
      </c>
      <c r="F19" s="37">
        <f>IFERROR(1-C19/D19,0)</f>
        <v>0.13</v>
      </c>
      <c r="G19" s="36">
        <f>IFERROR(C19/6333.2,0)</f>
        <v>542.5</v>
      </c>
    </row>
    <row r="20" spans="1:7" x14ac:dyDescent="0.25">
      <c r="A20" s="32"/>
      <c r="B20" s="32" t="s">
        <v>86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87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88</v>
      </c>
      <c r="C22" s="29">
        <f>C19+C20+C21</f>
        <v>3435750.15</v>
      </c>
      <c r="D22" s="29">
        <f>D19+D20+D21</f>
        <v>3967550.77</v>
      </c>
      <c r="E22" s="29">
        <f>IFERROR(D22-C22,0)</f>
        <v>531800.62</v>
      </c>
      <c r="F22" s="30">
        <f>IFERROR(1-C22/D22,0)</f>
        <v>0.13</v>
      </c>
      <c r="G22" s="29">
        <f>IFERROR(C22/6333.2,0)</f>
        <v>542.5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385</v>
      </c>
      <c r="B1" s="1"/>
      <c r="C1" s="1"/>
      <c r="D1" s="1"/>
      <c r="E1" s="1"/>
    </row>
    <row r="3" spans="1:5" x14ac:dyDescent="0.25">
      <c r="A3" s="24" t="s">
        <v>386</v>
      </c>
      <c r="B3" s="24" t="s">
        <v>95</v>
      </c>
      <c r="C3" s="24" t="s">
        <v>387</v>
      </c>
      <c r="D3" s="24" t="s">
        <v>388</v>
      </c>
      <c r="E3" s="24" t="s">
        <v>77</v>
      </c>
    </row>
    <row r="4" spans="1:5" x14ac:dyDescent="0.25">
      <c r="A4" s="71" t="s">
        <v>38</v>
      </c>
      <c r="B4" s="71" t="s">
        <v>38</v>
      </c>
      <c r="C4" s="71" t="s">
        <v>38</v>
      </c>
      <c r="D4" s="65">
        <v>0</v>
      </c>
      <c r="E4" s="71" t="s">
        <v>38</v>
      </c>
    </row>
    <row r="5" spans="1:5" x14ac:dyDescent="0.25">
      <c r="A5" s="73" t="s">
        <v>38</v>
      </c>
      <c r="B5" s="73" t="s">
        <v>38</v>
      </c>
      <c r="C5" s="73" t="s">
        <v>38</v>
      </c>
      <c r="D5" s="66">
        <v>0</v>
      </c>
      <c r="E5" s="73" t="s">
        <v>38</v>
      </c>
    </row>
    <row r="6" spans="1:5" x14ac:dyDescent="0.25">
      <c r="A6" s="71" t="s">
        <v>38</v>
      </c>
      <c r="B6" s="71" t="s">
        <v>38</v>
      </c>
      <c r="C6" s="71" t="s">
        <v>38</v>
      </c>
      <c r="D6" s="65">
        <v>0</v>
      </c>
      <c r="E6" s="71" t="s">
        <v>38</v>
      </c>
    </row>
    <row r="7" spans="1:5" x14ac:dyDescent="0.25">
      <c r="A7" s="73" t="s">
        <v>38</v>
      </c>
      <c r="B7" s="73" t="s">
        <v>38</v>
      </c>
      <c r="C7" s="73" t="s">
        <v>38</v>
      </c>
      <c r="D7" s="66">
        <v>0</v>
      </c>
      <c r="E7" s="73" t="s">
        <v>38</v>
      </c>
    </row>
    <row r="8" spans="1:5" x14ac:dyDescent="0.25">
      <c r="A8" s="71" t="s">
        <v>38</v>
      </c>
      <c r="B8" s="71" t="s">
        <v>38</v>
      </c>
      <c r="C8" s="71" t="s">
        <v>38</v>
      </c>
      <c r="D8" s="65">
        <v>0</v>
      </c>
      <c r="E8" s="71" t="s">
        <v>38</v>
      </c>
    </row>
    <row r="9" spans="1:5" x14ac:dyDescent="0.25">
      <c r="A9" s="73" t="s">
        <v>38</v>
      </c>
      <c r="B9" s="73" t="s">
        <v>38</v>
      </c>
      <c r="C9" s="73" t="s">
        <v>38</v>
      </c>
      <c r="D9" s="66">
        <v>0</v>
      </c>
      <c r="E9" s="73" t="s">
        <v>38</v>
      </c>
    </row>
    <row r="10" spans="1:5" x14ac:dyDescent="0.25">
      <c r="A10" s="71" t="s">
        <v>38</v>
      </c>
      <c r="B10" s="71" t="s">
        <v>38</v>
      </c>
      <c r="C10" s="71" t="s">
        <v>38</v>
      </c>
      <c r="D10" s="65">
        <v>0</v>
      </c>
      <c r="E10" s="71" t="s">
        <v>38</v>
      </c>
    </row>
    <row r="11" spans="1:5" x14ac:dyDescent="0.25">
      <c r="A11" s="73" t="s">
        <v>38</v>
      </c>
      <c r="B11" s="73" t="s">
        <v>38</v>
      </c>
      <c r="C11" s="73" t="s">
        <v>38</v>
      </c>
      <c r="D11" s="66">
        <v>0</v>
      </c>
      <c r="E11" s="73" t="s">
        <v>38</v>
      </c>
    </row>
    <row r="12" spans="1:5" x14ac:dyDescent="0.25">
      <c r="A12" s="71" t="s">
        <v>38</v>
      </c>
      <c r="B12" s="71" t="s">
        <v>38</v>
      </c>
      <c r="C12" s="71" t="s">
        <v>38</v>
      </c>
      <c r="D12" s="65">
        <v>0</v>
      </c>
      <c r="E12" s="71" t="s">
        <v>38</v>
      </c>
    </row>
    <row r="13" spans="1:5" x14ac:dyDescent="0.25">
      <c r="A13" s="73" t="s">
        <v>38</v>
      </c>
      <c r="B13" s="73" t="s">
        <v>38</v>
      </c>
      <c r="C13" s="73" t="s">
        <v>38</v>
      </c>
      <c r="D13" s="66">
        <v>0</v>
      </c>
      <c r="E13" s="73" t="s">
        <v>38</v>
      </c>
    </row>
    <row r="14" spans="1:5" x14ac:dyDescent="0.25">
      <c r="A14" s="71" t="s">
        <v>38</v>
      </c>
      <c r="B14" s="71" t="s">
        <v>38</v>
      </c>
      <c r="C14" s="71" t="s">
        <v>38</v>
      </c>
      <c r="D14" s="65">
        <v>0</v>
      </c>
      <c r="E14" s="71" t="s">
        <v>38</v>
      </c>
    </row>
    <row r="15" spans="1:5" x14ac:dyDescent="0.25">
      <c r="A15" s="73" t="s">
        <v>38</v>
      </c>
      <c r="B15" s="73" t="s">
        <v>38</v>
      </c>
      <c r="C15" s="73" t="s">
        <v>38</v>
      </c>
      <c r="D15" s="66">
        <v>0</v>
      </c>
      <c r="E15" s="73" t="s">
        <v>38</v>
      </c>
    </row>
    <row r="16" spans="1:5" x14ac:dyDescent="0.25">
      <c r="A16" s="71" t="s">
        <v>38</v>
      </c>
      <c r="B16" s="71" t="s">
        <v>38</v>
      </c>
      <c r="C16" s="71" t="s">
        <v>38</v>
      </c>
      <c r="D16" s="65">
        <v>0</v>
      </c>
      <c r="E16" s="71" t="s">
        <v>38</v>
      </c>
    </row>
    <row r="17" spans="1:5" x14ac:dyDescent="0.25">
      <c r="A17" s="73" t="s">
        <v>38</v>
      </c>
      <c r="B17" s="73" t="s">
        <v>38</v>
      </c>
      <c r="C17" s="73" t="s">
        <v>38</v>
      </c>
      <c r="D17" s="66">
        <v>0</v>
      </c>
      <c r="E17" s="73" t="s">
        <v>38</v>
      </c>
    </row>
    <row r="18" spans="1:5" x14ac:dyDescent="0.25">
      <c r="A18" s="71" t="s">
        <v>38</v>
      </c>
      <c r="B18" s="71" t="s">
        <v>38</v>
      </c>
      <c r="C18" s="71" t="s">
        <v>38</v>
      </c>
      <c r="D18" s="65">
        <v>0</v>
      </c>
      <c r="E18" s="71" t="s">
        <v>38</v>
      </c>
    </row>
    <row r="19" spans="1:5" x14ac:dyDescent="0.25">
      <c r="A19" s="73" t="s">
        <v>38</v>
      </c>
      <c r="B19" s="73" t="s">
        <v>38</v>
      </c>
      <c r="C19" s="73" t="s">
        <v>38</v>
      </c>
      <c r="D19" s="66">
        <v>0</v>
      </c>
      <c r="E19" s="73" t="s">
        <v>38</v>
      </c>
    </row>
    <row r="20" spans="1:5" x14ac:dyDescent="0.25">
      <c r="A20" s="71" t="s">
        <v>38</v>
      </c>
      <c r="B20" s="71" t="s">
        <v>38</v>
      </c>
      <c r="C20" s="71" t="s">
        <v>38</v>
      </c>
      <c r="D20" s="65">
        <v>0</v>
      </c>
      <c r="E20" s="71" t="s">
        <v>38</v>
      </c>
    </row>
    <row r="21" spans="1:5" x14ac:dyDescent="0.25">
      <c r="A21" s="73" t="s">
        <v>38</v>
      </c>
      <c r="B21" s="73" t="s">
        <v>38</v>
      </c>
      <c r="C21" s="73" t="s">
        <v>38</v>
      </c>
      <c r="D21" s="66">
        <v>0</v>
      </c>
      <c r="E21" s="73" t="s">
        <v>38</v>
      </c>
    </row>
    <row r="22" spans="1:5" x14ac:dyDescent="0.25">
      <c r="A22" s="71" t="s">
        <v>38</v>
      </c>
      <c r="B22" s="71" t="s">
        <v>38</v>
      </c>
      <c r="C22" s="71" t="s">
        <v>38</v>
      </c>
      <c r="D22" s="65">
        <v>0</v>
      </c>
      <c r="E22" s="71" t="s">
        <v>38</v>
      </c>
    </row>
    <row r="23" spans="1:5" x14ac:dyDescent="0.25">
      <c r="A23" s="73" t="s">
        <v>38</v>
      </c>
      <c r="B23" s="73" t="s">
        <v>38</v>
      </c>
      <c r="C23" s="73" t="s">
        <v>38</v>
      </c>
      <c r="D23" s="66">
        <v>0</v>
      </c>
      <c r="E23" s="73" t="s">
        <v>38</v>
      </c>
    </row>
    <row r="24" spans="1:5" x14ac:dyDescent="0.25">
      <c r="A24" s="71" t="s">
        <v>38</v>
      </c>
      <c r="B24" s="71" t="s">
        <v>38</v>
      </c>
      <c r="C24" s="71" t="s">
        <v>38</v>
      </c>
      <c r="D24" s="65">
        <v>0</v>
      </c>
      <c r="E24" s="71" t="s">
        <v>38</v>
      </c>
    </row>
    <row r="25" spans="1:5" x14ac:dyDescent="0.25">
      <c r="A25" s="73" t="s">
        <v>38</v>
      </c>
      <c r="B25" s="73" t="s">
        <v>38</v>
      </c>
      <c r="C25" s="73" t="s">
        <v>38</v>
      </c>
      <c r="D25" s="66">
        <v>0</v>
      </c>
      <c r="E25" s="73" t="s">
        <v>38</v>
      </c>
    </row>
    <row r="26" spans="1:5" x14ac:dyDescent="0.25">
      <c r="A26" s="71" t="s">
        <v>38</v>
      </c>
      <c r="B26" s="71" t="s">
        <v>38</v>
      </c>
      <c r="C26" s="71" t="s">
        <v>38</v>
      </c>
      <c r="D26" s="65">
        <v>0</v>
      </c>
      <c r="E26" s="71" t="s">
        <v>38</v>
      </c>
    </row>
    <row r="27" spans="1:5" x14ac:dyDescent="0.25">
      <c r="A27" s="73" t="s">
        <v>38</v>
      </c>
      <c r="B27" s="73" t="s">
        <v>38</v>
      </c>
      <c r="C27" s="73" t="s">
        <v>38</v>
      </c>
      <c r="D27" s="66">
        <v>0</v>
      </c>
      <c r="E27" s="73" t="s">
        <v>38</v>
      </c>
    </row>
    <row r="28" spans="1:5" x14ac:dyDescent="0.25">
      <c r="A28" s="71" t="s">
        <v>38</v>
      </c>
      <c r="B28" s="71" t="s">
        <v>38</v>
      </c>
      <c r="C28" s="71" t="s">
        <v>38</v>
      </c>
      <c r="D28" s="65">
        <v>0</v>
      </c>
      <c r="E28" s="71" t="s">
        <v>38</v>
      </c>
    </row>
    <row r="29" spans="1:5" x14ac:dyDescent="0.25">
      <c r="A29" s="73" t="s">
        <v>38</v>
      </c>
      <c r="B29" s="73" t="s">
        <v>38</v>
      </c>
      <c r="C29" s="73" t="s">
        <v>38</v>
      </c>
      <c r="D29" s="66">
        <v>0</v>
      </c>
      <c r="E29" s="73" t="s">
        <v>38</v>
      </c>
    </row>
    <row r="30" spans="1:5" x14ac:dyDescent="0.25">
      <c r="A30" s="71" t="s">
        <v>38</v>
      </c>
      <c r="B30" s="71" t="s">
        <v>38</v>
      </c>
      <c r="C30" s="71" t="s">
        <v>38</v>
      </c>
      <c r="D30" s="65">
        <v>0</v>
      </c>
      <c r="E30" s="71" t="s">
        <v>38</v>
      </c>
    </row>
    <row r="31" spans="1:5" x14ac:dyDescent="0.25">
      <c r="A31" s="73" t="s">
        <v>38</v>
      </c>
      <c r="B31" s="73" t="s">
        <v>38</v>
      </c>
      <c r="C31" s="73" t="s">
        <v>38</v>
      </c>
      <c r="D31" s="66">
        <v>0</v>
      </c>
      <c r="E31" s="73" t="s">
        <v>38</v>
      </c>
    </row>
    <row r="32" spans="1:5" x14ac:dyDescent="0.25">
      <c r="A32" s="71" t="s">
        <v>38</v>
      </c>
      <c r="B32" s="71" t="s">
        <v>38</v>
      </c>
      <c r="C32" s="71" t="s">
        <v>38</v>
      </c>
      <c r="D32" s="65">
        <v>0</v>
      </c>
      <c r="E32" s="71" t="s">
        <v>38</v>
      </c>
    </row>
    <row r="33" spans="1:5" x14ac:dyDescent="0.25">
      <c r="A33" s="73" t="s">
        <v>38</v>
      </c>
      <c r="B33" s="73" t="s">
        <v>38</v>
      </c>
      <c r="C33" s="73" t="s">
        <v>38</v>
      </c>
      <c r="D33" s="66">
        <v>0</v>
      </c>
      <c r="E33" s="73" t="s">
        <v>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Project Overview</vt:lpstr>
      <vt:lpstr>Margin Analysis</vt:lpstr>
      <vt:lpstr>Budget Summary</vt:lpstr>
      <vt:lpstr>LED Cost Sheet</vt:lpstr>
      <vt:lpstr>Tech Specs (Installers)</vt:lpstr>
      <vt:lpstr>Underpass 3 - Install</vt:lpstr>
      <vt:lpstr>Underpass 4 - Install</vt:lpstr>
      <vt:lpstr>Concourse - Install</vt:lpstr>
      <vt:lpstr>T4-B1 (6-9) - Install</vt:lpstr>
      <vt:lpstr>T4-B2 (10-18) - Install</vt:lpstr>
      <vt:lpstr>T4 Lobby Elevator - Install</vt:lpstr>
      <vt:lpstr>T2-B1M Screen 20 - Install</vt:lpstr>
      <vt:lpstr>T2-B1M Screen 21 - Install</vt:lpstr>
      <vt:lpstr>T2-B1M Screen 22 - Install</vt:lpstr>
      <vt:lpstr>New Path Hall Option 1 - Instal</vt:lpstr>
      <vt:lpstr>New Path Hall Option 2 -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2026-04-01T02:59:24Z</dcterms:created>
  <dcterms:modified xsi:type="dcterms:W3CDTF">2026-04-01T02:59:24Z</dcterms:modified>
</cp:coreProperties>
</file>