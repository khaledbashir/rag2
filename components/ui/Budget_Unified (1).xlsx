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18" name="Margin Analysis" state="visible" r:id="rId5"/>
    <sheet sheetId="19" name="Budget Summary" state="visible" r:id="rId6"/>
    <sheet sheetId="2" name="LED Cost Sheet" state="visible" r:id="rId7"/>
    <sheet sheetId="4" name="Tech Specs (Installers)" state="visible" r:id="rId8"/>
    <sheet sheetId="5" name="Courtside Table - Install" state="visible" r:id="rId9"/>
    <sheet sheetId="6" name="Stanchion - Install" state="visible" r:id="rId10"/>
    <sheet sheetId="7" name="Main Scoreboard - Install" state="visible" r:id="rId11"/>
    <sheet sheetId="8" name="Processor Count" state="visible" r:id="rId12"/>
    <sheet sheetId="9" name="Bundle Equipment" state="visible" r:id="rId13"/>
    <sheet sheetId="10" name="ANC Travel" state="visible" r:id="rId14"/>
    <sheet sheetId="11" name="CMS" state="visible" r:id="rId15"/>
    <sheet sheetId="12" name="Scoring" state="visible" r:id="rId16"/>
    <sheet sheetId="13" name="Venue Services" state="visible" r:id="rId17"/>
    <sheet sheetId="14" name="Additional Items" state="visible" r:id="rId18"/>
    <sheet sheetId="15" name="Resp Matrix" state="visible" r:id="rId19"/>
    <sheet sheetId="16" name="P&amp;L" state="visible" r:id="rId20"/>
    <sheet sheetId="17" name="Cash Flow" state="visible" r:id="rId21"/>
    <sheet sheetId="20" name="PO's" state="visible" r:id="rId22"/>
    <sheet sheetId="3" name="_Products" state="veryHidden" r:id="rId23"/>
  </sheets>
  <calcPr calcId="171027" fullCalcOnLoad="1"/>
</workbook>
</file>

<file path=xl/sharedStrings.xml><?xml version="1.0" encoding="utf-8"?>
<sst xmlns="http://schemas.openxmlformats.org/spreadsheetml/2006/main" count="1077" uniqueCount="401">
  <si>
    <t>Untitled Project — Project Overview</t>
  </si>
  <si>
    <t>Client | 2026-04-03 | ANC Proposal Engine</t>
  </si>
  <si>
    <t>PROJECT INFORMATION</t>
  </si>
  <si>
    <t>Client</t>
  </si>
  <si>
    <t>Project Name</t>
  </si>
  <si>
    <t>Untitled Project</t>
  </si>
  <si>
    <t>Location</t>
  </si>
  <si>
    <t>—</t>
  </si>
  <si>
    <t>Date Created</t>
  </si>
  <si>
    <t>2026-04-03</t>
  </si>
  <si>
    <t>Currency</t>
  </si>
  <si>
    <t>USD</t>
  </si>
  <si>
    <t>Environment</t>
  </si>
  <si>
    <t>Indoor</t>
  </si>
  <si>
    <t>Union Labor</t>
  </si>
  <si>
    <t>No</t>
  </si>
  <si>
    <t>Bond Required</t>
  </si>
  <si>
    <t>Yes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</si>
  <si>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</si>
  <si>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</si>
  <si>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</si>
  <si>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</si>
  <si>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</si>
  <si>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</si>
  <si>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</si>
  <si>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</si>
  <si>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Tax Rate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</si>
  <si>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</si>
  <si>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</si>
  <si>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</si>
  <si>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</si>
  <si>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</si>
  <si>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</si>
  <si>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</si>
  <si>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Untitled Project — Margin Analysis</t>
  </si>
  <si>
    <t/>
  </si>
  <si>
    <t>Zone / Category</t>
  </si>
  <si>
    <t>Cost</t>
  </si>
  <si>
    <t>Selling Price</t>
  </si>
  <si>
    <t>Margin $</t>
  </si>
  <si>
    <t>Margin %</t>
  </si>
  <si>
    <t>Courtside Table — courtside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</si>
  <si>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</si>
  <si>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</si>
  <si>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</si>
  <si>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</si>
  <si>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</si>
  <si>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</si>
  <si>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</si>
  <si>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</si>
  <si>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</si>
  <si>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</si>
  <si>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</si>
  <si>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Stanchion — stanchion</t>
  </si>
  <si>
    <t>Main Scoreboard — scoreboard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</si>
  <si>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</si>
  <si>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</si>
  <si>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</si>
  <si>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</si>
  <si>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</si>
  <si>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</si>
  <si>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</si>
  <si>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</si>
  <si>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</si>
  <si>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Untitled Project — Budget Summary</t>
  </si>
  <si>
    <t>Client | 2026-04-03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</si>
  <si>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</si>
  <si>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</si>
  <si>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</si>
  <si>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</si>
  <si>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</si>
  <si>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</si>
  <si>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</si>
  <si>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</si>
  <si>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</si>
  <si>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</si>
  <si>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</si>
  <si>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</si>
  <si>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Untitled Project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</si>
  <si>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</si>
  <si>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</si>
  <si>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</si>
  <si>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</si>
  <si>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</si>
  <si>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</si>
  <si>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</si>
  <si>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</si>
  <si>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</si>
  <si>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</si>
  <si>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</si>
  <si>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</si>
  <si>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</si>
  <si>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</si>
  <si>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</si>
  <si>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</si>
  <si>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</si>
  <si>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</si>
  <si>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</si>
  <si>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</si>
  <si>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</si>
  <si>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</si>
  <si>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</si>
  <si>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</si>
  <si>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ANC Courtside Table 10ft (3.9mm)</t>
  </si>
  <si>
    <t>Front/Rear</t>
  </si>
  <si>
    <t>ANC Stanchion Double (2.9mm)</t>
  </si>
  <si>
    <t>4mm Indoor (Nitxeon)</t>
  </si>
  <si>
    <t>TOTAL (3 screens)</t>
  </si>
  <si>
    <t>Untitled Project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</si>
  <si>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</si>
  <si>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</si>
  <si>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</si>
  <si>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</si>
  <si>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</si>
  <si>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</si>
  <si>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</si>
  <si>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</si>
  <si>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</si>
  <si>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</si>
  <si>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</si>
  <si>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Untitled Project</t>
  </si>
  <si>
    <t>Revised By: ANC Proposal Engine</t>
  </si>
  <si>
    <t>Linked Margin Assignment</t>
  </si>
  <si>
    <t>Install Margin</t>
  </si>
  <si>
    <t>Electrical Margin</t>
  </si>
  <si>
    <t>Engineering and Permits</t>
  </si>
  <si>
    <t>Courtside Table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</si>
  <si>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</si>
  <si>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</si>
  <si>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</si>
  <si>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</si>
  <si>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</si>
  <si>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</si>
  <si>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</si>
  <si>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</si>
  <si>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</si>
  <si>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</si>
  <si>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</si>
  <si>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</si>
  <si>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</si>
  <si>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</si>
  <si>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</si>
  <si>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</si>
  <si>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</si>
  <si>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</si>
  <si>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</si>
  <si>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</si>
  <si>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</si>
  <si>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</si>
  <si>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</si>
  <si>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</si>
  <si>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</si>
  <si>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</si>
  <si>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</si>
  <si>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</si>
  <si>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</si>
  <si>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</si>
  <si>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</si>
  <si>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</si>
  <si>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</si>
  <si>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</si>
  <si>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</si>
  <si>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</si>
  <si>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Stanchion</t>
  </si>
  <si>
    <t>Main Scoreboard</t>
  </si>
  <si>
    <t>Untitled Project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</si>
  <si>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</si>
  <si>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</si>
  <si>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</si>
  <si>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</si>
  <si>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</si>
  <si>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</si>
  <si>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</si>
  <si>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</si>
  <si>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</si>
  <si>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</si>
  <si>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</si>
  <si>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</si>
  <si>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</si>
  <si>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</si>
  <si>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</si>
  <si>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</si>
  <si>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Untitled Project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</si>
  <si>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</si>
  <si>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</si>
  <si>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</si>
  <si>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</si>
  <si>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</si>
  <si>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</si>
  <si>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</si>
  <si>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UPS Battery Backup</t>
  </si>
  <si>
    <t>EQUIPMENT GRAND TOTAL</t>
  </si>
  <si>
    <t>Untitled Project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</si>
  <si>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</si>
  <si>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</si>
  <si>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</si>
  <si>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</si>
  <si>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</si>
  <si>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</si>
  <si>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</si>
  <si>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</si>
  <si>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</si>
  <si>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</si>
  <si>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</si>
  <si>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</si>
  <si>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</si>
  <si>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Untitled Project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</si>
  <si>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</si>
  <si>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</si>
  <si>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</si>
  <si>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</si>
  <si>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</si>
  <si>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</si>
  <si>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</si>
  <si>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</si>
  <si>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</si>
  <si>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</si>
  <si>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</si>
  <si>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</si>
  <si>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</si>
  <si>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</si>
  <si>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</si>
  <si>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</si>
  <si>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</si>
  <si>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</si>
  <si>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Untitled Project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</si>
  <si>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</si>
  <si>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</si>
  <si>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</si>
  <si>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</si>
  <si>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</si>
  <si>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</si>
  <si>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</si>
  <si>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</si>
  <si>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</si>
  <si>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</si>
  <si>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</si>
  <si>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</si>
  <si>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</si>
  <si>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</si>
  <si>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Untitled Project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</si>
  <si>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</si>
  <si>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</si>
  <si>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</si>
  <si>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</si>
  <si>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</si>
  <si>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</si>
  <si>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</si>
  <si>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</si>
  <si>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</si>
  <si>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</si>
  <si>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</si>
  <si>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</si>
  <si>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Untitled Project — Additional Non-LED Items</t>
  </si>
  <si>
    <t>GAME CLOCK</t>
  </si>
  <si>
    <t>Six-Digit Game Clocks</t>
  </si>
  <si>
    <t>PITCH CLOCK</t>
  </si>
  <si>
    <t>OES / MIS</t>
  </si>
  <si>
    <t>ADDITIONAL ITEMS TOTAL</t>
  </si>
  <si>
    <t>Project: Untitled Project</t>
  </si>
  <si>
    <t>Date: 4/3/2026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</si>
  <si>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</si>
  <si>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</si>
  <si>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</si>
  <si>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</si>
  <si>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</si>
  <si>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</si>
  <si>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All required zoning, building, street or sidewalk permits.</t>
  </si>
  <si>
    <t>NA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</si>
  <si>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</si>
  <si>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</si>
  <si>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</si>
  <si>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</si>
  <si>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</si>
  <si>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</si>
  <si>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</si>
  <si>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</si>
  <si>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</si>
  <si>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</si>
  <si>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</si>
  <si>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</si>
  <si>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</si>
  <si>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</si>
  <si>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</si>
  <si>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</si>
  <si>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</si>
  <si>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</si>
  <si>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</si>
  <si>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</si>
  <si>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</si>
  <si>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</si>
  <si>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</si>
  <si>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</si>
  <si>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</si>
  <si>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</si>
  <si>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</si>
  <si>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</si>
  <si>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</si>
  <si>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</si>
  <si>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</si>
  <si>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</si>
  <si>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</si>
  <si>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</si>
  <si>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</si>
  <si>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</si>
  <si>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</si>
  <si>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</si>
  <si>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</si>
  <si>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</si>
  <si>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</si>
  <si>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Editable</t>
  </si>
  <si>
    <t>ANC has not included any tax in the proposal.</t>
  </si>
  <si>
    <t>Shipping included in quoted pricing.</t>
  </si>
  <si>
    <t>Untitled Project — P&amp;L</t>
  </si>
  <si>
    <t>Project #:</t>
  </si>
  <si>
    <t>Net 30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</si>
  <si>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</si>
  <si>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</si>
  <si>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</si>
  <si>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</si>
  <si>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</si>
  <si>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</si>
  <si>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</si>
  <si>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</si>
  <si>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</si>
  <si>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</si>
  <si>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</si>
  <si>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</si>
  <si>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</si>
  <si>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</si>
  <si>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</si>
  <si>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</si>
  <si>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</si>
  <si>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</si>
  <si>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</si>
  <si>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</si>
  <si>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</si>
  <si>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</si>
  <si>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</si>
  <si>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</si>
  <si>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Untitled Project — Cash Flow</t>
  </si>
  <si>
    <t>Payment Terms: Net 30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</si>
  <si>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</si>
  <si>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</si>
  <si>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</si>
  <si>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</si>
  <si>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</si>
  <si>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</si>
  <si>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</si>
  <si>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</si>
  <si>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</si>
  <si>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</si>
  <si>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</si>
  <si>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</si>
  <si>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</si>
  <si>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</si>
  <si>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</si>
  <si>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</si>
  <si>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</si>
  <si>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</si>
  <si>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</si>
  <si>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</si>
  <si>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</si>
  <si>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</si>
  <si>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</si>
  <si>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</si>
  <si>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</si>
  <si>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</si>
  <si>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</si>
  <si>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Untitled Project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</si>
  <si>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</si>
  <si>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</si>
  <si>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</si>
  <si>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</si>
  <si>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</si>
  <si>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</si>
  <si>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</si>
  <si>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</si>
  <si>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</si>
  <si>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</si>
  <si>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</si>
  <si>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</si>
  <si>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</si>
  <si>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</si>
  <si>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</si>
  <si>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</si>
  <si>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</si>
  <si>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</si>
  <si>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</si>
  <si>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</si>
  <si>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</si>
  <si>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</si>
  <si>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</si>
  <si>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</si>
  <si>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</si>
  <si>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</si>
  <si>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</si>
  <si>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</si>
  <si>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</si>
  <si>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</si>
  <si>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ANC/UBERdisplays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</si>
</sst>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0" fontId="7" fillId="9" borderId="4" xfId="0" applyFont="1" applyFill="1" applyBorder="1" applyAlignment="1">
      <alignment horizontal="center"/>
    </xf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8.xml"/><Relationship Id="rId6" Type="http://schemas.openxmlformats.org/officeDocument/2006/relationships/worksheet" Target="worksheets/sheet19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6" t="s">
        <v>8</v>
      </c>
      <c r="C8" s="7" t="s">
        <v>9</v>
      </c>
    </row>
    <row r="9" spans="2:3" x14ac:dyDescent="0.25">
      <c r="B9" s="4" t="s">
        <v>10</v>
      </c>
      <c r="C9" s="5" t="s">
        <v>11</v>
      </c>
    </row>
    <row r="10" spans="2:3" x14ac:dyDescent="0.25">
      <c r="B10" s="6" t="s">
        <v>12</v>
      </c>
      <c r="C10" s="7" t="s">
        <v>13</v>
      </c>
    </row>
    <row r="11" spans="2:3" x14ac:dyDescent="0.25">
      <c r="B11" s="4" t="s">
        <v>14</v>
      </c>
      <c r="C11" s="5" t="s">
        <v>15</v>
      </c>
    </row>
    <row r="12" spans="2:3" x14ac:dyDescent="0.25">
      <c r="B12" s="6" t="s">
        <v>16</v>
      </c>
      <c r="C12" s="7" t="s">
        <v>17</v>
      </c>
    </row>
    <row r="13" spans="2:3" x14ac:dyDescent="0.25">
      <c r="B13" s="4" t="s">
        <v>18</v>
      </c>
      <c r="C13" s="5">
        <f>SUM('LED Cost Sheet'!L4:L6)</f>
        <v>3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8">
        <v>0.15</v>
      </c>
    </row>
    <row r="17" spans="2:3" x14ac:dyDescent="0.25">
      <c r="B17" s="4" t="s">
        <v>21</v>
      </c>
      <c r="C17" s="9">
        <v>0.15</v>
      </c>
    </row>
    <row r="18" spans="2:3" x14ac:dyDescent="0.25">
      <c r="B18" s="6" t="s">
        <v>22</v>
      </c>
      <c r="C18" s="8">
        <v>0.15</v>
      </c>
    </row>
    <row r="19" spans="2:3" x14ac:dyDescent="0.25">
      <c r="B19" s="4" t="s">
        <v>23</v>
      </c>
      <c r="C19" s="9">
        <v>0.15</v>
      </c>
    </row>
    <row r="20" spans="2:3" x14ac:dyDescent="0.25">
      <c r="B20" s="6" t="s">
        <v>24</v>
      </c>
      <c r="C20" s="8">
        <v>0.15</v>
      </c>
    </row>
    <row r="21" spans="2:3" x14ac:dyDescent="0.25">
      <c r="B21" s="4" t="s">
        <v>25</v>
      </c>
      <c r="C21" s="9">
        <v>0.015</v>
      </c>
    </row>
    <row r="22" spans="2:3" x14ac:dyDescent="0.25">
      <c r="B22" s="6" t="s">
        <v>26</v>
      </c>
      <c r="C22" s="8">
        <v>0.095</v>
      </c>
    </row>
    <row r="23" spans="2:3" x14ac:dyDescent="0.25">
      <c r="B23" s="4" t="s">
        <v>27</v>
      </c>
      <c r="C23" s="9">
        <v>0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Analysis'!C54</f>
        <v>80665.98999999999</v>
      </c>
    </row>
    <row r="27" spans="2:3" x14ac:dyDescent="0.25">
      <c r="B27" s="4" t="s">
        <v>30</v>
      </c>
      <c r="C27" s="10">
        <f>'Margin Analysis'!D54</f>
        <v>109775.72</v>
      </c>
    </row>
    <row r="28" spans="2:3" x14ac:dyDescent="0.25">
      <c r="B28" s="4" t="s">
        <v>31</v>
      </c>
      <c r="C28" s="10">
        <f>'Margin Analysis'!E54</f>
        <v>29109.73</v>
      </c>
    </row>
    <row r="29" spans="2:3" x14ac:dyDescent="0.25">
      <c r="B29" s="4" t="s">
        <v>32</v>
      </c>
      <c r="C29" s="9">
        <f>'Margin Analysis'!F54</f>
        <v>0.27</v>
      </c>
    </row>
    <row r="30" spans="2:3" x14ac:dyDescent="0.25">
      <c r="B30" s="11" t="s">
        <v>33</v>
      </c>
      <c r="C30" s="12">
        <f>'Margin Analysis'!D54</f>
        <v>109775.72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8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79</v>
      </c>
      <c r="V2" s="40">
        <v>0.15</v>
      </c>
    </row>
    <row r="3" ht="28" customHeight="1" spans="1:26" x14ac:dyDescent="0.25">
      <c r="A3" s="25" t="s">
        <v>80</v>
      </c>
      <c r="B3" s="25" t="s">
        <v>81</v>
      </c>
      <c r="C3" s="25" t="s">
        <v>82</v>
      </c>
      <c r="D3" s="25" t="s">
        <v>83</v>
      </c>
      <c r="E3" s="25" t="s">
        <v>84</v>
      </c>
      <c r="F3" s="25" t="s">
        <v>85</v>
      </c>
      <c r="G3" s="25" t="s">
        <v>86</v>
      </c>
      <c r="H3" s="25" t="s">
        <v>87</v>
      </c>
      <c r="I3" s="25" t="s">
        <v>88</v>
      </c>
      <c r="J3" s="25" t="s">
        <v>89</v>
      </c>
      <c r="K3" s="25" t="s">
        <v>90</v>
      </c>
      <c r="L3" s="25" t="s">
        <v>91</v>
      </c>
      <c r="M3" s="25" t="s">
        <v>92</v>
      </c>
      <c r="N3" s="25" t="s">
        <v>93</v>
      </c>
      <c r="O3" s="25" t="s">
        <v>94</v>
      </c>
      <c r="P3" s="25" t="s">
        <v>95</v>
      </c>
      <c r="Q3" s="25" t="s">
        <v>96</v>
      </c>
      <c r="R3" s="25" t="s">
        <v>97</v>
      </c>
      <c r="S3" s="25" t="s">
        <v>98</v>
      </c>
      <c r="T3" s="25" t="s">
        <v>29</v>
      </c>
      <c r="U3" s="25" t="s">
        <v>40</v>
      </c>
      <c r="V3" s="25" t="s">
        <v>38</v>
      </c>
      <c r="W3" s="25" t="s">
        <v>99</v>
      </c>
      <c r="X3" s="25" t="s">
        <v>100</v>
      </c>
      <c r="Y3" s="25" t="s">
        <v>101</v>
      </c>
      <c r="Z3" s="25" t="s">
        <v>102</v>
      </c>
    </row>
    <row r="4" spans="1:26" x14ac:dyDescent="0.25">
      <c r="A4" s="41" t="s">
        <v>41</v>
      </c>
      <c r="B4" s="42">
        <v>2.46</v>
      </c>
      <c r="C4" s="42">
        <v>9.83</v>
      </c>
      <c r="D4" s="33" t="s">
        <v>35</v>
      </c>
      <c r="E4" s="33" t="str">
        <f>IFERROR(VLOOKUP(F4,'_Products'!$A$1:$G$25,2,FALSE),"")</f>
        <v>ANC/UBERdisplays</v>
      </c>
      <c r="F4" s="33" t="s">
        <v>103</v>
      </c>
      <c r="G4" s="43">
        <f>IFERROR(VLOOKUP(F4,'_Products'!$A$1:$G$25,3,FALSE),0)</f>
        <v>3.9</v>
      </c>
      <c r="H4" s="42">
        <v>2.46</v>
      </c>
      <c r="I4" s="42">
        <v>9.83</v>
      </c>
      <c r="J4" s="44">
        <v>192</v>
      </c>
      <c r="K4" s="44">
        <v>768</v>
      </c>
      <c r="L4" s="45">
        <v>1</v>
      </c>
      <c r="M4" s="46">
        <f>H4*I4*L4</f>
        <v>24.18</v>
      </c>
      <c r="N4" s="47">
        <f>IFERROR(VLOOKUP(F4,'_Products'!$A$1:$G$25,5,FALSE),0)</f>
        <v>1200</v>
      </c>
      <c r="O4" s="47" t="s">
        <v>104</v>
      </c>
      <c r="P4" s="34">
        <f>IFERROR(VLOOKUP(F4,'_Products'!$A$1:$G$25,4,FALSE),0)</f>
        <v>244.16</v>
      </c>
      <c r="Q4" s="34">
        <f>P4*M4</f>
        <v>5903.71</v>
      </c>
      <c r="R4" s="34">
        <f>SUM('Bundle Equipment'!E10:E10)</f>
        <v>464.51</v>
      </c>
      <c r="S4" s="34">
        <f>MAX(M4*10,500)</f>
        <v>500</v>
      </c>
      <c r="T4" s="48">
        <f>Q4+R4+S4</f>
        <v>6868.22</v>
      </c>
      <c r="U4" s="35">
        <f>V$2</f>
        <v>0.15</v>
      </c>
      <c r="V4" s="48">
        <f>IFERROR(T4/(1-U4),0)</f>
        <v>8080.26</v>
      </c>
      <c r="W4" s="34">
        <f>V4-T4</f>
        <v>1212.04</v>
      </c>
      <c r="X4" s="46">
        <f>IFERROR(ROUND(M4*0.092903*VLOOKUP(F4,'_Products'!$A$1:$G$25,6,FALSE),0),0)</f>
        <v>415</v>
      </c>
      <c r="Y4" s="46">
        <f>IFERROR(ROUND(M4*0.092903*VLOOKUP(F4,'_Products'!$A$1:$G$25,7,FALSE),0),0)</f>
        <v>1500</v>
      </c>
      <c r="Z4" s="46">
        <f>Y4*3.412</f>
        <v>5118</v>
      </c>
    </row>
    <row r="5" spans="1:26" x14ac:dyDescent="0.25">
      <c r="A5" s="26" t="s">
        <v>53</v>
      </c>
      <c r="B5" s="49">
        <v>1.9686</v>
      </c>
      <c r="C5" s="49">
        <v>3.28</v>
      </c>
      <c r="D5" t="s">
        <v>35</v>
      </c>
      <c r="E5" t="str">
        <f>IFERROR(VLOOKUP(F5,'_Products'!$A$1:$G$25,2,FALSE),"")</f>
        <v>ANC/UBERdisplays</v>
      </c>
      <c r="F5" t="s">
        <v>105</v>
      </c>
      <c r="G5" s="50">
        <f>IFERROR(VLOOKUP(F5,'_Products'!$A$1:$G$25,3,FALSE),0)</f>
        <v>2.9</v>
      </c>
      <c r="H5" s="49">
        <v>1.9686</v>
      </c>
      <c r="I5" s="49">
        <v>3.28</v>
      </c>
      <c r="J5" s="51">
        <v>168</v>
      </c>
      <c r="K5" s="51">
        <v>336</v>
      </c>
      <c r="L5" s="52">
        <v>1</v>
      </c>
      <c r="M5" s="53">
        <f>H5*I5*L5</f>
        <v>6.46</v>
      </c>
      <c r="N5" s="54">
        <f>IFERROR(VLOOKUP(F5,'_Products'!$A$1:$G$25,5,FALSE),0)</f>
        <v>1200</v>
      </c>
      <c r="O5" s="54" t="s">
        <v>104</v>
      </c>
      <c r="P5" s="20">
        <f>IFERROR(VLOOKUP(F5,'_Products'!$A$1:$G$25,4,FALSE),0)</f>
        <v>0</v>
      </c>
      <c r="Q5" s="20">
        <f>P5*M5</f>
        <v>0</v>
      </c>
      <c r="R5" s="20">
        <f>SUM('Bundle Equipment'!E15:E15)</f>
        <v>453.88</v>
      </c>
      <c r="S5" s="20">
        <f>MAX(M5*10,500)</f>
        <v>500</v>
      </c>
      <c r="T5" s="55">
        <f>Q5+R5+S5</f>
        <v>953.88</v>
      </c>
      <c r="U5" s="27">
        <f>V$2</f>
        <v>0.15</v>
      </c>
      <c r="V5" s="55">
        <f>IFERROR(T5/(1-U5),0)</f>
        <v>1122.21</v>
      </c>
      <c r="W5" s="20">
        <f>V5-T5</f>
        <v>168.33</v>
      </c>
      <c r="X5" s="53">
        <f>IFERROR(ROUND(M5*0.092903*VLOOKUP(F5,'_Products'!$A$1:$G$25,6,FALSE),0),0)</f>
        <v>107</v>
      </c>
      <c r="Y5" s="53">
        <f>IFERROR(ROUND(M5*0.092903*VLOOKUP(F5,'_Products'!$A$1:$G$25,7,FALSE),0),0)</f>
        <v>640</v>
      </c>
      <c r="Z5" s="53">
        <f>Y5*3.412</f>
        <v>2184</v>
      </c>
    </row>
    <row r="6" spans="1:26" x14ac:dyDescent="0.25">
      <c r="A6" s="41" t="s">
        <v>54</v>
      </c>
      <c r="B6" s="42" t="s">
        <v>35</v>
      </c>
      <c r="C6" s="42" t="s">
        <v>35</v>
      </c>
      <c r="D6" s="33" t="s">
        <v>35</v>
      </c>
      <c r="E6" s="33" t="str">
        <f>IFERROR(VLOOKUP(F6,'_Products'!$A$1:$G$25,2,FALSE),"")</f>
        <v>Nitxeon</v>
      </c>
      <c r="F6" s="33" t="s">
        <v>106</v>
      </c>
      <c r="G6" s="43">
        <f>IFERROR(VLOOKUP(F6,'_Products'!$A$1:$G$25,3,FALSE),0)</f>
        <v>4</v>
      </c>
      <c r="H6" s="42">
        <v>0</v>
      </c>
      <c r="I6" s="42">
        <v>0</v>
      </c>
      <c r="J6" s="44">
        <f>IFERROR(ROUND(H6*304.8/G6,0),0)</f>
        <v>0</v>
      </c>
      <c r="K6" s="44">
        <f>IFERROR(ROUND(I6*304.8/G6,0),0)</f>
        <v>0</v>
      </c>
      <c r="L6" s="45">
        <v>1</v>
      </c>
      <c r="M6" s="46">
        <f>H6*I6*L6</f>
        <v>0</v>
      </c>
      <c r="N6" s="47">
        <f>IFERROR(VLOOKUP(F6,'_Products'!$A$1:$G$25,5,FALSE),0)</f>
        <v>2000</v>
      </c>
      <c r="O6" s="47" t="s">
        <v>104</v>
      </c>
      <c r="P6" s="34">
        <f>IFERROR(VLOOKUP(F6,'_Products'!$A$1:$G$25,4,FALSE),0)</f>
        <v>0</v>
      </c>
      <c r="Q6" s="34">
        <f>P6*M6</f>
        <v>0</v>
      </c>
      <c r="R6" s="34">
        <f>SUM('Bundle Equipment'!E19:E19)</f>
        <v>2500</v>
      </c>
      <c r="S6" s="34">
        <f>MAX(M6*10,500)</f>
        <v>0</v>
      </c>
      <c r="T6" s="48">
        <f>Q6+R6+S6</f>
        <v>2500</v>
      </c>
      <c r="U6" s="35">
        <f>V$2</f>
        <v>0.15</v>
      </c>
      <c r="V6" s="48">
        <f>IFERROR(T6/(1-U6),0)</f>
        <v>2941.18</v>
      </c>
      <c r="W6" s="34">
        <f>V6-T6</f>
        <v>441.18</v>
      </c>
      <c r="X6" s="46">
        <f>IFERROR(ROUND(M6*0.092903*VLOOKUP(F6,'_Products'!$A$1:$G$25,6,FALSE),0),0)</f>
        <v>0</v>
      </c>
      <c r="Y6" s="46">
        <f>IFERROR(ROUND(M6*0.092903*VLOOKUP(F6,'_Products'!$A$1:$G$25,7,FALSE),0),0)</f>
        <v>0</v>
      </c>
      <c r="Z6" s="46">
        <f>Y6*3.412</f>
        <v>0</v>
      </c>
    </row>
    <row r="8" spans="1:26" x14ac:dyDescent="0.25">
      <c r="A8" s="56" t="s">
        <v>107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>
        <f>SUM(L4:L6)</f>
        <v>3</v>
      </c>
      <c r="M8" s="58">
        <f>SUM(M4:M6)</f>
        <v>30.64</v>
      </c>
      <c r="N8" s="56"/>
      <c r="O8" s="56"/>
      <c r="P8" s="56"/>
      <c r="Q8" s="59">
        <f>SUM(Q4:Q6)</f>
        <v>5903.71</v>
      </c>
      <c r="R8" s="59">
        <f>SUM(R4:R6)</f>
        <v>3418.39</v>
      </c>
      <c r="S8" s="59">
        <f>SUM(S4:S6)</f>
        <v>1000</v>
      </c>
      <c r="T8" s="59">
        <f>SUM(T4:T6)</f>
        <v>10322.1</v>
      </c>
      <c r="U8" s="60">
        <f>IFERROR(1-T8/V8,0)</f>
        <v>0.15</v>
      </c>
      <c r="V8" s="59">
        <f>SUM(V4:V6)</f>
        <v>12143.650000000001</v>
      </c>
      <c r="W8" s="59">
        <f>SUM(W4:W6)</f>
        <v>1821.5499999999997</v>
      </c>
      <c r="X8" s="58">
        <f>SUM(X4:X6)</f>
        <v>0</v>
      </c>
      <c r="Y8" s="58">
        <f>SUM(Y4:Y6)</f>
        <v>0</v>
      </c>
      <c r="Z8" s="58">
        <f>SUM(Z4:Z6)</f>
        <v>0</v>
      </c>
    </row>
  </sheetData>
  <mergeCells count="1">
    <mergeCell ref="A1:W1"/>
  </mergeCells>
  <dataValidations count="1">
    <dataValidation type="list" allowBlank="1" showErrorMessage="1" errorTitle="Invalid Product" error="Select a product from the dropdown list" sqref="F4:F6">
      <formula1>'_Products'!$A$1:$A$25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sheetData>
    <row r="1" spans="1:7" x14ac:dyDescent="0.25">
      <c r="A1" t="s">
        <v>373</v>
      </c>
      <c r="B1" t="s">
        <v>374</v>
      </c>
      <c r="C1">
        <v>10</v>
      </c>
      <c r="D1">
        <v>273.14</v>
      </c>
      <c r="E1">
        <v>1500</v>
      </c>
      <c r="F1">
        <v>19.6</v>
      </c>
      <c r="G1">
        <v>298</v>
      </c>
    </row>
    <row r="2" spans="1:7" x14ac:dyDescent="0.25">
      <c r="A2" t="s">
        <v>375</v>
      </c>
      <c r="B2" t="s">
        <v>376</v>
      </c>
      <c r="C2">
        <v>2.5</v>
      </c>
      <c r="D2">
        <v>526.76</v>
      </c>
      <c r="E2">
        <v>2000</v>
      </c>
      <c r="F2">
        <v>52.6</v>
      </c>
      <c r="G2">
        <v>390.6</v>
      </c>
    </row>
    <row r="3" spans="1:7" x14ac:dyDescent="0.25">
      <c r="A3" t="s">
        <v>106</v>
      </c>
      <c r="B3" t="s">
        <v>374</v>
      </c>
      <c r="C3">
        <v>4</v>
      </c>
      <c r="D3">
        <v>409.7</v>
      </c>
      <c r="E3">
        <v>2000</v>
      </c>
      <c r="F3">
        <v>45.4</v>
      </c>
      <c r="G3">
        <v>488.3</v>
      </c>
    </row>
    <row r="4" spans="1:7" x14ac:dyDescent="0.25">
      <c r="A4" t="s">
        <v>377</v>
      </c>
      <c r="B4" t="s">
        <v>378</v>
      </c>
      <c r="C4">
        <v>1.2</v>
      </c>
      <c r="D4">
        <v>451.46</v>
      </c>
      <c r="E4">
        <v>2000</v>
      </c>
      <c r="F4">
        <v>55</v>
      </c>
      <c r="G4">
        <v>590</v>
      </c>
    </row>
    <row r="5" spans="1:7" x14ac:dyDescent="0.25">
      <c r="A5" t="s">
        <v>379</v>
      </c>
      <c r="B5" t="s">
        <v>378</v>
      </c>
      <c r="C5">
        <v>1.8</v>
      </c>
      <c r="D5">
        <v>341.42</v>
      </c>
      <c r="E5">
        <v>2000</v>
      </c>
      <c r="F5">
        <v>55</v>
      </c>
      <c r="G5">
        <v>540</v>
      </c>
    </row>
    <row r="6" spans="1:7" x14ac:dyDescent="0.25">
      <c r="A6" t="s">
        <v>380</v>
      </c>
      <c r="B6" t="s">
        <v>381</v>
      </c>
      <c r="C6">
        <v>1.5</v>
      </c>
      <c r="D6">
        <v>975.48</v>
      </c>
      <c r="E6">
        <v>1000</v>
      </c>
      <c r="F6">
        <v>55</v>
      </c>
      <c r="G6">
        <v>350</v>
      </c>
    </row>
    <row r="7" spans="1:7" x14ac:dyDescent="0.25">
      <c r="A7" t="s">
        <v>382</v>
      </c>
      <c r="B7" t="s">
        <v>381</v>
      </c>
      <c r="C7">
        <v>3.91</v>
      </c>
      <c r="D7">
        <v>119.01</v>
      </c>
      <c r="E7">
        <v>1000</v>
      </c>
      <c r="F7">
        <v>48</v>
      </c>
      <c r="G7">
        <v>400</v>
      </c>
    </row>
    <row r="8" spans="1:7" x14ac:dyDescent="0.25">
      <c r="A8" t="s">
        <v>383</v>
      </c>
      <c r="B8" t="s">
        <v>381</v>
      </c>
      <c r="C8">
        <v>2.5</v>
      </c>
      <c r="D8">
        <v>291.47</v>
      </c>
      <c r="E8">
        <v>1000</v>
      </c>
      <c r="F8">
        <v>50</v>
      </c>
      <c r="G8">
        <v>390</v>
      </c>
    </row>
    <row r="9" spans="1:7" x14ac:dyDescent="0.25">
      <c r="A9" t="s">
        <v>384</v>
      </c>
      <c r="B9" t="s">
        <v>381</v>
      </c>
      <c r="C9">
        <v>3.91</v>
      </c>
      <c r="D9">
        <v>117.25</v>
      </c>
      <c r="E9">
        <v>1000</v>
      </c>
      <c r="F9">
        <v>45</v>
      </c>
      <c r="G9">
        <v>400</v>
      </c>
    </row>
    <row r="10" spans="1:7" x14ac:dyDescent="0.25">
      <c r="A10" t="s">
        <v>385</v>
      </c>
      <c r="B10" t="s">
        <v>378</v>
      </c>
      <c r="C10">
        <v>3.9</v>
      </c>
      <c r="D10">
        <v>273.14</v>
      </c>
      <c r="E10">
        <v>6000</v>
      </c>
      <c r="F10">
        <v>33.07</v>
      </c>
      <c r="G10">
        <v>600</v>
      </c>
    </row>
    <row r="11" spans="1:7" x14ac:dyDescent="0.25">
      <c r="A11" t="s">
        <v>386</v>
      </c>
      <c r="B11" t="s">
        <v>387</v>
      </c>
      <c r="C11">
        <v>10</v>
      </c>
      <c r="D11">
        <v>216.95</v>
      </c>
      <c r="E11">
        <v>7500</v>
      </c>
      <c r="F11">
        <v>84.2</v>
      </c>
      <c r="G11">
        <v>472.2</v>
      </c>
    </row>
    <row r="12" spans="1:7" x14ac:dyDescent="0.25">
      <c r="A12" t="s">
        <v>388</v>
      </c>
      <c r="B12" t="s">
        <v>387</v>
      </c>
      <c r="C12">
        <v>10</v>
      </c>
      <c r="D12">
        <v>117.84</v>
      </c>
      <c r="E12">
        <v>2000</v>
      </c>
      <c r="F12">
        <v>46.6</v>
      </c>
      <c r="G12">
        <v>401.5</v>
      </c>
    </row>
    <row r="13" spans="1:7" x14ac:dyDescent="0.25">
      <c r="A13" t="s">
        <v>389</v>
      </c>
      <c r="B13" t="s">
        <v>387</v>
      </c>
      <c r="C13">
        <v>2.5</v>
      </c>
      <c r="D13">
        <v>264.16</v>
      </c>
      <c r="E13">
        <v>2000</v>
      </c>
      <c r="F13">
        <v>50.2</v>
      </c>
      <c r="G13">
        <v>401.5</v>
      </c>
    </row>
    <row r="14" spans="1:7" x14ac:dyDescent="0.25">
      <c r="A14" t="s">
        <v>390</v>
      </c>
      <c r="B14" t="s">
        <v>387</v>
      </c>
      <c r="C14">
        <v>4</v>
      </c>
      <c r="D14">
        <v>187.01</v>
      </c>
      <c r="E14">
        <v>2000</v>
      </c>
      <c r="F14">
        <v>46.6</v>
      </c>
      <c r="G14">
        <v>401.5</v>
      </c>
    </row>
    <row r="15" spans="1:7" x14ac:dyDescent="0.25">
      <c r="A15" t="s">
        <v>391</v>
      </c>
      <c r="B15" t="s">
        <v>387</v>
      </c>
      <c r="C15">
        <v>6</v>
      </c>
      <c r="D15">
        <v>143.4</v>
      </c>
      <c r="E15">
        <v>2000</v>
      </c>
      <c r="F15">
        <v>46.6</v>
      </c>
      <c r="G15">
        <v>401.5</v>
      </c>
    </row>
    <row r="16" spans="1:7" x14ac:dyDescent="0.25">
      <c r="A16" t="s">
        <v>392</v>
      </c>
      <c r="B16" t="s">
        <v>387</v>
      </c>
      <c r="C16">
        <v>10</v>
      </c>
      <c r="D16">
        <v>122.03</v>
      </c>
      <c r="E16">
        <v>2000</v>
      </c>
      <c r="F16">
        <v>62.2</v>
      </c>
      <c r="G16">
        <v>401.5</v>
      </c>
    </row>
    <row r="17" spans="1:7" x14ac:dyDescent="0.25">
      <c r="A17" t="s">
        <v>393</v>
      </c>
      <c r="B17" t="s">
        <v>387</v>
      </c>
      <c r="C17">
        <v>10</v>
      </c>
      <c r="D17">
        <v>185.35</v>
      </c>
      <c r="E17">
        <v>10000</v>
      </c>
      <c r="F17">
        <v>101</v>
      </c>
      <c r="G17">
        <v>638.9</v>
      </c>
    </row>
    <row r="18" spans="1:7" x14ac:dyDescent="0.25">
      <c r="A18" t="s">
        <v>394</v>
      </c>
      <c r="B18" t="s">
        <v>387</v>
      </c>
      <c r="C18">
        <v>6</v>
      </c>
      <c r="D18">
        <v>307.97</v>
      </c>
      <c r="E18">
        <v>10000</v>
      </c>
      <c r="F18">
        <v>101</v>
      </c>
      <c r="G18">
        <v>638.9</v>
      </c>
    </row>
    <row r="19" spans="1:7" x14ac:dyDescent="0.25">
      <c r="A19" t="s">
        <v>395</v>
      </c>
      <c r="B19" t="s">
        <v>387</v>
      </c>
      <c r="C19">
        <v>10.417</v>
      </c>
      <c r="D19">
        <v>162.52</v>
      </c>
      <c r="E19">
        <v>10000</v>
      </c>
      <c r="F19">
        <v>65</v>
      </c>
      <c r="G19">
        <v>650</v>
      </c>
    </row>
    <row r="20" spans="1:7" x14ac:dyDescent="0.25">
      <c r="A20" t="s">
        <v>396</v>
      </c>
      <c r="B20" t="s">
        <v>387</v>
      </c>
      <c r="C20">
        <v>2.5</v>
      </c>
      <c r="D20">
        <v>563.15</v>
      </c>
      <c r="E20">
        <v>3000</v>
      </c>
      <c r="F20">
        <v>80.8</v>
      </c>
      <c r="G20">
        <v>578.7</v>
      </c>
    </row>
    <row r="21" spans="1:7" x14ac:dyDescent="0.25">
      <c r="A21" t="s">
        <v>397</v>
      </c>
      <c r="B21" t="s">
        <v>387</v>
      </c>
      <c r="C21">
        <v>3.91</v>
      </c>
      <c r="D21">
        <v>244.17</v>
      </c>
      <c r="E21">
        <v>7000</v>
      </c>
      <c r="F21">
        <v>68.3</v>
      </c>
      <c r="G21">
        <v>650</v>
      </c>
    </row>
    <row r="22" spans="1:7" x14ac:dyDescent="0.25">
      <c r="A22" t="s">
        <v>398</v>
      </c>
      <c r="B22" t="s">
        <v>387</v>
      </c>
      <c r="C22">
        <v>5.95</v>
      </c>
      <c r="D22">
        <v>273.14</v>
      </c>
      <c r="E22">
        <v>10000</v>
      </c>
      <c r="F22">
        <v>65</v>
      </c>
      <c r="G22">
        <v>650</v>
      </c>
    </row>
    <row r="23" spans="1:7" x14ac:dyDescent="0.25">
      <c r="A23" t="s">
        <v>399</v>
      </c>
      <c r="B23" t="s">
        <v>387</v>
      </c>
      <c r="C23">
        <v>8.33</v>
      </c>
      <c r="D23">
        <v>203.77</v>
      </c>
      <c r="E23">
        <v>10000</v>
      </c>
      <c r="F23">
        <v>65</v>
      </c>
      <c r="G23">
        <v>650</v>
      </c>
    </row>
    <row r="24" spans="1:7" x14ac:dyDescent="0.25">
      <c r="A24" t="s">
        <v>103</v>
      </c>
      <c r="B24" t="s">
        <v>400</v>
      </c>
      <c r="C24">
        <v>3.9</v>
      </c>
      <c r="D24">
        <v>244.16</v>
      </c>
      <c r="E24">
        <v>1200</v>
      </c>
      <c r="F24">
        <v>184.68</v>
      </c>
      <c r="G24">
        <v>667.56</v>
      </c>
    </row>
    <row r="25" spans="1:7" x14ac:dyDescent="0.25">
      <c r="A25" t="s">
        <v>105</v>
      </c>
      <c r="B25" t="s">
        <v>400</v>
      </c>
      <c r="C25">
        <v>2.9</v>
      </c>
      <c r="D25">
        <v>0</v>
      </c>
      <c r="E25">
        <v>1200</v>
      </c>
      <c r="F25">
        <v>177.77</v>
      </c>
      <c r="G25">
        <v>1066.67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7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1" t="s">
        <v>110</v>
      </c>
      <c r="B4" s="61" t="s">
        <v>91</v>
      </c>
      <c r="C4" s="61" t="s">
        <v>111</v>
      </c>
      <c r="D4" s="61" t="s">
        <v>112</v>
      </c>
      <c r="E4" s="61" t="s">
        <v>113</v>
      </c>
      <c r="F4" s="61" t="s">
        <v>114</v>
      </c>
      <c r="G4" s="61" t="s">
        <v>115</v>
      </c>
      <c r="H4" s="61" t="s">
        <v>116</v>
      </c>
      <c r="I4" s="61" t="s">
        <v>117</v>
      </c>
      <c r="J4" s="61" t="s">
        <v>94</v>
      </c>
      <c r="K4" s="61" t="s">
        <v>12</v>
      </c>
      <c r="L4" s="61" t="s">
        <v>100</v>
      </c>
      <c r="M4" s="61" t="s">
        <v>101</v>
      </c>
      <c r="N4" s="61" t="s">
        <v>118</v>
      </c>
      <c r="O4" s="61" t="s">
        <v>102</v>
      </c>
    </row>
    <row r="5" spans="1:15" x14ac:dyDescent="0.25">
      <c r="A5" s="33" t="str">
        <f>'LED Cost Sheet'!A4</f>
        <v>Courtside Table — courtside</v>
      </c>
      <c r="B5" s="33">
        <f>'LED Cost Sheet'!L4</f>
        <v>1</v>
      </c>
      <c r="C5" s="33" t="str">
        <f>'LED Cost Sheet'!G4</f>
        <v>3.9mm</v>
      </c>
      <c r="D5" s="33">
        <f>'LED Cost Sheet'!H4</f>
        <v>2.46</v>
      </c>
      <c r="E5" s="33">
        <f>'LED Cost Sheet'!I4</f>
        <v>9.83</v>
      </c>
      <c r="F5" s="33">
        <f>'LED Cost Sheet'!J4</f>
        <v>192</v>
      </c>
      <c r="G5" s="33">
        <f>'LED Cost Sheet'!K4</f>
        <v>768</v>
      </c>
      <c r="H5" s="46">
        <f>D5*E5*B5</f>
        <v>24.18</v>
      </c>
      <c r="I5" s="33" t="str">
        <f>'LED Cost Sheet'!N4</f>
        <v/>
      </c>
      <c r="J5" s="33" t="str">
        <f>'LED Cost Sheet'!O4</f>
        <v>Front/Rear</v>
      </c>
      <c r="K5" s="33" t="s">
        <v>119</v>
      </c>
      <c r="L5" s="46">
        <f>'LED Cost Sheet'!X4</f>
        <v>415</v>
      </c>
      <c r="M5" s="46">
        <f>'LED Cost Sheet'!Y4</f>
        <v>1500</v>
      </c>
      <c r="N5" s="62">
        <f>IFERROR((F5*G5*B5)/400000,0)</f>
        <v>0.37</v>
      </c>
      <c r="O5" s="46">
        <f>'LED Cost Sheet'!Z4</f>
        <v>5118</v>
      </c>
    </row>
    <row r="6" spans="1:15" x14ac:dyDescent="0.25">
      <c r="A6" t="str">
        <f>'LED Cost Sheet'!A5</f>
        <v>Stanchion — stanchion</v>
      </c>
      <c r="B6">
        <f>'LED Cost Sheet'!L5</f>
        <v>1</v>
      </c>
      <c r="C6" t="str">
        <f>'LED Cost Sheet'!G5</f>
        <v>2.9mm</v>
      </c>
      <c r="D6">
        <f>'LED Cost Sheet'!H5</f>
        <v>1.9686</v>
      </c>
      <c r="E6">
        <f>'LED Cost Sheet'!I5</f>
        <v>3.28</v>
      </c>
      <c r="F6">
        <f>'LED Cost Sheet'!J5</f>
        <v>168</v>
      </c>
      <c r="G6">
        <f>'LED Cost Sheet'!K5</f>
        <v>336</v>
      </c>
      <c r="H6" s="53">
        <f>D6*E6*B6</f>
        <v>6.46</v>
      </c>
      <c r="I6" t="str">
        <f>'LED Cost Sheet'!N5</f>
        <v/>
      </c>
      <c r="J6" t="str">
        <f>'LED Cost Sheet'!O5</f>
        <v>Front/Rear</v>
      </c>
      <c r="K6" t="s">
        <v>119</v>
      </c>
      <c r="L6" s="53">
        <f>'LED Cost Sheet'!X5</f>
        <v>107</v>
      </c>
      <c r="M6" s="53">
        <f>'LED Cost Sheet'!Y5</f>
        <v>640</v>
      </c>
      <c r="N6" s="63">
        <f>IFERROR((F6*G6*B6)/400000,0)</f>
        <v>0.14</v>
      </c>
      <c r="O6" s="53">
        <f>'LED Cost Sheet'!Z5</f>
        <v>2184</v>
      </c>
    </row>
    <row r="7" spans="1:15" x14ac:dyDescent="0.25">
      <c r="A7" s="33" t="str">
        <f>'LED Cost Sheet'!A6</f>
        <v>Main Scoreboard — scoreboard</v>
      </c>
      <c r="B7" s="33">
        <f>'LED Cost Sheet'!L6</f>
        <v>1</v>
      </c>
      <c r="C7" s="33" t="str">
        <f>'LED Cost Sheet'!G6</f>
        <v>4mm</v>
      </c>
      <c r="D7" s="33">
        <f>'LED Cost Sheet'!H6</f>
        <v>0</v>
      </c>
      <c r="E7" s="33">
        <f>'LED Cost Sheet'!I6</f>
        <v>0</v>
      </c>
      <c r="F7" s="33">
        <f>'LED Cost Sheet'!J6</f>
        <v>0</v>
      </c>
      <c r="G7" s="33">
        <f>'LED Cost Sheet'!K6</f>
        <v>0</v>
      </c>
      <c r="H7" s="46">
        <f>D7*E7*B7</f>
        <v>0</v>
      </c>
      <c r="I7" s="33" t="str">
        <f>'LED Cost Sheet'!N6</f>
        <v/>
      </c>
      <c r="J7" s="33" t="str">
        <f>'LED Cost Sheet'!O6</f>
        <v>Front/Rear</v>
      </c>
      <c r="K7" s="33" t="s">
        <v>119</v>
      </c>
      <c r="L7" s="46">
        <f>'LED Cost Sheet'!X6</f>
        <v>0</v>
      </c>
      <c r="M7" s="46">
        <f>'LED Cost Sheet'!Y6</f>
        <v>0</v>
      </c>
      <c r="N7" s="62">
        <f>IFERROR((F7*G7*B7)/400000,0)</f>
        <v>0</v>
      </c>
      <c r="O7" s="46">
        <f>'LED Cost Sheet'!Z6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4" t="s">
        <v>120</v>
      </c>
    </row>
    <row r="4" spans="1:1" x14ac:dyDescent="0.25">
      <c r="A4" s="15" t="s">
        <v>9</v>
      </c>
    </row>
    <row r="5" spans="1:1" x14ac:dyDescent="0.25">
      <c r="A5" s="15" t="s">
        <v>121</v>
      </c>
    </row>
    <row r="7" spans="3:3" x14ac:dyDescent="0.25">
      <c r="C7" s="26" t="s">
        <v>122</v>
      </c>
    </row>
    <row r="8" spans="3:4" x14ac:dyDescent="0.25">
      <c r="C8" t="s">
        <v>123</v>
      </c>
      <c r="D8" s="21">
        <v>0.2</v>
      </c>
    </row>
    <row r="9" spans="3:4" x14ac:dyDescent="0.25">
      <c r="C9" t="s">
        <v>124</v>
      </c>
      <c r="D9" s="21">
        <v>0.2</v>
      </c>
    </row>
    <row r="10" spans="3:4" x14ac:dyDescent="0.25">
      <c r="C10" t="s">
        <v>99</v>
      </c>
      <c r="D10" s="21">
        <v>0.2</v>
      </c>
    </row>
    <row r="11" spans="3:4" x14ac:dyDescent="0.25">
      <c r="C11" t="s">
        <v>125</v>
      </c>
      <c r="D11" s="21">
        <v>0.2</v>
      </c>
    </row>
    <row r="15" spans="2:2" x14ac:dyDescent="0.25">
      <c r="B15" s="65" t="s">
        <v>126</v>
      </c>
    </row>
    <row r="16" spans="2:5" x14ac:dyDescent="0.25">
      <c r="B16" s="4" t="s">
        <v>127</v>
      </c>
      <c r="C16" s="4" t="s">
        <v>128</v>
      </c>
      <c r="D16" s="4" t="s">
        <v>129</v>
      </c>
      <c r="E16" s="4" t="s">
        <v>130</v>
      </c>
    </row>
    <row r="17" spans="2:5" x14ac:dyDescent="0.25">
      <c r="B17" s="49">
        <v>2.46</v>
      </c>
      <c r="C17" s="49">
        <v>9.83</v>
      </c>
      <c r="D17" s="66">
        <v>24.18</v>
      </c>
      <c r="E17">
        <v>1</v>
      </c>
    </row>
    <row r="19" ht="24" customHeight="1" spans="1:11" x14ac:dyDescent="0.25">
      <c r="A19" s="25" t="s">
        <v>35</v>
      </c>
      <c r="B19" s="25" t="s">
        <v>131</v>
      </c>
      <c r="C19" s="25" t="s">
        <v>132</v>
      </c>
      <c r="D19" s="25" t="s">
        <v>133</v>
      </c>
      <c r="E19" s="25" t="s">
        <v>134</v>
      </c>
      <c r="F19" s="25" t="s">
        <v>135</v>
      </c>
      <c r="G19" s="25" t="s">
        <v>136</v>
      </c>
      <c r="H19" s="25" t="s">
        <v>35</v>
      </c>
      <c r="I19" s="25" t="s">
        <v>29</v>
      </c>
      <c r="J19" s="25" t="s">
        <v>123</v>
      </c>
      <c r="K19" s="25" t="s">
        <v>38</v>
      </c>
    </row>
    <row r="20" spans="1:11" x14ac:dyDescent="0.25">
      <c r="A20" s="33"/>
      <c r="B20" s="33" t="s">
        <v>137</v>
      </c>
      <c r="C20" s="67">
        <v>0</v>
      </c>
      <c r="D20" s="67">
        <v>0</v>
      </c>
      <c r="E20" s="67">
        <v>0</v>
      </c>
      <c r="F20" s="34">
        <v>0</v>
      </c>
      <c r="G20" s="67">
        <v>0</v>
      </c>
      <c r="H20" s="33"/>
      <c r="I20" s="34">
        <f>SUM(C20:G20)</f>
        <v>0</v>
      </c>
      <c r="J20" s="35">
        <f>$D$8</f>
        <v>0.2</v>
      </c>
      <c r="K20" s="34">
        <f>I20/(1-J20)</f>
        <v>0</v>
      </c>
    </row>
    <row r="21" spans="2:11" x14ac:dyDescent="0.25">
      <c r="B21" t="s">
        <v>138</v>
      </c>
      <c r="C21" s="68">
        <v>0</v>
      </c>
      <c r="D21" s="68">
        <v>0</v>
      </c>
      <c r="E21" s="68">
        <v>0</v>
      </c>
      <c r="F21" s="20">
        <v>0</v>
      </c>
      <c r="G21" s="68">
        <v>0</v>
      </c>
      <c r="I21" s="20">
        <f>SUM(C21:G21)</f>
        <v>0</v>
      </c>
      <c r="J21" s="27">
        <f>$D$8</f>
        <v>0.2</v>
      </c>
      <c r="K21" s="20">
        <f>I21/(1-J21)</f>
        <v>0</v>
      </c>
    </row>
    <row r="22" spans="1:11" x14ac:dyDescent="0.25">
      <c r="A22" s="33"/>
      <c r="B22" s="33" t="s">
        <v>139</v>
      </c>
      <c r="C22" s="67">
        <v>725.4</v>
      </c>
      <c r="D22" s="67">
        <v>0</v>
      </c>
      <c r="E22" s="67">
        <v>0</v>
      </c>
      <c r="F22" s="34">
        <v>0</v>
      </c>
      <c r="G22" s="67">
        <v>0</v>
      </c>
      <c r="H22" s="33"/>
      <c r="I22" s="34">
        <f>SUM(C22:G22)</f>
        <v>725.4</v>
      </c>
      <c r="J22" s="35">
        <f>$D$8</f>
        <v>0.2</v>
      </c>
      <c r="K22" s="34">
        <f>I22/(1-J22)</f>
        <v>906.75</v>
      </c>
    </row>
    <row r="23" spans="2:11" x14ac:dyDescent="0.25">
      <c r="B23" t="s">
        <v>140</v>
      </c>
      <c r="C23" s="68">
        <v>0</v>
      </c>
      <c r="D23" s="68">
        <v>0</v>
      </c>
      <c r="E23" s="68">
        <v>0</v>
      </c>
      <c r="F23" s="20">
        <v>0</v>
      </c>
      <c r="G23" s="68">
        <v>0</v>
      </c>
      <c r="I23" s="20">
        <f>SUM(C23:G23)</f>
        <v>0</v>
      </c>
      <c r="J23" s="27">
        <f>$D$8</f>
        <v>0.2</v>
      </c>
      <c r="K23" s="20">
        <f>I23/(1-J23)</f>
        <v>0</v>
      </c>
    </row>
    <row r="24" spans="1:11" x14ac:dyDescent="0.25">
      <c r="A24" s="33"/>
      <c r="B24" s="33" t="s">
        <v>141</v>
      </c>
      <c r="C24" s="67">
        <v>0</v>
      </c>
      <c r="D24" s="67">
        <v>0</v>
      </c>
      <c r="E24" s="67">
        <v>0</v>
      </c>
      <c r="F24" s="34">
        <v>0</v>
      </c>
      <c r="G24" s="67">
        <v>0</v>
      </c>
      <c r="H24" s="33"/>
      <c r="I24" s="34">
        <f>SUM(C24:G24)</f>
        <v>0</v>
      </c>
      <c r="J24" s="35">
        <f>$D$8</f>
        <v>0.2</v>
      </c>
      <c r="K24" s="34">
        <f>I24/(1-J24)</f>
        <v>0</v>
      </c>
    </row>
    <row r="25" spans="2:11" x14ac:dyDescent="0.25">
      <c r="B25" t="s">
        <v>141</v>
      </c>
      <c r="C25" s="68">
        <v>0</v>
      </c>
      <c r="D25" s="68">
        <v>0</v>
      </c>
      <c r="E25" s="68">
        <v>0</v>
      </c>
      <c r="F25" s="20">
        <v>0</v>
      </c>
      <c r="G25" s="68">
        <v>0</v>
      </c>
      <c r="I25" s="20">
        <f>SUM(C25:G25)</f>
        <v>0</v>
      </c>
      <c r="J25" s="27">
        <f>$D$8</f>
        <v>0.2</v>
      </c>
      <c r="K25" s="20">
        <f>I25/(1-J25)</f>
        <v>0</v>
      </c>
    </row>
    <row r="26" spans="1:11" x14ac:dyDescent="0.25">
      <c r="A26" s="69"/>
      <c r="B26" s="69" t="s">
        <v>74</v>
      </c>
      <c r="C26" s="69"/>
      <c r="D26" s="69"/>
      <c r="E26" s="69"/>
      <c r="F26" s="69"/>
      <c r="G26" s="69"/>
      <c r="H26" s="69"/>
      <c r="I26" s="70">
        <f>SUM(I20:I25)</f>
        <v>725.4</v>
      </c>
      <c r="J26" s="69"/>
      <c r="K26" s="70">
        <f>SUM(K20:K25)</f>
        <v>906.75</v>
      </c>
    </row>
    <row r="28" ht="24" customHeight="1" spans="1:11" x14ac:dyDescent="0.25">
      <c r="A28" s="25" t="s">
        <v>35</v>
      </c>
      <c r="B28" s="25" t="s">
        <v>142</v>
      </c>
      <c r="C28" s="25" t="s">
        <v>132</v>
      </c>
      <c r="D28" s="25" t="s">
        <v>133</v>
      </c>
      <c r="E28" s="25" t="s">
        <v>134</v>
      </c>
      <c r="F28" s="25" t="s">
        <v>135</v>
      </c>
      <c r="G28" s="25" t="s">
        <v>136</v>
      </c>
      <c r="H28" s="25" t="s">
        <v>35</v>
      </c>
      <c r="I28" s="25" t="s">
        <v>29</v>
      </c>
      <c r="J28" s="25" t="s">
        <v>123</v>
      </c>
      <c r="K28" s="25" t="s">
        <v>38</v>
      </c>
    </row>
    <row r="29" spans="1:11" x14ac:dyDescent="0.25">
      <c r="A29" s="33"/>
      <c r="B29" s="33" t="s">
        <v>143</v>
      </c>
      <c r="C29" s="67">
        <v>0</v>
      </c>
      <c r="D29" s="67">
        <v>0</v>
      </c>
      <c r="E29" s="67">
        <v>0</v>
      </c>
      <c r="F29" s="34">
        <v>0</v>
      </c>
      <c r="G29" s="67">
        <v>0</v>
      </c>
      <c r="H29" s="33"/>
      <c r="I29" s="34">
        <f>SUM(C29:G29)</f>
        <v>0</v>
      </c>
      <c r="J29" s="35">
        <f>$D$8</f>
        <v>0.2</v>
      </c>
      <c r="K29" s="34">
        <f>I29/(1-J29)</f>
        <v>0</v>
      </c>
    </row>
    <row r="30" spans="2:11" x14ac:dyDescent="0.25">
      <c r="B30" t="s">
        <v>144</v>
      </c>
      <c r="C30" s="68">
        <v>0</v>
      </c>
      <c r="D30" s="68">
        <v>0</v>
      </c>
      <c r="E30" s="68">
        <v>0</v>
      </c>
      <c r="F30" s="20">
        <v>0</v>
      </c>
      <c r="G30" s="68">
        <v>0</v>
      </c>
      <c r="I30" s="20">
        <f>SUM(C30:G30)</f>
        <v>0</v>
      </c>
      <c r="J30" s="27">
        <f>$D$8</f>
        <v>0.2</v>
      </c>
      <c r="K30" s="20">
        <f>I30/(1-J30)</f>
        <v>0</v>
      </c>
    </row>
    <row r="31" spans="1:11" x14ac:dyDescent="0.25">
      <c r="A31" s="33"/>
      <c r="B31" s="33" t="s">
        <v>145</v>
      </c>
      <c r="C31" s="67">
        <v>3022.5</v>
      </c>
      <c r="D31" s="67">
        <v>0</v>
      </c>
      <c r="E31" s="67">
        <v>0</v>
      </c>
      <c r="F31" s="34">
        <v>0</v>
      </c>
      <c r="G31" s="67">
        <v>0</v>
      </c>
      <c r="H31" s="33"/>
      <c r="I31" s="34">
        <f>SUM(C31:G31)</f>
        <v>3022.5</v>
      </c>
      <c r="J31" s="35">
        <f>$D$8</f>
        <v>0.2</v>
      </c>
      <c r="K31" s="34">
        <f>I31/(1-J31)</f>
        <v>3778.13</v>
      </c>
    </row>
    <row r="32" spans="2:11" x14ac:dyDescent="0.25">
      <c r="B32" t="s">
        <v>146</v>
      </c>
      <c r="C32" s="68">
        <v>0</v>
      </c>
      <c r="D32" s="68">
        <v>0</v>
      </c>
      <c r="E32" s="68">
        <v>0</v>
      </c>
      <c r="F32" s="20">
        <v>0</v>
      </c>
      <c r="G32" s="68">
        <v>0</v>
      </c>
      <c r="I32" s="20">
        <f>SUM(C32:G32)</f>
        <v>0</v>
      </c>
      <c r="J32" s="27">
        <f>$D$8</f>
        <v>0.2</v>
      </c>
      <c r="K32" s="20">
        <f>I32/(1-J32)</f>
        <v>0</v>
      </c>
    </row>
    <row r="33" spans="1:11" x14ac:dyDescent="0.25">
      <c r="A33" s="33"/>
      <c r="B33" s="33" t="s">
        <v>147</v>
      </c>
      <c r="C33" s="67">
        <v>0</v>
      </c>
      <c r="D33" s="67">
        <v>0</v>
      </c>
      <c r="E33" s="67">
        <v>0</v>
      </c>
      <c r="F33" s="34">
        <v>0</v>
      </c>
      <c r="G33" s="67">
        <v>0</v>
      </c>
      <c r="H33" s="33"/>
      <c r="I33" s="34">
        <f>SUM(C33:G33)</f>
        <v>0</v>
      </c>
      <c r="J33" s="35">
        <f>$D$8</f>
        <v>0.2</v>
      </c>
      <c r="K33" s="34">
        <f>I33/(1-J33)</f>
        <v>0</v>
      </c>
    </row>
    <row r="34" spans="2:11" x14ac:dyDescent="0.25">
      <c r="B34" t="s">
        <v>148</v>
      </c>
      <c r="C34" s="68">
        <v>20882.35</v>
      </c>
      <c r="D34" s="68">
        <v>0</v>
      </c>
      <c r="E34" s="68">
        <v>0</v>
      </c>
      <c r="F34" s="20">
        <v>0</v>
      </c>
      <c r="G34" s="68">
        <v>0</v>
      </c>
      <c r="I34" s="20">
        <f>SUM(C34:G34)</f>
        <v>20882.35</v>
      </c>
      <c r="J34" s="27">
        <f>$D$8</f>
        <v>0.2</v>
      </c>
      <c r="K34" s="20">
        <f>I34/(1-J34)</f>
        <v>26102.94</v>
      </c>
    </row>
    <row r="35" spans="1:11" x14ac:dyDescent="0.25">
      <c r="A35" s="69"/>
      <c r="B35" s="69" t="s">
        <v>74</v>
      </c>
      <c r="C35" s="69"/>
      <c r="D35" s="69"/>
      <c r="E35" s="69"/>
      <c r="F35" s="69"/>
      <c r="G35" s="69"/>
      <c r="H35" s="69"/>
      <c r="I35" s="70">
        <f>SUM(I29:I34)</f>
        <v>23904.85</v>
      </c>
      <c r="J35" s="69"/>
      <c r="K35" s="70">
        <f>SUM(K29:K34)</f>
        <v>29881.06</v>
      </c>
    </row>
    <row r="37" ht="24" customHeight="1" spans="1:11" x14ac:dyDescent="0.25">
      <c r="A37" s="25" t="s">
        <v>35</v>
      </c>
      <c r="B37" s="25" t="s">
        <v>149</v>
      </c>
      <c r="C37" s="25" t="s">
        <v>132</v>
      </c>
      <c r="D37" s="25" t="s">
        <v>133</v>
      </c>
      <c r="E37" s="25" t="s">
        <v>134</v>
      </c>
      <c r="F37" s="25" t="s">
        <v>135</v>
      </c>
      <c r="G37" s="25" t="s">
        <v>136</v>
      </c>
      <c r="H37" s="25" t="s">
        <v>35</v>
      </c>
      <c r="I37" s="25" t="s">
        <v>29</v>
      </c>
      <c r="J37" s="25" t="s">
        <v>123</v>
      </c>
      <c r="K37" s="25" t="s">
        <v>38</v>
      </c>
    </row>
    <row r="38" spans="1:11" x14ac:dyDescent="0.25">
      <c r="A38" s="33"/>
      <c r="B38" s="33" t="s">
        <v>150</v>
      </c>
      <c r="C38" s="67">
        <v>3022.5</v>
      </c>
      <c r="D38" s="67">
        <v>0</v>
      </c>
      <c r="E38" s="67">
        <v>0</v>
      </c>
      <c r="F38" s="34">
        <v>0</v>
      </c>
      <c r="G38" s="67">
        <v>0</v>
      </c>
      <c r="H38" s="33"/>
      <c r="I38" s="34">
        <f>SUM(C38:G38)</f>
        <v>3022.5</v>
      </c>
      <c r="J38" s="35">
        <f>$D$9</f>
        <v>0.2</v>
      </c>
      <c r="K38" s="34">
        <f>I38/(1-J38)</f>
        <v>3778.13</v>
      </c>
    </row>
    <row r="39" spans="2:11" x14ac:dyDescent="0.25">
      <c r="B39" t="s">
        <v>151</v>
      </c>
      <c r="C39" s="68">
        <v>0</v>
      </c>
      <c r="D39" s="68">
        <v>0</v>
      </c>
      <c r="E39" s="68">
        <v>0</v>
      </c>
      <c r="F39" s="20">
        <v>0</v>
      </c>
      <c r="G39" s="68">
        <v>0</v>
      </c>
      <c r="I39" s="20">
        <f>SUM(C39:G39)</f>
        <v>0</v>
      </c>
      <c r="J39" s="27">
        <f>$D$9</f>
        <v>0.2</v>
      </c>
      <c r="K39" s="20">
        <f>I39/(1-J39)</f>
        <v>0</v>
      </c>
    </row>
    <row r="40" spans="1:11" x14ac:dyDescent="0.25">
      <c r="A40" s="33"/>
      <c r="B40" s="33" t="s">
        <v>152</v>
      </c>
      <c r="C40" s="67">
        <v>0</v>
      </c>
      <c r="D40" s="67">
        <v>0</v>
      </c>
      <c r="E40" s="67">
        <v>0</v>
      </c>
      <c r="F40" s="34">
        <v>0</v>
      </c>
      <c r="G40" s="67">
        <v>0</v>
      </c>
      <c r="H40" s="33"/>
      <c r="I40" s="34">
        <f>SUM(C40:G40)</f>
        <v>0</v>
      </c>
      <c r="J40" s="35">
        <f>$D$9</f>
        <v>0.2</v>
      </c>
      <c r="K40" s="34">
        <f>I40/(1-J40)</f>
        <v>0</v>
      </c>
    </row>
    <row r="41" spans="2:11" x14ac:dyDescent="0.25">
      <c r="B41" t="s">
        <v>153</v>
      </c>
      <c r="C41" s="68">
        <v>0</v>
      </c>
      <c r="D41" s="68">
        <v>0</v>
      </c>
      <c r="E41" s="68">
        <v>0</v>
      </c>
      <c r="F41" s="20">
        <v>0</v>
      </c>
      <c r="G41" s="68">
        <v>0</v>
      </c>
      <c r="I41" s="20">
        <f>SUM(C41:G41)</f>
        <v>0</v>
      </c>
      <c r="J41" s="27">
        <f>$D$9</f>
        <v>0.2</v>
      </c>
      <c r="K41" s="20">
        <f>I41/(1-J41)</f>
        <v>0</v>
      </c>
    </row>
    <row r="42" spans="1:11" x14ac:dyDescent="0.25">
      <c r="A42" s="33"/>
      <c r="B42" s="33" t="s">
        <v>154</v>
      </c>
      <c r="C42" s="67">
        <v>0</v>
      </c>
      <c r="D42" s="67">
        <v>0</v>
      </c>
      <c r="E42" s="67">
        <v>0</v>
      </c>
      <c r="F42" s="34">
        <v>0</v>
      </c>
      <c r="G42" s="67">
        <v>0</v>
      </c>
      <c r="H42" s="33"/>
      <c r="I42" s="34">
        <f>SUM(C42:G42)</f>
        <v>0</v>
      </c>
      <c r="J42" s="35">
        <f>$D$9</f>
        <v>0.2</v>
      </c>
      <c r="K42" s="34">
        <f>I42/(1-J42)</f>
        <v>0</v>
      </c>
    </row>
    <row r="43" spans="2:11" x14ac:dyDescent="0.25">
      <c r="B43" t="s">
        <v>155</v>
      </c>
      <c r="C43" s="68">
        <v>0</v>
      </c>
      <c r="D43" s="68">
        <v>0</v>
      </c>
      <c r="E43" s="68">
        <v>0</v>
      </c>
      <c r="F43" s="20">
        <v>0</v>
      </c>
      <c r="G43" s="68">
        <v>0</v>
      </c>
      <c r="I43" s="20">
        <f>SUM(C43:G43)</f>
        <v>0</v>
      </c>
      <c r="J43" s="27">
        <f>$D$9</f>
        <v>0.2</v>
      </c>
      <c r="K43" s="20">
        <f>I43/(1-J43)</f>
        <v>0</v>
      </c>
    </row>
    <row r="44" spans="1:11" x14ac:dyDescent="0.25">
      <c r="A44" s="69"/>
      <c r="B44" s="69" t="s">
        <v>74</v>
      </c>
      <c r="C44" s="69"/>
      <c r="D44" s="69"/>
      <c r="E44" s="69"/>
      <c r="F44" s="69"/>
      <c r="G44" s="69"/>
      <c r="H44" s="69"/>
      <c r="I44" s="70">
        <f>SUM(I38:I43)</f>
        <v>3022.5</v>
      </c>
      <c r="J44" s="69"/>
      <c r="K44" s="70">
        <f>SUM(K38:K43)</f>
        <v>3778.13</v>
      </c>
    </row>
    <row r="46" ht="24" customHeight="1" spans="1:11" x14ac:dyDescent="0.25">
      <c r="A46" s="25" t="s">
        <v>35</v>
      </c>
      <c r="B46" s="25" t="s">
        <v>156</v>
      </c>
      <c r="C46" s="25" t="s">
        <v>132</v>
      </c>
      <c r="D46" s="25" t="s">
        <v>133</v>
      </c>
      <c r="E46" s="25" t="s">
        <v>134</v>
      </c>
      <c r="F46" s="25" t="s">
        <v>135</v>
      </c>
      <c r="G46" s="25" t="s">
        <v>136</v>
      </c>
      <c r="H46" s="25" t="s">
        <v>35</v>
      </c>
      <c r="I46" s="25" t="s">
        <v>29</v>
      </c>
      <c r="J46" s="25" t="s">
        <v>123</v>
      </c>
      <c r="K46" s="25" t="s">
        <v>38</v>
      </c>
    </row>
    <row r="47" spans="1:11" x14ac:dyDescent="0.25">
      <c r="A47" s="33"/>
      <c r="B47" s="33" t="s">
        <v>157</v>
      </c>
      <c r="C47" s="67">
        <v>4705.88</v>
      </c>
      <c r="D47" s="67">
        <v>0</v>
      </c>
      <c r="E47" s="67">
        <v>0</v>
      </c>
      <c r="F47" s="34">
        <v>0</v>
      </c>
      <c r="G47" s="67">
        <v>0</v>
      </c>
      <c r="H47" s="33"/>
      <c r="I47" s="34">
        <f>SUM(C47:G47)</f>
        <v>4705.88</v>
      </c>
      <c r="J47" s="35">
        <f>$D$11</f>
        <v>0.2</v>
      </c>
      <c r="K47" s="34">
        <f>I47/(1-J47)</f>
        <v>5882.35</v>
      </c>
    </row>
    <row r="48" spans="2:11" x14ac:dyDescent="0.25">
      <c r="B48" t="s">
        <v>158</v>
      </c>
      <c r="C48" s="68">
        <v>0</v>
      </c>
      <c r="D48" s="68">
        <v>0</v>
      </c>
      <c r="E48" s="68">
        <v>0</v>
      </c>
      <c r="F48" s="20">
        <v>0</v>
      </c>
      <c r="G48" s="68">
        <v>0</v>
      </c>
      <c r="I48" s="20">
        <f>SUM(C48:G48)</f>
        <v>0</v>
      </c>
      <c r="J48" s="27">
        <f>$D$11</f>
        <v>0.2</v>
      </c>
      <c r="K48" s="20">
        <f>I48/(1-J48)</f>
        <v>0</v>
      </c>
    </row>
    <row r="49" spans="1:11" x14ac:dyDescent="0.25">
      <c r="A49" s="33"/>
      <c r="B49" s="33" t="s">
        <v>159</v>
      </c>
      <c r="C49" s="67">
        <v>0</v>
      </c>
      <c r="D49" s="67">
        <v>0</v>
      </c>
      <c r="E49" s="67">
        <v>0</v>
      </c>
      <c r="F49" s="34">
        <v>0</v>
      </c>
      <c r="G49" s="67">
        <v>0</v>
      </c>
      <c r="H49" s="33"/>
      <c r="I49" s="34">
        <f>SUM(C49:G49)</f>
        <v>0</v>
      </c>
      <c r="J49" s="35">
        <f>$D$11</f>
        <v>0.2</v>
      </c>
      <c r="K49" s="34">
        <f>I49/(1-J49)</f>
        <v>0</v>
      </c>
    </row>
    <row r="50" spans="2:11" x14ac:dyDescent="0.25">
      <c r="B50" t="s">
        <v>160</v>
      </c>
      <c r="C50" s="68">
        <v>0</v>
      </c>
      <c r="D50" s="68">
        <v>0</v>
      </c>
      <c r="E50" s="68">
        <v>0</v>
      </c>
      <c r="F50" s="20">
        <v>0</v>
      </c>
      <c r="G50" s="68">
        <v>0</v>
      </c>
      <c r="I50" s="20">
        <f>SUM(C50:G50)</f>
        <v>0</v>
      </c>
      <c r="J50" s="27">
        <f>$D$11</f>
        <v>0.2</v>
      </c>
      <c r="K50" s="20">
        <f>I50/(1-J50)</f>
        <v>0</v>
      </c>
    </row>
    <row r="51" spans="1:11" x14ac:dyDescent="0.25">
      <c r="A51" s="33"/>
      <c r="B51" s="33" t="s">
        <v>161</v>
      </c>
      <c r="C51" s="67">
        <v>0</v>
      </c>
      <c r="D51" s="67">
        <v>0</v>
      </c>
      <c r="E51" s="67">
        <v>0</v>
      </c>
      <c r="F51" s="34">
        <v>0</v>
      </c>
      <c r="G51" s="67">
        <v>0</v>
      </c>
      <c r="H51" s="33"/>
      <c r="I51" s="34">
        <f>SUM(C51:G51)</f>
        <v>0</v>
      </c>
      <c r="J51" s="35">
        <f>$D$11</f>
        <v>0.2</v>
      </c>
      <c r="K51" s="34">
        <f>I51/(1-J51)</f>
        <v>0</v>
      </c>
    </row>
    <row r="52" spans="1:11" x14ac:dyDescent="0.25">
      <c r="A52" s="69"/>
      <c r="B52" s="69" t="s">
        <v>74</v>
      </c>
      <c r="C52" s="69"/>
      <c r="D52" s="69"/>
      <c r="E52" s="69"/>
      <c r="F52" s="69"/>
      <c r="G52" s="69"/>
      <c r="H52" s="69"/>
      <c r="I52" s="70">
        <f>SUM(I47:I51)</f>
        <v>4705.88</v>
      </c>
      <c r="J52" s="69"/>
      <c r="K52" s="70">
        <f>SUM(K47:K51)</f>
        <v>5882.35</v>
      </c>
    </row>
    <row r="54" spans="1:11" x14ac:dyDescent="0.25">
      <c r="A54" s="28"/>
      <c r="B54" s="29" t="s">
        <v>162</v>
      </c>
      <c r="C54" s="28"/>
      <c r="D54" s="28"/>
      <c r="E54" s="28"/>
      <c r="F54" s="28"/>
      <c r="G54" s="28"/>
      <c r="H54" s="28"/>
      <c r="I54" s="30">
        <f>I26+I35+I44+I52</f>
        <v>39226.85</v>
      </c>
      <c r="J54" s="28"/>
      <c r="K54" s="30">
        <f>K26+K35+K44+K52</f>
        <v>47940.31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4" t="s">
        <v>120</v>
      </c>
    </row>
    <row r="4" spans="1:1" x14ac:dyDescent="0.25">
      <c r="A4" s="15" t="s">
        <v>9</v>
      </c>
    </row>
    <row r="5" spans="1:1" x14ac:dyDescent="0.25">
      <c r="A5" s="15" t="s">
        <v>121</v>
      </c>
    </row>
    <row r="7" spans="3:3" x14ac:dyDescent="0.25">
      <c r="C7" s="26" t="s">
        <v>122</v>
      </c>
    </row>
    <row r="8" spans="3:4" x14ac:dyDescent="0.25">
      <c r="C8" t="s">
        <v>123</v>
      </c>
      <c r="D8" s="21">
        <v>0.2</v>
      </c>
    </row>
    <row r="9" spans="3:4" x14ac:dyDescent="0.25">
      <c r="C9" t="s">
        <v>124</v>
      </c>
      <c r="D9" s="21">
        <v>0.2</v>
      </c>
    </row>
    <row r="10" spans="3:4" x14ac:dyDescent="0.25">
      <c r="C10" t="s">
        <v>99</v>
      </c>
      <c r="D10" s="21">
        <v>0.2</v>
      </c>
    </row>
    <row r="11" spans="3:4" x14ac:dyDescent="0.25">
      <c r="C11" t="s">
        <v>125</v>
      </c>
      <c r="D11" s="21">
        <v>0.2</v>
      </c>
    </row>
    <row r="15" spans="2:2" x14ac:dyDescent="0.25">
      <c r="B15" s="65" t="s">
        <v>163</v>
      </c>
    </row>
    <row r="16" spans="2:5" x14ac:dyDescent="0.25">
      <c r="B16" s="4" t="s">
        <v>127</v>
      </c>
      <c r="C16" s="4" t="s">
        <v>128</v>
      </c>
      <c r="D16" s="4" t="s">
        <v>129</v>
      </c>
      <c r="E16" s="4" t="s">
        <v>130</v>
      </c>
    </row>
    <row r="17" spans="2:5" x14ac:dyDescent="0.25">
      <c r="B17" s="49">
        <v>1.9686</v>
      </c>
      <c r="C17" s="49">
        <v>3.28</v>
      </c>
      <c r="D17" s="66">
        <v>6.46</v>
      </c>
      <c r="E17">
        <v>1</v>
      </c>
    </row>
    <row r="19" ht="24" customHeight="1" spans="1:11" x14ac:dyDescent="0.25">
      <c r="A19" s="25" t="s">
        <v>35</v>
      </c>
      <c r="B19" s="25" t="s">
        <v>131</v>
      </c>
      <c r="C19" s="25" t="s">
        <v>132</v>
      </c>
      <c r="D19" s="25" t="s">
        <v>133</v>
      </c>
      <c r="E19" s="25" t="s">
        <v>134</v>
      </c>
      <c r="F19" s="25" t="s">
        <v>135</v>
      </c>
      <c r="G19" s="25" t="s">
        <v>136</v>
      </c>
      <c r="H19" s="25" t="s">
        <v>35</v>
      </c>
      <c r="I19" s="25" t="s">
        <v>29</v>
      </c>
      <c r="J19" s="25" t="s">
        <v>123</v>
      </c>
      <c r="K19" s="25" t="s">
        <v>38</v>
      </c>
    </row>
    <row r="20" spans="1:11" x14ac:dyDescent="0.25">
      <c r="A20" s="33"/>
      <c r="B20" s="33" t="s">
        <v>137</v>
      </c>
      <c r="C20" s="67">
        <v>0</v>
      </c>
      <c r="D20" s="67">
        <v>0</v>
      </c>
      <c r="E20" s="67">
        <v>0</v>
      </c>
      <c r="F20" s="34">
        <v>0</v>
      </c>
      <c r="G20" s="67">
        <v>0</v>
      </c>
      <c r="H20" s="33"/>
      <c r="I20" s="34">
        <f>SUM(C20:G20)</f>
        <v>0</v>
      </c>
      <c r="J20" s="35">
        <f>$D$8</f>
        <v>0.2</v>
      </c>
      <c r="K20" s="34">
        <f>I20/(1-J20)</f>
        <v>0</v>
      </c>
    </row>
    <row r="21" spans="2:11" x14ac:dyDescent="0.25">
      <c r="B21" t="s">
        <v>138</v>
      </c>
      <c r="C21" s="68">
        <v>0</v>
      </c>
      <c r="D21" s="68">
        <v>0</v>
      </c>
      <c r="E21" s="68">
        <v>0</v>
      </c>
      <c r="F21" s="20">
        <v>0</v>
      </c>
      <c r="G21" s="68">
        <v>0</v>
      </c>
      <c r="I21" s="20">
        <f>SUM(C21:G21)</f>
        <v>0</v>
      </c>
      <c r="J21" s="27">
        <f>$D$8</f>
        <v>0.2</v>
      </c>
      <c r="K21" s="20">
        <f>I21/(1-J21)</f>
        <v>0</v>
      </c>
    </row>
    <row r="22" spans="1:11" x14ac:dyDescent="0.25">
      <c r="A22" s="33"/>
      <c r="B22" s="33" t="s">
        <v>139</v>
      </c>
      <c r="C22" s="67">
        <v>193.8</v>
      </c>
      <c r="D22" s="67">
        <v>0</v>
      </c>
      <c r="E22" s="67">
        <v>0</v>
      </c>
      <c r="F22" s="34">
        <v>0</v>
      </c>
      <c r="G22" s="67">
        <v>0</v>
      </c>
      <c r="H22" s="33"/>
      <c r="I22" s="34">
        <f>SUM(C22:G22)</f>
        <v>193.8</v>
      </c>
      <c r="J22" s="35">
        <f>$D$8</f>
        <v>0.2</v>
      </c>
      <c r="K22" s="34">
        <f>I22/(1-J22)</f>
        <v>242.25</v>
      </c>
    </row>
    <row r="23" spans="2:11" x14ac:dyDescent="0.25">
      <c r="B23" t="s">
        <v>140</v>
      </c>
      <c r="C23" s="68">
        <v>0</v>
      </c>
      <c r="D23" s="68">
        <v>0</v>
      </c>
      <c r="E23" s="68">
        <v>0</v>
      </c>
      <c r="F23" s="20">
        <v>0</v>
      </c>
      <c r="G23" s="68">
        <v>0</v>
      </c>
      <c r="I23" s="20">
        <f>SUM(C23:G23)</f>
        <v>0</v>
      </c>
      <c r="J23" s="27">
        <f>$D$8</f>
        <v>0.2</v>
      </c>
      <c r="K23" s="20">
        <f>I23/(1-J23)</f>
        <v>0</v>
      </c>
    </row>
    <row r="24" spans="1:11" x14ac:dyDescent="0.25">
      <c r="A24" s="33"/>
      <c r="B24" s="33" t="s">
        <v>141</v>
      </c>
      <c r="C24" s="67">
        <v>0</v>
      </c>
      <c r="D24" s="67">
        <v>0</v>
      </c>
      <c r="E24" s="67">
        <v>0</v>
      </c>
      <c r="F24" s="34">
        <v>0</v>
      </c>
      <c r="G24" s="67">
        <v>0</v>
      </c>
      <c r="H24" s="33"/>
      <c r="I24" s="34">
        <f>SUM(C24:G24)</f>
        <v>0</v>
      </c>
      <c r="J24" s="35">
        <f>$D$8</f>
        <v>0.2</v>
      </c>
      <c r="K24" s="34">
        <f>I24/(1-J24)</f>
        <v>0</v>
      </c>
    </row>
    <row r="25" spans="2:11" x14ac:dyDescent="0.25">
      <c r="B25" t="s">
        <v>141</v>
      </c>
      <c r="C25" s="68">
        <v>0</v>
      </c>
      <c r="D25" s="68">
        <v>0</v>
      </c>
      <c r="E25" s="68">
        <v>0</v>
      </c>
      <c r="F25" s="20">
        <v>0</v>
      </c>
      <c r="G25" s="68">
        <v>0</v>
      </c>
      <c r="I25" s="20">
        <f>SUM(C25:G25)</f>
        <v>0</v>
      </c>
      <c r="J25" s="27">
        <f>$D$8</f>
        <v>0.2</v>
      </c>
      <c r="K25" s="20">
        <f>I25/(1-J25)</f>
        <v>0</v>
      </c>
    </row>
    <row r="26" spans="1:11" x14ac:dyDescent="0.25">
      <c r="A26" s="69"/>
      <c r="B26" s="69" t="s">
        <v>74</v>
      </c>
      <c r="C26" s="69"/>
      <c r="D26" s="69"/>
      <c r="E26" s="69"/>
      <c r="F26" s="69"/>
      <c r="G26" s="69"/>
      <c r="H26" s="69"/>
      <c r="I26" s="70">
        <f>SUM(I20:I25)</f>
        <v>193.8</v>
      </c>
      <c r="J26" s="69"/>
      <c r="K26" s="70">
        <f>SUM(K20:K25)</f>
        <v>242.25</v>
      </c>
    </row>
    <row r="28" ht="24" customHeight="1" spans="1:11" x14ac:dyDescent="0.25">
      <c r="A28" s="25" t="s">
        <v>35</v>
      </c>
      <c r="B28" s="25" t="s">
        <v>142</v>
      </c>
      <c r="C28" s="25" t="s">
        <v>132</v>
      </c>
      <c r="D28" s="25" t="s">
        <v>133</v>
      </c>
      <c r="E28" s="25" t="s">
        <v>134</v>
      </c>
      <c r="F28" s="25" t="s">
        <v>135</v>
      </c>
      <c r="G28" s="25" t="s">
        <v>136</v>
      </c>
      <c r="H28" s="25" t="s">
        <v>35</v>
      </c>
      <c r="I28" s="25" t="s">
        <v>29</v>
      </c>
      <c r="J28" s="25" t="s">
        <v>123</v>
      </c>
      <c r="K28" s="25" t="s">
        <v>38</v>
      </c>
    </row>
    <row r="29" spans="1:11" x14ac:dyDescent="0.25">
      <c r="A29" s="33"/>
      <c r="B29" s="33" t="s">
        <v>143</v>
      </c>
      <c r="C29" s="67">
        <v>0</v>
      </c>
      <c r="D29" s="67">
        <v>0</v>
      </c>
      <c r="E29" s="67">
        <v>0</v>
      </c>
      <c r="F29" s="34">
        <v>0</v>
      </c>
      <c r="G29" s="67">
        <v>0</v>
      </c>
      <c r="H29" s="33"/>
      <c r="I29" s="34">
        <f>SUM(C29:G29)</f>
        <v>0</v>
      </c>
      <c r="J29" s="35">
        <f>$D$8</f>
        <v>0.2</v>
      </c>
      <c r="K29" s="34">
        <f>I29/(1-J29)</f>
        <v>0</v>
      </c>
    </row>
    <row r="30" spans="2:11" x14ac:dyDescent="0.25">
      <c r="B30" t="s">
        <v>144</v>
      </c>
      <c r="C30" s="68">
        <v>0</v>
      </c>
      <c r="D30" s="68">
        <v>0</v>
      </c>
      <c r="E30" s="68">
        <v>0</v>
      </c>
      <c r="F30" s="20">
        <v>0</v>
      </c>
      <c r="G30" s="68">
        <v>0</v>
      </c>
      <c r="I30" s="20">
        <f>SUM(C30:G30)</f>
        <v>0</v>
      </c>
      <c r="J30" s="27">
        <f>$D$8</f>
        <v>0.2</v>
      </c>
      <c r="K30" s="20">
        <f>I30/(1-J30)</f>
        <v>0</v>
      </c>
    </row>
    <row r="31" spans="1:11" x14ac:dyDescent="0.25">
      <c r="A31" s="33"/>
      <c r="B31" s="33" t="s">
        <v>145</v>
      </c>
      <c r="C31" s="67">
        <v>807.5</v>
      </c>
      <c r="D31" s="67">
        <v>0</v>
      </c>
      <c r="E31" s="67">
        <v>0</v>
      </c>
      <c r="F31" s="34">
        <v>0</v>
      </c>
      <c r="G31" s="67">
        <v>0</v>
      </c>
      <c r="H31" s="33"/>
      <c r="I31" s="34">
        <f>SUM(C31:G31)</f>
        <v>807.5</v>
      </c>
      <c r="J31" s="35">
        <f>$D$8</f>
        <v>0.2</v>
      </c>
      <c r="K31" s="34">
        <f>I31/(1-J31)</f>
        <v>1009.38</v>
      </c>
    </row>
    <row r="32" spans="2:11" x14ac:dyDescent="0.25">
      <c r="B32" t="s">
        <v>146</v>
      </c>
      <c r="C32" s="68">
        <v>0</v>
      </c>
      <c r="D32" s="68">
        <v>0</v>
      </c>
      <c r="E32" s="68">
        <v>0</v>
      </c>
      <c r="F32" s="20">
        <v>0</v>
      </c>
      <c r="G32" s="68">
        <v>0</v>
      </c>
      <c r="I32" s="20">
        <f>SUM(C32:G32)</f>
        <v>0</v>
      </c>
      <c r="J32" s="27">
        <f>$D$8</f>
        <v>0.2</v>
      </c>
      <c r="K32" s="20">
        <f>I32/(1-J32)</f>
        <v>0</v>
      </c>
    </row>
    <row r="33" spans="1:11" x14ac:dyDescent="0.25">
      <c r="A33" s="33"/>
      <c r="B33" s="33" t="s">
        <v>147</v>
      </c>
      <c r="C33" s="67">
        <v>0</v>
      </c>
      <c r="D33" s="67">
        <v>0</v>
      </c>
      <c r="E33" s="67">
        <v>0</v>
      </c>
      <c r="F33" s="34">
        <v>0</v>
      </c>
      <c r="G33" s="67">
        <v>0</v>
      </c>
      <c r="H33" s="33"/>
      <c r="I33" s="34">
        <f>SUM(C33:G33)</f>
        <v>0</v>
      </c>
      <c r="J33" s="35">
        <f>$D$8</f>
        <v>0.2</v>
      </c>
      <c r="K33" s="34">
        <f>I33/(1-J33)</f>
        <v>0</v>
      </c>
    </row>
    <row r="34" spans="2:11" x14ac:dyDescent="0.25">
      <c r="B34" t="s">
        <v>148</v>
      </c>
      <c r="C34" s="68">
        <v>20882.35</v>
      </c>
      <c r="D34" s="68">
        <v>0</v>
      </c>
      <c r="E34" s="68">
        <v>0</v>
      </c>
      <c r="F34" s="20">
        <v>0</v>
      </c>
      <c r="G34" s="68">
        <v>0</v>
      </c>
      <c r="I34" s="20">
        <f>SUM(C34:G34)</f>
        <v>20882.35</v>
      </c>
      <c r="J34" s="27">
        <f>$D$8</f>
        <v>0.2</v>
      </c>
      <c r="K34" s="20">
        <f>I34/(1-J34)</f>
        <v>26102.94</v>
      </c>
    </row>
    <row r="35" spans="1:11" x14ac:dyDescent="0.25">
      <c r="A35" s="69"/>
      <c r="B35" s="69" t="s">
        <v>74</v>
      </c>
      <c r="C35" s="69"/>
      <c r="D35" s="69"/>
      <c r="E35" s="69"/>
      <c r="F35" s="69"/>
      <c r="G35" s="69"/>
      <c r="H35" s="69"/>
      <c r="I35" s="70">
        <f>SUM(I29:I34)</f>
        <v>21689.85</v>
      </c>
      <c r="J35" s="69"/>
      <c r="K35" s="70">
        <f>SUM(K29:K34)</f>
        <v>27112.31</v>
      </c>
    </row>
    <row r="37" ht="24" customHeight="1" spans="1:11" x14ac:dyDescent="0.25">
      <c r="A37" s="25" t="s">
        <v>35</v>
      </c>
      <c r="B37" s="25" t="s">
        <v>149</v>
      </c>
      <c r="C37" s="25" t="s">
        <v>132</v>
      </c>
      <c r="D37" s="25" t="s">
        <v>133</v>
      </c>
      <c r="E37" s="25" t="s">
        <v>134</v>
      </c>
      <c r="F37" s="25" t="s">
        <v>135</v>
      </c>
      <c r="G37" s="25" t="s">
        <v>136</v>
      </c>
      <c r="H37" s="25" t="s">
        <v>35</v>
      </c>
      <c r="I37" s="25" t="s">
        <v>29</v>
      </c>
      <c r="J37" s="25" t="s">
        <v>123</v>
      </c>
      <c r="K37" s="25" t="s">
        <v>38</v>
      </c>
    </row>
    <row r="38" spans="1:11" x14ac:dyDescent="0.25">
      <c r="A38" s="33"/>
      <c r="B38" s="33" t="s">
        <v>150</v>
      </c>
      <c r="C38" s="67">
        <v>807.5</v>
      </c>
      <c r="D38" s="67">
        <v>0</v>
      </c>
      <c r="E38" s="67">
        <v>0</v>
      </c>
      <c r="F38" s="34">
        <v>0</v>
      </c>
      <c r="G38" s="67">
        <v>0</v>
      </c>
      <c r="H38" s="33"/>
      <c r="I38" s="34">
        <f>SUM(C38:G38)</f>
        <v>807.5</v>
      </c>
      <c r="J38" s="35">
        <f>$D$9</f>
        <v>0.2</v>
      </c>
      <c r="K38" s="34">
        <f>I38/(1-J38)</f>
        <v>1009.38</v>
      </c>
    </row>
    <row r="39" spans="2:11" x14ac:dyDescent="0.25">
      <c r="B39" t="s">
        <v>151</v>
      </c>
      <c r="C39" s="68">
        <v>0</v>
      </c>
      <c r="D39" s="68">
        <v>0</v>
      </c>
      <c r="E39" s="68">
        <v>0</v>
      </c>
      <c r="F39" s="20">
        <v>0</v>
      </c>
      <c r="G39" s="68">
        <v>0</v>
      </c>
      <c r="I39" s="20">
        <f>SUM(C39:G39)</f>
        <v>0</v>
      </c>
      <c r="J39" s="27">
        <f>$D$9</f>
        <v>0.2</v>
      </c>
      <c r="K39" s="20">
        <f>I39/(1-J39)</f>
        <v>0</v>
      </c>
    </row>
    <row r="40" spans="1:11" x14ac:dyDescent="0.25">
      <c r="A40" s="33"/>
      <c r="B40" s="33" t="s">
        <v>152</v>
      </c>
      <c r="C40" s="67">
        <v>0</v>
      </c>
      <c r="D40" s="67">
        <v>0</v>
      </c>
      <c r="E40" s="67">
        <v>0</v>
      </c>
      <c r="F40" s="34">
        <v>0</v>
      </c>
      <c r="G40" s="67">
        <v>0</v>
      </c>
      <c r="H40" s="33"/>
      <c r="I40" s="34">
        <f>SUM(C40:G40)</f>
        <v>0</v>
      </c>
      <c r="J40" s="35">
        <f>$D$9</f>
        <v>0.2</v>
      </c>
      <c r="K40" s="34">
        <f>I40/(1-J40)</f>
        <v>0</v>
      </c>
    </row>
    <row r="41" spans="2:11" x14ac:dyDescent="0.25">
      <c r="B41" t="s">
        <v>153</v>
      </c>
      <c r="C41" s="68">
        <v>0</v>
      </c>
      <c r="D41" s="68">
        <v>0</v>
      </c>
      <c r="E41" s="68">
        <v>0</v>
      </c>
      <c r="F41" s="20">
        <v>0</v>
      </c>
      <c r="G41" s="68">
        <v>0</v>
      </c>
      <c r="I41" s="20">
        <f>SUM(C41:G41)</f>
        <v>0</v>
      </c>
      <c r="J41" s="27">
        <f>$D$9</f>
        <v>0.2</v>
      </c>
      <c r="K41" s="20">
        <f>I41/(1-J41)</f>
        <v>0</v>
      </c>
    </row>
    <row r="42" spans="1:11" x14ac:dyDescent="0.25">
      <c r="A42" s="33"/>
      <c r="B42" s="33" t="s">
        <v>154</v>
      </c>
      <c r="C42" s="67">
        <v>0</v>
      </c>
      <c r="D42" s="67">
        <v>0</v>
      </c>
      <c r="E42" s="67">
        <v>0</v>
      </c>
      <c r="F42" s="34">
        <v>0</v>
      </c>
      <c r="G42" s="67">
        <v>0</v>
      </c>
      <c r="H42" s="33"/>
      <c r="I42" s="34">
        <f>SUM(C42:G42)</f>
        <v>0</v>
      </c>
      <c r="J42" s="35">
        <f>$D$9</f>
        <v>0.2</v>
      </c>
      <c r="K42" s="34">
        <f>I42/(1-J42)</f>
        <v>0</v>
      </c>
    </row>
    <row r="43" spans="2:11" x14ac:dyDescent="0.25">
      <c r="B43" t="s">
        <v>155</v>
      </c>
      <c r="C43" s="68">
        <v>0</v>
      </c>
      <c r="D43" s="68">
        <v>0</v>
      </c>
      <c r="E43" s="68">
        <v>0</v>
      </c>
      <c r="F43" s="20">
        <v>0</v>
      </c>
      <c r="G43" s="68">
        <v>0</v>
      </c>
      <c r="I43" s="20">
        <f>SUM(C43:G43)</f>
        <v>0</v>
      </c>
      <c r="J43" s="27">
        <f>$D$9</f>
        <v>0.2</v>
      </c>
      <c r="K43" s="20">
        <f>I43/(1-J43)</f>
        <v>0</v>
      </c>
    </row>
    <row r="44" spans="1:11" x14ac:dyDescent="0.25">
      <c r="A44" s="69"/>
      <c r="B44" s="69" t="s">
        <v>74</v>
      </c>
      <c r="C44" s="69"/>
      <c r="D44" s="69"/>
      <c r="E44" s="69"/>
      <c r="F44" s="69"/>
      <c r="G44" s="69"/>
      <c r="H44" s="69"/>
      <c r="I44" s="70">
        <f>SUM(I38:I43)</f>
        <v>807.5</v>
      </c>
      <c r="J44" s="69"/>
      <c r="K44" s="70">
        <f>SUM(K38:K43)</f>
        <v>1009.38</v>
      </c>
    </row>
    <row r="46" ht="24" customHeight="1" spans="1:11" x14ac:dyDescent="0.25">
      <c r="A46" s="25" t="s">
        <v>35</v>
      </c>
      <c r="B46" s="25" t="s">
        <v>156</v>
      </c>
      <c r="C46" s="25" t="s">
        <v>132</v>
      </c>
      <c r="D46" s="25" t="s">
        <v>133</v>
      </c>
      <c r="E46" s="25" t="s">
        <v>134</v>
      </c>
      <c r="F46" s="25" t="s">
        <v>135</v>
      </c>
      <c r="G46" s="25" t="s">
        <v>136</v>
      </c>
      <c r="H46" s="25" t="s">
        <v>35</v>
      </c>
      <c r="I46" s="25" t="s">
        <v>29</v>
      </c>
      <c r="J46" s="25" t="s">
        <v>123</v>
      </c>
      <c r="K46" s="25" t="s">
        <v>38</v>
      </c>
    </row>
    <row r="47" spans="1:11" x14ac:dyDescent="0.25">
      <c r="A47" s="33"/>
      <c r="B47" s="33" t="s">
        <v>157</v>
      </c>
      <c r="C47" s="67">
        <v>4705.88</v>
      </c>
      <c r="D47" s="67">
        <v>0</v>
      </c>
      <c r="E47" s="67">
        <v>0</v>
      </c>
      <c r="F47" s="34">
        <v>0</v>
      </c>
      <c r="G47" s="67">
        <v>0</v>
      </c>
      <c r="H47" s="33"/>
      <c r="I47" s="34">
        <f>SUM(C47:G47)</f>
        <v>4705.88</v>
      </c>
      <c r="J47" s="35">
        <f>$D$11</f>
        <v>0.2</v>
      </c>
      <c r="K47" s="34">
        <f>I47/(1-J47)</f>
        <v>5882.35</v>
      </c>
    </row>
    <row r="48" spans="2:11" x14ac:dyDescent="0.25">
      <c r="B48" t="s">
        <v>158</v>
      </c>
      <c r="C48" s="68">
        <v>0</v>
      </c>
      <c r="D48" s="68">
        <v>0</v>
      </c>
      <c r="E48" s="68">
        <v>0</v>
      </c>
      <c r="F48" s="20">
        <v>0</v>
      </c>
      <c r="G48" s="68">
        <v>0</v>
      </c>
      <c r="I48" s="20">
        <f>SUM(C48:G48)</f>
        <v>0</v>
      </c>
      <c r="J48" s="27">
        <f>$D$11</f>
        <v>0.2</v>
      </c>
      <c r="K48" s="20">
        <f>I48/(1-J48)</f>
        <v>0</v>
      </c>
    </row>
    <row r="49" spans="1:11" x14ac:dyDescent="0.25">
      <c r="A49" s="33"/>
      <c r="B49" s="33" t="s">
        <v>159</v>
      </c>
      <c r="C49" s="67">
        <v>0</v>
      </c>
      <c r="D49" s="67">
        <v>0</v>
      </c>
      <c r="E49" s="67">
        <v>0</v>
      </c>
      <c r="F49" s="34">
        <v>0</v>
      </c>
      <c r="G49" s="67">
        <v>0</v>
      </c>
      <c r="H49" s="33"/>
      <c r="I49" s="34">
        <f>SUM(C49:G49)</f>
        <v>0</v>
      </c>
      <c r="J49" s="35">
        <f>$D$11</f>
        <v>0.2</v>
      </c>
      <c r="K49" s="34">
        <f>I49/(1-J49)</f>
        <v>0</v>
      </c>
    </row>
    <row r="50" spans="2:11" x14ac:dyDescent="0.25">
      <c r="B50" t="s">
        <v>160</v>
      </c>
      <c r="C50" s="68">
        <v>0</v>
      </c>
      <c r="D50" s="68">
        <v>0</v>
      </c>
      <c r="E50" s="68">
        <v>0</v>
      </c>
      <c r="F50" s="20">
        <v>0</v>
      </c>
      <c r="G50" s="68">
        <v>0</v>
      </c>
      <c r="I50" s="20">
        <f>SUM(C50:G50)</f>
        <v>0</v>
      </c>
      <c r="J50" s="27">
        <f>$D$11</f>
        <v>0.2</v>
      </c>
      <c r="K50" s="20">
        <f>I50/(1-J50)</f>
        <v>0</v>
      </c>
    </row>
    <row r="51" spans="1:11" x14ac:dyDescent="0.25">
      <c r="A51" s="33"/>
      <c r="B51" s="33" t="s">
        <v>161</v>
      </c>
      <c r="C51" s="67">
        <v>0</v>
      </c>
      <c r="D51" s="67">
        <v>0</v>
      </c>
      <c r="E51" s="67">
        <v>0</v>
      </c>
      <c r="F51" s="34">
        <v>0</v>
      </c>
      <c r="G51" s="67">
        <v>0</v>
      </c>
      <c r="H51" s="33"/>
      <c r="I51" s="34">
        <f>SUM(C51:G51)</f>
        <v>0</v>
      </c>
      <c r="J51" s="35">
        <f>$D$11</f>
        <v>0.2</v>
      </c>
      <c r="K51" s="34">
        <f>I51/(1-J51)</f>
        <v>0</v>
      </c>
    </row>
    <row r="52" spans="1:11" x14ac:dyDescent="0.25">
      <c r="A52" s="69"/>
      <c r="B52" s="69" t="s">
        <v>74</v>
      </c>
      <c r="C52" s="69"/>
      <c r="D52" s="69"/>
      <c r="E52" s="69"/>
      <c r="F52" s="69"/>
      <c r="G52" s="69"/>
      <c r="H52" s="69"/>
      <c r="I52" s="70">
        <f>SUM(I47:I51)</f>
        <v>4705.88</v>
      </c>
      <c r="J52" s="69"/>
      <c r="K52" s="70">
        <f>SUM(K47:K51)</f>
        <v>5882.35</v>
      </c>
    </row>
    <row r="54" spans="1:11" x14ac:dyDescent="0.25">
      <c r="A54" s="28"/>
      <c r="B54" s="29" t="s">
        <v>162</v>
      </c>
      <c r="C54" s="28"/>
      <c r="D54" s="28"/>
      <c r="E54" s="28"/>
      <c r="F54" s="28"/>
      <c r="G54" s="28"/>
      <c r="H54" s="28"/>
      <c r="I54" s="30">
        <f>I26+I35+I44+I52</f>
        <v>28350.91</v>
      </c>
      <c r="J54" s="28"/>
      <c r="K54" s="30">
        <f>K26+K35+K44+K52</f>
        <v>34780.27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4" t="s">
        <v>120</v>
      </c>
    </row>
    <row r="4" spans="1:1" x14ac:dyDescent="0.25">
      <c r="A4" s="15" t="s">
        <v>9</v>
      </c>
    </row>
    <row r="5" spans="1:1" x14ac:dyDescent="0.25">
      <c r="A5" s="15" t="s">
        <v>121</v>
      </c>
    </row>
    <row r="7" spans="3:3" x14ac:dyDescent="0.25">
      <c r="C7" s="26" t="s">
        <v>122</v>
      </c>
    </row>
    <row r="8" spans="3:4" x14ac:dyDescent="0.25">
      <c r="C8" t="s">
        <v>123</v>
      </c>
      <c r="D8" s="21">
        <v>0.2</v>
      </c>
    </row>
    <row r="9" spans="3:4" x14ac:dyDescent="0.25">
      <c r="C9" t="s">
        <v>124</v>
      </c>
      <c r="D9" s="21">
        <v>0.2</v>
      </c>
    </row>
    <row r="10" spans="3:4" x14ac:dyDescent="0.25">
      <c r="C10" t="s">
        <v>99</v>
      </c>
      <c r="D10" s="21">
        <v>0.2</v>
      </c>
    </row>
    <row r="11" spans="3:4" x14ac:dyDescent="0.25">
      <c r="C11" t="s">
        <v>125</v>
      </c>
      <c r="D11" s="21">
        <v>0.2</v>
      </c>
    </row>
    <row r="15" spans="2:2" x14ac:dyDescent="0.25">
      <c r="B15" s="65" t="s">
        <v>164</v>
      </c>
    </row>
    <row r="16" spans="2:5" x14ac:dyDescent="0.25">
      <c r="B16" s="4" t="s">
        <v>127</v>
      </c>
      <c r="C16" s="4" t="s">
        <v>128</v>
      </c>
      <c r="D16" s="4" t="s">
        <v>129</v>
      </c>
      <c r="E16" s="4" t="s">
        <v>130</v>
      </c>
    </row>
    <row r="17" spans="2:5" x14ac:dyDescent="0.25">
      <c r="B17" s="49">
        <v>0</v>
      </c>
      <c r="C17" s="49">
        <v>0</v>
      </c>
      <c r="D17" s="66">
        <v>0</v>
      </c>
      <c r="E17">
        <v>1</v>
      </c>
    </row>
    <row r="19" ht="24" customHeight="1" spans="1:11" x14ac:dyDescent="0.25">
      <c r="A19" s="25" t="s">
        <v>35</v>
      </c>
      <c r="B19" s="25" t="s">
        <v>131</v>
      </c>
      <c r="C19" s="25" t="s">
        <v>132</v>
      </c>
      <c r="D19" s="25" t="s">
        <v>133</v>
      </c>
      <c r="E19" s="25" t="s">
        <v>134</v>
      </c>
      <c r="F19" s="25" t="s">
        <v>135</v>
      </c>
      <c r="G19" s="25" t="s">
        <v>136</v>
      </c>
      <c r="H19" s="25" t="s">
        <v>35</v>
      </c>
      <c r="I19" s="25" t="s">
        <v>29</v>
      </c>
      <c r="J19" s="25" t="s">
        <v>123</v>
      </c>
      <c r="K19" s="25" t="s">
        <v>38</v>
      </c>
    </row>
    <row r="20" spans="1:11" x14ac:dyDescent="0.25">
      <c r="A20" s="33"/>
      <c r="B20" s="33" t="s">
        <v>137</v>
      </c>
      <c r="C20" s="67">
        <v>0</v>
      </c>
      <c r="D20" s="67">
        <v>0</v>
      </c>
      <c r="E20" s="67">
        <v>0</v>
      </c>
      <c r="F20" s="34">
        <v>0</v>
      </c>
      <c r="G20" s="67">
        <v>0</v>
      </c>
      <c r="H20" s="33"/>
      <c r="I20" s="34">
        <f>SUM(C20:G20)</f>
        <v>0</v>
      </c>
      <c r="J20" s="35">
        <f>$D$8</f>
        <v>0.2</v>
      </c>
      <c r="K20" s="34">
        <f>I20/(1-J20)</f>
        <v>0</v>
      </c>
    </row>
    <row r="21" spans="2:11" x14ac:dyDescent="0.25">
      <c r="B21" t="s">
        <v>138</v>
      </c>
      <c r="C21" s="68">
        <v>0</v>
      </c>
      <c r="D21" s="68">
        <v>0</v>
      </c>
      <c r="E21" s="68">
        <v>0</v>
      </c>
      <c r="F21" s="20">
        <v>0</v>
      </c>
      <c r="G21" s="68">
        <v>0</v>
      </c>
      <c r="I21" s="20">
        <f>SUM(C21:G21)</f>
        <v>0</v>
      </c>
      <c r="J21" s="27">
        <f>$D$8</f>
        <v>0.2</v>
      </c>
      <c r="K21" s="20">
        <f>I21/(1-J21)</f>
        <v>0</v>
      </c>
    </row>
    <row r="22" spans="1:11" x14ac:dyDescent="0.25">
      <c r="A22" s="33"/>
      <c r="B22" s="33" t="s">
        <v>139</v>
      </c>
      <c r="C22" s="67">
        <v>0</v>
      </c>
      <c r="D22" s="67">
        <v>0</v>
      </c>
      <c r="E22" s="67">
        <v>0</v>
      </c>
      <c r="F22" s="34">
        <v>0</v>
      </c>
      <c r="G22" s="67">
        <v>0</v>
      </c>
      <c r="H22" s="33"/>
      <c r="I22" s="34">
        <f>SUM(C22:G22)</f>
        <v>0</v>
      </c>
      <c r="J22" s="35">
        <f>$D$8</f>
        <v>0.2</v>
      </c>
      <c r="K22" s="34">
        <f>I22/(1-J22)</f>
        <v>0</v>
      </c>
    </row>
    <row r="23" spans="2:11" x14ac:dyDescent="0.25">
      <c r="B23" t="s">
        <v>140</v>
      </c>
      <c r="C23" s="68">
        <v>0</v>
      </c>
      <c r="D23" s="68">
        <v>0</v>
      </c>
      <c r="E23" s="68">
        <v>0</v>
      </c>
      <c r="F23" s="20">
        <v>0</v>
      </c>
      <c r="G23" s="68">
        <v>0</v>
      </c>
      <c r="I23" s="20">
        <f>SUM(C23:G23)</f>
        <v>0</v>
      </c>
      <c r="J23" s="27">
        <f>$D$8</f>
        <v>0.2</v>
      </c>
      <c r="K23" s="20">
        <f>I23/(1-J23)</f>
        <v>0</v>
      </c>
    </row>
    <row r="24" spans="1:11" x14ac:dyDescent="0.25">
      <c r="A24" s="33"/>
      <c r="B24" s="33" t="s">
        <v>141</v>
      </c>
      <c r="C24" s="67">
        <v>0</v>
      </c>
      <c r="D24" s="67">
        <v>0</v>
      </c>
      <c r="E24" s="67">
        <v>0</v>
      </c>
      <c r="F24" s="34">
        <v>0</v>
      </c>
      <c r="G24" s="67">
        <v>0</v>
      </c>
      <c r="H24" s="33"/>
      <c r="I24" s="34">
        <f>SUM(C24:G24)</f>
        <v>0</v>
      </c>
      <c r="J24" s="35">
        <f>$D$8</f>
        <v>0.2</v>
      </c>
      <c r="K24" s="34">
        <f>I24/(1-J24)</f>
        <v>0</v>
      </c>
    </row>
    <row r="25" spans="2:11" x14ac:dyDescent="0.25">
      <c r="B25" t="s">
        <v>141</v>
      </c>
      <c r="C25" s="68">
        <v>0</v>
      </c>
      <c r="D25" s="68">
        <v>0</v>
      </c>
      <c r="E25" s="68">
        <v>0</v>
      </c>
      <c r="F25" s="20">
        <v>0</v>
      </c>
      <c r="G25" s="68">
        <v>0</v>
      </c>
      <c r="I25" s="20">
        <f>SUM(C25:G25)</f>
        <v>0</v>
      </c>
      <c r="J25" s="27">
        <f>$D$8</f>
        <v>0.2</v>
      </c>
      <c r="K25" s="20">
        <f>I25/(1-J25)</f>
        <v>0</v>
      </c>
    </row>
    <row r="26" spans="1:11" x14ac:dyDescent="0.25">
      <c r="A26" s="69"/>
      <c r="B26" s="69" t="s">
        <v>74</v>
      </c>
      <c r="C26" s="69"/>
      <c r="D26" s="69"/>
      <c r="E26" s="69"/>
      <c r="F26" s="69"/>
      <c r="G26" s="69"/>
      <c r="H26" s="69"/>
      <c r="I26" s="70">
        <f>SUM(I20:I25)</f>
        <v>0</v>
      </c>
      <c r="J26" s="69"/>
      <c r="K26" s="70">
        <f>SUM(K20:K25)</f>
        <v>0</v>
      </c>
    </row>
    <row r="28" ht="24" customHeight="1" spans="1:11" x14ac:dyDescent="0.25">
      <c r="A28" s="25" t="s">
        <v>35</v>
      </c>
      <c r="B28" s="25" t="s">
        <v>142</v>
      </c>
      <c r="C28" s="25" t="s">
        <v>132</v>
      </c>
      <c r="D28" s="25" t="s">
        <v>133</v>
      </c>
      <c r="E28" s="25" t="s">
        <v>134</v>
      </c>
      <c r="F28" s="25" t="s">
        <v>135</v>
      </c>
      <c r="G28" s="25" t="s">
        <v>136</v>
      </c>
      <c r="H28" s="25" t="s">
        <v>35</v>
      </c>
      <c r="I28" s="25" t="s">
        <v>29</v>
      </c>
      <c r="J28" s="25" t="s">
        <v>123</v>
      </c>
      <c r="K28" s="25" t="s">
        <v>38</v>
      </c>
    </row>
    <row r="29" spans="1:11" x14ac:dyDescent="0.25">
      <c r="A29" s="33"/>
      <c r="B29" s="33" t="s">
        <v>143</v>
      </c>
      <c r="C29" s="67">
        <v>0</v>
      </c>
      <c r="D29" s="67">
        <v>0</v>
      </c>
      <c r="E29" s="67">
        <v>0</v>
      </c>
      <c r="F29" s="34">
        <v>0</v>
      </c>
      <c r="G29" s="67">
        <v>0</v>
      </c>
      <c r="H29" s="33"/>
      <c r="I29" s="34">
        <f>SUM(C29:G29)</f>
        <v>0</v>
      </c>
      <c r="J29" s="35">
        <f>$D$8</f>
        <v>0.2</v>
      </c>
      <c r="K29" s="34">
        <f>I29/(1-J29)</f>
        <v>0</v>
      </c>
    </row>
    <row r="30" spans="2:11" x14ac:dyDescent="0.25">
      <c r="B30" t="s">
        <v>144</v>
      </c>
      <c r="C30" s="68">
        <v>0</v>
      </c>
      <c r="D30" s="68">
        <v>0</v>
      </c>
      <c r="E30" s="68">
        <v>0</v>
      </c>
      <c r="F30" s="20">
        <v>0</v>
      </c>
      <c r="G30" s="68">
        <v>0</v>
      </c>
      <c r="I30" s="20">
        <f>SUM(C30:G30)</f>
        <v>0</v>
      </c>
      <c r="J30" s="27">
        <f>$D$8</f>
        <v>0.2</v>
      </c>
      <c r="K30" s="20">
        <f>I30/(1-J30)</f>
        <v>0</v>
      </c>
    </row>
    <row r="31" spans="1:11" x14ac:dyDescent="0.25">
      <c r="A31" s="33"/>
      <c r="B31" s="33" t="s">
        <v>145</v>
      </c>
      <c r="C31" s="67">
        <v>0</v>
      </c>
      <c r="D31" s="67">
        <v>0</v>
      </c>
      <c r="E31" s="67">
        <v>0</v>
      </c>
      <c r="F31" s="34">
        <v>0</v>
      </c>
      <c r="G31" s="67">
        <v>0</v>
      </c>
      <c r="H31" s="33"/>
      <c r="I31" s="34">
        <f>SUM(C31:G31)</f>
        <v>0</v>
      </c>
      <c r="J31" s="35">
        <f>$D$8</f>
        <v>0.2</v>
      </c>
      <c r="K31" s="34">
        <f>I31/(1-J31)</f>
        <v>0</v>
      </c>
    </row>
    <row r="32" spans="2:11" x14ac:dyDescent="0.25">
      <c r="B32" t="s">
        <v>146</v>
      </c>
      <c r="C32" s="68">
        <v>0</v>
      </c>
      <c r="D32" s="68">
        <v>0</v>
      </c>
      <c r="E32" s="68">
        <v>0</v>
      </c>
      <c r="F32" s="20">
        <v>0</v>
      </c>
      <c r="G32" s="68">
        <v>0</v>
      </c>
      <c r="I32" s="20">
        <f>SUM(C32:G32)</f>
        <v>0</v>
      </c>
      <c r="J32" s="27">
        <f>$D$8</f>
        <v>0.2</v>
      </c>
      <c r="K32" s="20">
        <f>I32/(1-J32)</f>
        <v>0</v>
      </c>
    </row>
    <row r="33" spans="1:11" x14ac:dyDescent="0.25">
      <c r="A33" s="33"/>
      <c r="B33" s="33" t="s">
        <v>147</v>
      </c>
      <c r="C33" s="67">
        <v>0</v>
      </c>
      <c r="D33" s="67">
        <v>0</v>
      </c>
      <c r="E33" s="67">
        <v>0</v>
      </c>
      <c r="F33" s="34">
        <v>0</v>
      </c>
      <c r="G33" s="67">
        <v>0</v>
      </c>
      <c r="H33" s="33"/>
      <c r="I33" s="34">
        <f>SUM(C33:G33)</f>
        <v>0</v>
      </c>
      <c r="J33" s="35">
        <f>$D$8</f>
        <v>0.2</v>
      </c>
      <c r="K33" s="34">
        <f>I33/(1-J33)</f>
        <v>0</v>
      </c>
    </row>
    <row r="34" spans="2:11" x14ac:dyDescent="0.25">
      <c r="B34" t="s">
        <v>148</v>
      </c>
      <c r="C34" s="68">
        <v>5882.35</v>
      </c>
      <c r="D34" s="68">
        <v>0</v>
      </c>
      <c r="E34" s="68">
        <v>0</v>
      </c>
      <c r="F34" s="20">
        <v>0</v>
      </c>
      <c r="G34" s="68">
        <v>0</v>
      </c>
      <c r="I34" s="20">
        <f>SUM(C34:G34)</f>
        <v>5882.35</v>
      </c>
      <c r="J34" s="27">
        <f>$D$8</f>
        <v>0.2</v>
      </c>
      <c r="K34" s="20">
        <f>I34/(1-J34)</f>
        <v>7352.94</v>
      </c>
    </row>
    <row r="35" spans="1:11" x14ac:dyDescent="0.25">
      <c r="A35" s="69"/>
      <c r="B35" s="69" t="s">
        <v>74</v>
      </c>
      <c r="C35" s="69"/>
      <c r="D35" s="69"/>
      <c r="E35" s="69"/>
      <c r="F35" s="69"/>
      <c r="G35" s="69"/>
      <c r="H35" s="69"/>
      <c r="I35" s="70">
        <f>SUM(I29:I34)</f>
        <v>5882.35</v>
      </c>
      <c r="J35" s="69"/>
      <c r="K35" s="70">
        <f>SUM(K29:K34)</f>
        <v>7352.94</v>
      </c>
    </row>
    <row r="37" ht="24" customHeight="1" spans="1:11" x14ac:dyDescent="0.25">
      <c r="A37" s="25" t="s">
        <v>35</v>
      </c>
      <c r="B37" s="25" t="s">
        <v>149</v>
      </c>
      <c r="C37" s="25" t="s">
        <v>132</v>
      </c>
      <c r="D37" s="25" t="s">
        <v>133</v>
      </c>
      <c r="E37" s="25" t="s">
        <v>134</v>
      </c>
      <c r="F37" s="25" t="s">
        <v>135</v>
      </c>
      <c r="G37" s="25" t="s">
        <v>136</v>
      </c>
      <c r="H37" s="25" t="s">
        <v>35</v>
      </c>
      <c r="I37" s="25" t="s">
        <v>29</v>
      </c>
      <c r="J37" s="25" t="s">
        <v>123</v>
      </c>
      <c r="K37" s="25" t="s">
        <v>38</v>
      </c>
    </row>
    <row r="38" spans="1:11" x14ac:dyDescent="0.25">
      <c r="A38" s="33"/>
      <c r="B38" s="33" t="s">
        <v>150</v>
      </c>
      <c r="C38" s="67">
        <v>0</v>
      </c>
      <c r="D38" s="67">
        <v>0</v>
      </c>
      <c r="E38" s="67">
        <v>0</v>
      </c>
      <c r="F38" s="34">
        <v>0</v>
      </c>
      <c r="G38" s="67">
        <v>0</v>
      </c>
      <c r="H38" s="33"/>
      <c r="I38" s="34">
        <f>SUM(C38:G38)</f>
        <v>0</v>
      </c>
      <c r="J38" s="35">
        <f>$D$9</f>
        <v>0.2</v>
      </c>
      <c r="K38" s="34">
        <f>I38/(1-J38)</f>
        <v>0</v>
      </c>
    </row>
    <row r="39" spans="2:11" x14ac:dyDescent="0.25">
      <c r="B39" t="s">
        <v>151</v>
      </c>
      <c r="C39" s="68">
        <v>0</v>
      </c>
      <c r="D39" s="68">
        <v>0</v>
      </c>
      <c r="E39" s="68">
        <v>0</v>
      </c>
      <c r="F39" s="20">
        <v>0</v>
      </c>
      <c r="G39" s="68">
        <v>0</v>
      </c>
      <c r="I39" s="20">
        <f>SUM(C39:G39)</f>
        <v>0</v>
      </c>
      <c r="J39" s="27">
        <f>$D$9</f>
        <v>0.2</v>
      </c>
      <c r="K39" s="20">
        <f>I39/(1-J39)</f>
        <v>0</v>
      </c>
    </row>
    <row r="40" spans="1:11" x14ac:dyDescent="0.25">
      <c r="A40" s="33"/>
      <c r="B40" s="33" t="s">
        <v>152</v>
      </c>
      <c r="C40" s="67">
        <v>0</v>
      </c>
      <c r="D40" s="67">
        <v>0</v>
      </c>
      <c r="E40" s="67">
        <v>0</v>
      </c>
      <c r="F40" s="34">
        <v>0</v>
      </c>
      <c r="G40" s="67">
        <v>0</v>
      </c>
      <c r="H40" s="33"/>
      <c r="I40" s="34">
        <f>SUM(C40:G40)</f>
        <v>0</v>
      </c>
      <c r="J40" s="35">
        <f>$D$9</f>
        <v>0.2</v>
      </c>
      <c r="K40" s="34">
        <f>I40/(1-J40)</f>
        <v>0</v>
      </c>
    </row>
    <row r="41" spans="2:11" x14ac:dyDescent="0.25">
      <c r="B41" t="s">
        <v>153</v>
      </c>
      <c r="C41" s="68">
        <v>0</v>
      </c>
      <c r="D41" s="68">
        <v>0</v>
      </c>
      <c r="E41" s="68">
        <v>0</v>
      </c>
      <c r="F41" s="20">
        <v>0</v>
      </c>
      <c r="G41" s="68">
        <v>0</v>
      </c>
      <c r="I41" s="20">
        <f>SUM(C41:G41)</f>
        <v>0</v>
      </c>
      <c r="J41" s="27">
        <f>$D$9</f>
        <v>0.2</v>
      </c>
      <c r="K41" s="20">
        <f>I41/(1-J41)</f>
        <v>0</v>
      </c>
    </row>
    <row r="42" spans="1:11" x14ac:dyDescent="0.25">
      <c r="A42" s="33"/>
      <c r="B42" s="33" t="s">
        <v>154</v>
      </c>
      <c r="C42" s="67">
        <v>0</v>
      </c>
      <c r="D42" s="67">
        <v>0</v>
      </c>
      <c r="E42" s="67">
        <v>0</v>
      </c>
      <c r="F42" s="34">
        <v>0</v>
      </c>
      <c r="G42" s="67">
        <v>0</v>
      </c>
      <c r="H42" s="33"/>
      <c r="I42" s="34">
        <f>SUM(C42:G42)</f>
        <v>0</v>
      </c>
      <c r="J42" s="35">
        <f>$D$9</f>
        <v>0.2</v>
      </c>
      <c r="K42" s="34">
        <f>I42/(1-J42)</f>
        <v>0</v>
      </c>
    </row>
    <row r="43" spans="2:11" x14ac:dyDescent="0.25">
      <c r="B43" t="s">
        <v>155</v>
      </c>
      <c r="C43" s="68">
        <v>0</v>
      </c>
      <c r="D43" s="68">
        <v>0</v>
      </c>
      <c r="E43" s="68">
        <v>0</v>
      </c>
      <c r="F43" s="20">
        <v>0</v>
      </c>
      <c r="G43" s="68">
        <v>0</v>
      </c>
      <c r="I43" s="20">
        <f>SUM(C43:G43)</f>
        <v>0</v>
      </c>
      <c r="J43" s="27">
        <f>$D$9</f>
        <v>0.2</v>
      </c>
      <c r="K43" s="20">
        <f>I43/(1-J43)</f>
        <v>0</v>
      </c>
    </row>
    <row r="44" spans="1:11" x14ac:dyDescent="0.25">
      <c r="A44" s="69"/>
      <c r="B44" s="69" t="s">
        <v>74</v>
      </c>
      <c r="C44" s="69"/>
      <c r="D44" s="69"/>
      <c r="E44" s="69"/>
      <c r="F44" s="69"/>
      <c r="G44" s="69"/>
      <c r="H44" s="69"/>
      <c r="I44" s="70">
        <f>SUM(I38:I43)</f>
        <v>0</v>
      </c>
      <c r="J44" s="69"/>
      <c r="K44" s="70">
        <f>SUM(K38:K43)</f>
        <v>0</v>
      </c>
    </row>
    <row r="46" ht="24" customHeight="1" spans="1:11" x14ac:dyDescent="0.25">
      <c r="A46" s="25" t="s">
        <v>35</v>
      </c>
      <c r="B46" s="25" t="s">
        <v>156</v>
      </c>
      <c r="C46" s="25" t="s">
        <v>132</v>
      </c>
      <c r="D46" s="25" t="s">
        <v>133</v>
      </c>
      <c r="E46" s="25" t="s">
        <v>134</v>
      </c>
      <c r="F46" s="25" t="s">
        <v>135</v>
      </c>
      <c r="G46" s="25" t="s">
        <v>136</v>
      </c>
      <c r="H46" s="25" t="s">
        <v>35</v>
      </c>
      <c r="I46" s="25" t="s">
        <v>29</v>
      </c>
      <c r="J46" s="25" t="s">
        <v>123</v>
      </c>
      <c r="K46" s="25" t="s">
        <v>38</v>
      </c>
    </row>
    <row r="47" spans="1:11" x14ac:dyDescent="0.25">
      <c r="A47" s="33"/>
      <c r="B47" s="33" t="s">
        <v>157</v>
      </c>
      <c r="C47" s="67">
        <v>4705.88</v>
      </c>
      <c r="D47" s="67">
        <v>0</v>
      </c>
      <c r="E47" s="67">
        <v>0</v>
      </c>
      <c r="F47" s="34">
        <v>0</v>
      </c>
      <c r="G47" s="67">
        <v>0</v>
      </c>
      <c r="H47" s="33"/>
      <c r="I47" s="34">
        <f>SUM(C47:G47)</f>
        <v>4705.88</v>
      </c>
      <c r="J47" s="35">
        <f>$D$11</f>
        <v>0.2</v>
      </c>
      <c r="K47" s="34">
        <f>I47/(1-J47)</f>
        <v>5882.35</v>
      </c>
    </row>
    <row r="48" spans="2:11" x14ac:dyDescent="0.25">
      <c r="B48" t="s">
        <v>158</v>
      </c>
      <c r="C48" s="68">
        <v>0</v>
      </c>
      <c r="D48" s="68">
        <v>0</v>
      </c>
      <c r="E48" s="68">
        <v>0</v>
      </c>
      <c r="F48" s="20">
        <v>0</v>
      </c>
      <c r="G48" s="68">
        <v>0</v>
      </c>
      <c r="I48" s="20">
        <f>SUM(C48:G48)</f>
        <v>0</v>
      </c>
      <c r="J48" s="27">
        <f>$D$11</f>
        <v>0.2</v>
      </c>
      <c r="K48" s="20">
        <f>I48/(1-J48)</f>
        <v>0</v>
      </c>
    </row>
    <row r="49" spans="1:11" x14ac:dyDescent="0.25">
      <c r="A49" s="33"/>
      <c r="B49" s="33" t="s">
        <v>159</v>
      </c>
      <c r="C49" s="67">
        <v>0</v>
      </c>
      <c r="D49" s="67">
        <v>0</v>
      </c>
      <c r="E49" s="67">
        <v>0</v>
      </c>
      <c r="F49" s="34">
        <v>0</v>
      </c>
      <c r="G49" s="67">
        <v>0</v>
      </c>
      <c r="H49" s="33"/>
      <c r="I49" s="34">
        <f>SUM(C49:G49)</f>
        <v>0</v>
      </c>
      <c r="J49" s="35">
        <f>$D$11</f>
        <v>0.2</v>
      </c>
      <c r="K49" s="34">
        <f>I49/(1-J49)</f>
        <v>0</v>
      </c>
    </row>
    <row r="50" spans="2:11" x14ac:dyDescent="0.25">
      <c r="B50" t="s">
        <v>160</v>
      </c>
      <c r="C50" s="68">
        <v>0</v>
      </c>
      <c r="D50" s="68">
        <v>0</v>
      </c>
      <c r="E50" s="68">
        <v>0</v>
      </c>
      <c r="F50" s="20">
        <v>0</v>
      </c>
      <c r="G50" s="68">
        <v>0</v>
      </c>
      <c r="I50" s="20">
        <f>SUM(C50:G50)</f>
        <v>0</v>
      </c>
      <c r="J50" s="27">
        <f>$D$11</f>
        <v>0.2</v>
      </c>
      <c r="K50" s="20">
        <f>I50/(1-J50)</f>
        <v>0</v>
      </c>
    </row>
    <row r="51" spans="1:11" x14ac:dyDescent="0.25">
      <c r="A51" s="33"/>
      <c r="B51" s="33" t="s">
        <v>161</v>
      </c>
      <c r="C51" s="67">
        <v>0</v>
      </c>
      <c r="D51" s="67">
        <v>0</v>
      </c>
      <c r="E51" s="67">
        <v>0</v>
      </c>
      <c r="F51" s="34">
        <v>0</v>
      </c>
      <c r="G51" s="67">
        <v>0</v>
      </c>
      <c r="H51" s="33"/>
      <c r="I51" s="34">
        <f>SUM(C51:G51)</f>
        <v>0</v>
      </c>
      <c r="J51" s="35">
        <f>$D$11</f>
        <v>0.2</v>
      </c>
      <c r="K51" s="34">
        <f>I51/(1-J51)</f>
        <v>0</v>
      </c>
    </row>
    <row r="52" spans="1:11" x14ac:dyDescent="0.25">
      <c r="A52" s="69"/>
      <c r="B52" s="69" t="s">
        <v>74</v>
      </c>
      <c r="C52" s="69"/>
      <c r="D52" s="69"/>
      <c r="E52" s="69"/>
      <c r="F52" s="69"/>
      <c r="G52" s="69"/>
      <c r="H52" s="69"/>
      <c r="I52" s="70">
        <f>SUM(I47:I51)</f>
        <v>4705.88</v>
      </c>
      <c r="J52" s="69"/>
      <c r="K52" s="70">
        <f>SUM(K47:K51)</f>
        <v>5882.35</v>
      </c>
    </row>
    <row r="54" spans="1:11" x14ac:dyDescent="0.25">
      <c r="A54" s="28"/>
      <c r="B54" s="29" t="s">
        <v>162</v>
      </c>
      <c r="C54" s="28"/>
      <c r="D54" s="28"/>
      <c r="E54" s="28"/>
      <c r="F54" s="28"/>
      <c r="G54" s="28"/>
      <c r="H54" s="28"/>
      <c r="I54" s="30">
        <f>I26+I35+I44+I52</f>
        <v>13088.23</v>
      </c>
      <c r="J54" s="28"/>
      <c r="K54" s="30">
        <f>K26+K35+K44+K52</f>
        <v>16176.47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5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165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80</v>
      </c>
      <c r="C4" s="25" t="s">
        <v>166</v>
      </c>
      <c r="D4" s="25" t="s">
        <v>167</v>
      </c>
      <c r="E4" s="25" t="s">
        <v>168</v>
      </c>
      <c r="F4" s="25" t="s">
        <v>169</v>
      </c>
      <c r="G4" s="25" t="s">
        <v>170</v>
      </c>
      <c r="H4" s="25" t="s">
        <v>171</v>
      </c>
      <c r="I4" s="25" t="s">
        <v>172</v>
      </c>
    </row>
    <row r="5" spans="1:9" x14ac:dyDescent="0.25">
      <c r="A5" s="33"/>
      <c r="B5" s="41" t="s">
        <v>173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174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175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5" t="s">
        <v>176</v>
      </c>
    </row>
    <row r="11" ht="28" customHeight="1" spans="1:9" x14ac:dyDescent="0.25">
      <c r="A11" s="3" t="s">
        <v>35</v>
      </c>
      <c r="B11" s="3" t="s">
        <v>80</v>
      </c>
      <c r="C11" s="3" t="s">
        <v>166</v>
      </c>
      <c r="D11" s="3" t="s">
        <v>167</v>
      </c>
      <c r="E11" s="3" t="s">
        <v>91</v>
      </c>
      <c r="F11" s="3" t="s">
        <v>177</v>
      </c>
      <c r="G11" s="3" t="s">
        <v>178</v>
      </c>
      <c r="H11" s="3" t="s">
        <v>179</v>
      </c>
      <c r="I11" s="3" t="s">
        <v>180</v>
      </c>
    </row>
    <row r="12" spans="1:9" x14ac:dyDescent="0.25">
      <c r="A12" s="33"/>
      <c r="B12" s="33" t="str">
        <f>'LED Cost Sheet'!A4</f>
        <v>Courtside Table</v>
      </c>
      <c r="C12" s="46">
        <f>'LED Cost Sheet'!K4</f>
        <v>768</v>
      </c>
      <c r="D12" s="46">
        <f>'LED Cost Sheet'!J4</f>
        <v>192</v>
      </c>
      <c r="E12" s="33">
        <f>'LED Cost Sheet'!L4</f>
        <v>1</v>
      </c>
      <c r="F12" s="46">
        <f>C12*D12*E12</f>
        <v>147456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Stanchion</v>
      </c>
      <c r="C13" s="53">
        <f>'LED Cost Sheet'!K5</f>
        <v>345</v>
      </c>
      <c r="D13" s="53">
        <f>'LED Cost Sheet'!J5</f>
        <v>207</v>
      </c>
      <c r="E13">
        <f>'LED Cost Sheet'!L5</f>
        <v>1</v>
      </c>
      <c r="F13" s="53">
        <f>C13*D13*E13</f>
        <v>71415</v>
      </c>
      <c r="G13">
        <f>IFERROR(CEILING(F13/650000,1),0)</f>
        <v>1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Main Scoreboard</v>
      </c>
      <c r="C14" s="46">
        <f>'LED Cost Sheet'!K6</f>
        <v>0</v>
      </c>
      <c r="D14" s="46">
        <f>'LED Cost Sheet'!J6</f>
        <v>0</v>
      </c>
      <c r="E14" s="33">
        <f>'LED Cost Sheet'!L6</f>
        <v>1</v>
      </c>
      <c r="F14" s="46">
        <f>C14*D14*E14</f>
        <v>0</v>
      </c>
      <c r="G14" s="33">
        <f>IFERROR(CEILING(F14/650000,1),0)</f>
        <v>0</v>
      </c>
      <c r="H14" s="33" t="str">
        <f>IF(G14&gt;8,"MCTRL4K","660 Pro")</f>
        <v>660 Pro</v>
      </c>
      <c r="I14" s="33">
        <f>IFERROR(CEILING(G14/IF(G14&gt;8,16,8),1),0)</f>
        <v>0</v>
      </c>
    </row>
    <row r="15" spans="1:9" x14ac:dyDescent="0.25">
      <c r="A15" s="56"/>
      <c r="B15" s="56" t="s">
        <v>181</v>
      </c>
      <c r="C15" s="56"/>
      <c r="D15" s="56"/>
      <c r="E15" s="56"/>
      <c r="F15" s="58">
        <f>SUM(F12:F14)</f>
        <v>218871</v>
      </c>
      <c r="G15" s="56">
        <f>SUM(G12:G14)</f>
        <v>2</v>
      </c>
      <c r="H15" s="56"/>
      <c r="I15" s="56">
        <f>SUM(I12:I14)</f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1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182</v>
      </c>
      <c r="B1" s="1"/>
      <c r="C1" s="1"/>
      <c r="D1" s="1"/>
    </row>
    <row r="2" spans="1:4" x14ac:dyDescent="0.25">
      <c r="A2" s="2" t="s">
        <v>183</v>
      </c>
      <c r="B2" s="2"/>
      <c r="C2" s="2"/>
      <c r="D2" s="2"/>
    </row>
    <row r="6" ht="28" customHeight="1" spans="1:8" x14ac:dyDescent="0.25">
      <c r="A6" s="25" t="s">
        <v>66</v>
      </c>
      <c r="B6" s="25" t="s">
        <v>184</v>
      </c>
      <c r="C6" s="25" t="s">
        <v>37</v>
      </c>
      <c r="D6" s="25" t="s">
        <v>91</v>
      </c>
      <c r="E6" s="25" t="s">
        <v>29</v>
      </c>
      <c r="F6" s="25" t="s">
        <v>185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186</v>
      </c>
      <c r="B8" s="33" t="s">
        <v>187</v>
      </c>
      <c r="C8" s="67">
        <v>450</v>
      </c>
      <c r="D8" s="47">
        <v>1</v>
      </c>
      <c r="E8" s="34">
        <f>C8*D8</f>
        <v>450</v>
      </c>
      <c r="F8" s="71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186</v>
      </c>
      <c r="B9" t="s">
        <v>188</v>
      </c>
      <c r="C9" s="68">
        <v>14.51</v>
      </c>
      <c r="D9" s="54">
        <v>1</v>
      </c>
      <c r="E9" s="20">
        <f>C9*D9</f>
        <v>14.51</v>
      </c>
      <c r="F9" s="21">
        <v>0.15</v>
      </c>
      <c r="G9" s="20">
        <f>IFERROR(E9/(1-F9),0)</f>
        <v>17.07</v>
      </c>
      <c r="H9" s="20">
        <f>IFERROR(G9-E9,0)</f>
        <v>2.56</v>
      </c>
    </row>
    <row r="10" spans="2:8" x14ac:dyDescent="0.25">
      <c r="B10" s="26" t="s">
        <v>189</v>
      </c>
      <c r="E10" s="55">
        <f>SUM(E8:E9)</f>
        <v>464.51</v>
      </c>
      <c r="G10" s="20">
        <f>SUM(G8:G9)</f>
        <v>546.48</v>
      </c>
      <c r="H10" s="20">
        <f>IFERROR(G10-E10,0)</f>
        <v>81.96999999999996</v>
      </c>
    </row>
    <row r="12" spans="1:1" s="33" customFormat="1" x14ac:dyDescent="0.25">
      <c r="A12" s="41" t="s">
        <v>53</v>
      </c>
    </row>
    <row r="13" spans="1:8" x14ac:dyDescent="0.25">
      <c r="A13" t="s">
        <v>186</v>
      </c>
      <c r="B13" t="s">
        <v>187</v>
      </c>
      <c r="C13" s="68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186</v>
      </c>
      <c r="B14" s="33" t="s">
        <v>188</v>
      </c>
      <c r="C14" s="67">
        <v>3.88</v>
      </c>
      <c r="D14" s="47">
        <v>1</v>
      </c>
      <c r="E14" s="34">
        <f>C14*D14</f>
        <v>3.88</v>
      </c>
      <c r="F14" s="71">
        <v>0.15</v>
      </c>
      <c r="G14" s="34">
        <f>IFERROR(E14/(1-F14),0)</f>
        <v>4.56</v>
      </c>
      <c r="H14" s="34">
        <f>IFERROR(G14-E14,0)</f>
        <v>0.68</v>
      </c>
    </row>
    <row r="15" spans="2:8" x14ac:dyDescent="0.25">
      <c r="B15" s="26" t="s">
        <v>189</v>
      </c>
      <c r="E15" s="55">
        <f>SUM(E13:E14)</f>
        <v>453.88</v>
      </c>
      <c r="G15" s="20">
        <f>SUM(G13:G14)</f>
        <v>533.9699999999999</v>
      </c>
      <c r="H15" s="20">
        <f>IFERROR(G15-E15,0)</f>
        <v>80.08999999999997</v>
      </c>
    </row>
    <row r="17" spans="1:1" s="33" customFormat="1" x14ac:dyDescent="0.25">
      <c r="A17" s="41" t="s">
        <v>54</v>
      </c>
    </row>
    <row r="18" spans="1:8" x14ac:dyDescent="0.25">
      <c r="A18" s="33" t="s">
        <v>186</v>
      </c>
      <c r="B18" s="33" t="s">
        <v>190</v>
      </c>
      <c r="C18" s="67">
        <v>2500</v>
      </c>
      <c r="D18" s="47">
        <v>1</v>
      </c>
      <c r="E18" s="34">
        <f>C18*D18</f>
        <v>2500</v>
      </c>
      <c r="F18" s="71">
        <v>0.15</v>
      </c>
      <c r="G18" s="34">
        <f>IFERROR(E18/(1-F18),0)</f>
        <v>2941.18</v>
      </c>
      <c r="H18" s="34">
        <f>IFERROR(G18-E18,0)</f>
        <v>441.18</v>
      </c>
    </row>
    <row r="19" spans="2:8" x14ac:dyDescent="0.25">
      <c r="B19" s="26" t="s">
        <v>189</v>
      </c>
      <c r="E19" s="55">
        <f>SUM(E18:E18)</f>
        <v>2500</v>
      </c>
      <c r="G19" s="20">
        <f>SUM(G18:G18)</f>
        <v>2941.18</v>
      </c>
      <c r="H19" s="20">
        <f>IFERROR(G19-E19,0)</f>
        <v>441.17999999999984</v>
      </c>
    </row>
    <row r="21" spans="1:8" x14ac:dyDescent="0.25">
      <c r="A21" s="28" t="s">
        <v>191</v>
      </c>
      <c r="B21" s="28"/>
      <c r="C21" s="28"/>
      <c r="D21" s="28"/>
      <c r="E21" s="72">
        <f>E10+E15+E19</f>
        <v>3418.39</v>
      </c>
      <c r="F21" s="28"/>
      <c r="G21" s="72">
        <f>G10+G15+G19</f>
        <v>4021.64</v>
      </c>
      <c r="H21" s="72">
        <f>IFERROR(G21-E21,0)</f>
        <v>603.25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192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193</v>
      </c>
      <c r="C4" s="3" t="s">
        <v>37</v>
      </c>
      <c r="D4" s="3" t="s">
        <v>194</v>
      </c>
      <c r="E4" s="3" t="s">
        <v>29</v>
      </c>
    </row>
    <row r="5" spans="1:7" x14ac:dyDescent="0.25">
      <c r="A5" s="33"/>
      <c r="B5" s="33" t="s">
        <v>195</v>
      </c>
      <c r="C5" s="34">
        <v>300</v>
      </c>
      <c r="D5" s="73">
        <v>0</v>
      </c>
      <c r="E5" s="34">
        <v>0</v>
      </c>
      <c r="G5" s="74" t="s">
        <v>35</v>
      </c>
    </row>
    <row r="6" spans="2:7" x14ac:dyDescent="0.25">
      <c r="B6" t="s">
        <v>196</v>
      </c>
      <c r="C6" s="20">
        <v>1000</v>
      </c>
      <c r="D6" s="75">
        <v>0</v>
      </c>
      <c r="E6" s="20">
        <v>0</v>
      </c>
      <c r="G6" s="74" t="s">
        <v>35</v>
      </c>
    </row>
    <row r="7" spans="1:7" x14ac:dyDescent="0.25">
      <c r="A7" s="33"/>
      <c r="B7" s="33" t="s">
        <v>197</v>
      </c>
      <c r="C7" s="34">
        <v>125</v>
      </c>
      <c r="D7" s="73">
        <v>0</v>
      </c>
      <c r="E7" s="34">
        <v>0</v>
      </c>
      <c r="G7" s="74" t="s">
        <v>35</v>
      </c>
    </row>
    <row r="8" spans="2:7" x14ac:dyDescent="0.25">
      <c r="B8" t="s">
        <v>198</v>
      </c>
      <c r="C8" s="20">
        <v>100</v>
      </c>
      <c r="D8" s="75">
        <v>0</v>
      </c>
      <c r="E8" s="20">
        <v>0</v>
      </c>
      <c r="G8" s="74" t="s">
        <v>35</v>
      </c>
    </row>
    <row r="9" spans="1:7" x14ac:dyDescent="0.25">
      <c r="A9" s="33"/>
      <c r="B9" s="33" t="s">
        <v>199</v>
      </c>
      <c r="C9" s="34">
        <v>10000</v>
      </c>
      <c r="D9" s="73">
        <v>0</v>
      </c>
      <c r="E9" s="34">
        <v>0</v>
      </c>
      <c r="G9" s="74" t="s">
        <v>200</v>
      </c>
    </row>
    <row r="10" spans="1:5" x14ac:dyDescent="0.25">
      <c r="A10" s="69"/>
      <c r="B10" s="69" t="s">
        <v>201</v>
      </c>
      <c r="C10" s="69"/>
      <c r="D10" s="69"/>
      <c r="E10" s="70">
        <v>0</v>
      </c>
    </row>
    <row r="11" spans="1:5" x14ac:dyDescent="0.25">
      <c r="A11" s="36"/>
      <c r="B11" s="36" t="s">
        <v>181</v>
      </c>
      <c r="C11" s="36" t="s">
        <v>202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203</v>
      </c>
      <c r="C13" s="3" t="s">
        <v>37</v>
      </c>
      <c r="D13" s="3" t="s">
        <v>194</v>
      </c>
      <c r="E13" s="3" t="s">
        <v>29</v>
      </c>
    </row>
    <row r="14" spans="1:7" x14ac:dyDescent="0.25">
      <c r="A14" s="33"/>
      <c r="B14" s="33" t="s">
        <v>195</v>
      </c>
      <c r="C14" s="34">
        <v>300</v>
      </c>
      <c r="D14" s="73">
        <v>0</v>
      </c>
      <c r="E14" s="34">
        <v>0</v>
      </c>
      <c r="G14" s="74" t="s">
        <v>35</v>
      </c>
    </row>
    <row r="15" spans="2:7" x14ac:dyDescent="0.25">
      <c r="B15" t="s">
        <v>196</v>
      </c>
      <c r="C15" s="20">
        <v>1000</v>
      </c>
      <c r="D15" s="75">
        <v>0</v>
      </c>
      <c r="E15" s="20">
        <v>0</v>
      </c>
      <c r="G15" s="74" t="s">
        <v>35</v>
      </c>
    </row>
    <row r="16" spans="1:7" x14ac:dyDescent="0.25">
      <c r="A16" s="33"/>
      <c r="B16" s="33" t="s">
        <v>197</v>
      </c>
      <c r="C16" s="34">
        <v>125</v>
      </c>
      <c r="D16" s="73">
        <v>0</v>
      </c>
      <c r="E16" s="34">
        <v>0</v>
      </c>
      <c r="G16" s="74" t="s">
        <v>35</v>
      </c>
    </row>
    <row r="17" spans="2:7" x14ac:dyDescent="0.25">
      <c r="B17" t="s">
        <v>198</v>
      </c>
      <c r="C17" s="20">
        <v>100</v>
      </c>
      <c r="D17" s="75">
        <v>0</v>
      </c>
      <c r="E17" s="20">
        <v>0</v>
      </c>
      <c r="G17" s="74" t="s">
        <v>35</v>
      </c>
    </row>
    <row r="18" spans="1:7" x14ac:dyDescent="0.25">
      <c r="A18" s="33"/>
      <c r="B18" s="33" t="s">
        <v>199</v>
      </c>
      <c r="C18" s="34">
        <v>10000</v>
      </c>
      <c r="D18" s="73">
        <v>0</v>
      </c>
      <c r="E18" s="34">
        <v>0</v>
      </c>
      <c r="G18" s="74" t="s">
        <v>200</v>
      </c>
    </row>
    <row r="19" spans="1:5" x14ac:dyDescent="0.25">
      <c r="A19" s="69"/>
      <c r="B19" s="69" t="s">
        <v>201</v>
      </c>
      <c r="C19" s="69"/>
      <c r="D19" s="69"/>
      <c r="E19" s="70">
        <v>0</v>
      </c>
    </row>
    <row r="20" spans="1:5" x14ac:dyDescent="0.25">
      <c r="A20" s="36"/>
      <c r="B20" s="36" t="s">
        <v>181</v>
      </c>
      <c r="C20" s="36" t="s">
        <v>202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204</v>
      </c>
      <c r="C22" s="3" t="s">
        <v>37</v>
      </c>
      <c r="D22" s="3" t="s">
        <v>194</v>
      </c>
      <c r="E22" s="3" t="s">
        <v>29</v>
      </c>
    </row>
    <row r="23" spans="1:7" x14ac:dyDescent="0.25">
      <c r="A23" s="33"/>
      <c r="B23" s="33" t="s">
        <v>195</v>
      </c>
      <c r="C23" s="34">
        <v>300</v>
      </c>
      <c r="D23" s="73">
        <v>0</v>
      </c>
      <c r="E23" s="34">
        <v>0</v>
      </c>
      <c r="G23" s="74" t="s">
        <v>35</v>
      </c>
    </row>
    <row r="24" spans="2:7" x14ac:dyDescent="0.25">
      <c r="B24" t="s">
        <v>196</v>
      </c>
      <c r="C24" s="20">
        <v>1000</v>
      </c>
      <c r="D24" s="75">
        <v>0</v>
      </c>
      <c r="E24" s="20">
        <v>0</v>
      </c>
      <c r="G24" s="74" t="s">
        <v>35</v>
      </c>
    </row>
    <row r="25" spans="1:7" x14ac:dyDescent="0.25">
      <c r="A25" s="33"/>
      <c r="B25" s="33" t="s">
        <v>197</v>
      </c>
      <c r="C25" s="34">
        <v>125</v>
      </c>
      <c r="D25" s="73">
        <v>0</v>
      </c>
      <c r="E25" s="34">
        <v>0</v>
      </c>
      <c r="G25" s="74" t="s">
        <v>35</v>
      </c>
    </row>
    <row r="26" spans="2:7" x14ac:dyDescent="0.25">
      <c r="B26" t="s">
        <v>198</v>
      </c>
      <c r="C26" s="20">
        <v>100</v>
      </c>
      <c r="D26" s="75">
        <v>0</v>
      </c>
      <c r="E26" s="20">
        <v>0</v>
      </c>
      <c r="G26" s="74" t="s">
        <v>35</v>
      </c>
    </row>
    <row r="27" spans="1:7" x14ac:dyDescent="0.25">
      <c r="A27" s="33"/>
      <c r="B27" s="33" t="s">
        <v>199</v>
      </c>
      <c r="C27" s="34">
        <v>10000</v>
      </c>
      <c r="D27" s="73">
        <v>0</v>
      </c>
      <c r="E27" s="34">
        <v>0</v>
      </c>
      <c r="G27" s="74" t="s">
        <v>200</v>
      </c>
    </row>
    <row r="28" spans="2:7" x14ac:dyDescent="0.25">
      <c r="B28" t="s">
        <v>205</v>
      </c>
      <c r="C28" s="20">
        <v>1500</v>
      </c>
      <c r="D28" s="75">
        <v>0</v>
      </c>
      <c r="E28" s="20">
        <v>0</v>
      </c>
      <c r="G28" s="74" t="s">
        <v>35</v>
      </c>
    </row>
    <row r="29" spans="1:5" x14ac:dyDescent="0.25">
      <c r="A29" s="69"/>
      <c r="B29" s="69" t="s">
        <v>201</v>
      </c>
      <c r="C29" s="69"/>
      <c r="D29" s="69"/>
      <c r="E29" s="70">
        <v>0</v>
      </c>
    </row>
    <row r="30" spans="1:5" x14ac:dyDescent="0.25">
      <c r="A30" s="36"/>
      <c r="B30" s="36" t="s">
        <v>181</v>
      </c>
      <c r="C30" s="36" t="s">
        <v>202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206</v>
      </c>
      <c r="B1" s="1"/>
      <c r="C1" s="1"/>
      <c r="D1" s="1"/>
      <c r="E1" s="1"/>
      <c r="F1" s="1"/>
      <c r="G1" s="1"/>
    </row>
    <row r="4" spans="2:2" x14ac:dyDescent="0.25">
      <c r="B4" s="65" t="s">
        <v>207</v>
      </c>
    </row>
    <row r="5" spans="2:2" x14ac:dyDescent="0.25">
      <c r="B5" s="76" t="s">
        <v>208</v>
      </c>
    </row>
    <row r="6" ht="24" customHeight="1" spans="1:9" x14ac:dyDescent="0.25">
      <c r="A6" s="25" t="s">
        <v>35</v>
      </c>
      <c r="B6" s="25" t="s">
        <v>66</v>
      </c>
      <c r="C6" s="25" t="s">
        <v>209</v>
      </c>
      <c r="D6" s="25" t="s">
        <v>37</v>
      </c>
      <c r="E6" s="25" t="s">
        <v>194</v>
      </c>
      <c r="F6" s="25" t="s">
        <v>29</v>
      </c>
      <c r="G6" s="25" t="s">
        <v>185</v>
      </c>
      <c r="H6" s="25" t="s">
        <v>38</v>
      </c>
      <c r="I6" s="25" t="s">
        <v>39</v>
      </c>
    </row>
    <row r="7" spans="1:9" x14ac:dyDescent="0.25">
      <c r="A7" s="33"/>
      <c r="B7" s="6" t="s">
        <v>210</v>
      </c>
      <c r="C7" s="33" t="s">
        <v>211</v>
      </c>
      <c r="D7" s="67">
        <v>0</v>
      </c>
      <c r="E7" s="73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210</v>
      </c>
      <c r="C8" t="s">
        <v>212</v>
      </c>
      <c r="D8" s="68">
        <v>0</v>
      </c>
      <c r="E8" s="75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210</v>
      </c>
      <c r="C9" s="33" t="s">
        <v>213</v>
      </c>
      <c r="D9" s="67">
        <v>0</v>
      </c>
      <c r="E9" s="73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210</v>
      </c>
      <c r="C10" t="s">
        <v>214</v>
      </c>
      <c r="D10" s="68">
        <v>0</v>
      </c>
      <c r="E10" s="75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215</v>
      </c>
      <c r="C11" s="33" t="s">
        <v>211</v>
      </c>
      <c r="D11" s="67">
        <v>0</v>
      </c>
      <c r="E11" s="73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215</v>
      </c>
      <c r="C12" t="s">
        <v>212</v>
      </c>
      <c r="D12" s="68">
        <v>0</v>
      </c>
      <c r="E12" s="75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215</v>
      </c>
      <c r="C13" s="33" t="s">
        <v>213</v>
      </c>
      <c r="D13" s="67">
        <v>0</v>
      </c>
      <c r="E13" s="73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216</v>
      </c>
      <c r="C14" t="s">
        <v>217</v>
      </c>
      <c r="D14" s="68">
        <v>0</v>
      </c>
      <c r="E14" s="75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216</v>
      </c>
      <c r="C15" s="33" t="s">
        <v>218</v>
      </c>
      <c r="D15" s="67">
        <v>0</v>
      </c>
      <c r="E15" s="73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216</v>
      </c>
      <c r="C16" t="s">
        <v>219</v>
      </c>
      <c r="D16" s="68">
        <v>0</v>
      </c>
      <c r="E16" s="75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220</v>
      </c>
      <c r="D17" s="67">
        <v>0</v>
      </c>
      <c r="E17" s="73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221</v>
      </c>
      <c r="D18" s="68">
        <v>0</v>
      </c>
      <c r="E18" s="75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98</v>
      </c>
      <c r="D19" s="67">
        <v>0</v>
      </c>
      <c r="E19" s="73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222</v>
      </c>
      <c r="D20" s="68">
        <v>0</v>
      </c>
      <c r="E20" s="75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223</v>
      </c>
      <c r="D22" s="56"/>
      <c r="E22" s="56"/>
      <c r="F22" s="59">
        <f>SUM(F7:F20)</f>
        <v>0</v>
      </c>
      <c r="G22" s="56"/>
      <c r="H22" s="59">
        <f>SUM(H7:H20)</f>
        <v>0</v>
      </c>
      <c r="I22" s="59">
        <f>IFERROR(H22-F22,0)</f>
        <v>0</v>
      </c>
    </row>
    <row r="24" spans="2:6" x14ac:dyDescent="0.25">
      <c r="B24" t="s">
        <v>75</v>
      </c>
      <c r="F24" s="68">
        <v>0</v>
      </c>
    </row>
    <row r="25" spans="2:6" x14ac:dyDescent="0.25">
      <c r="B25" t="s">
        <v>76</v>
      </c>
      <c r="F25" s="68">
        <v>0</v>
      </c>
    </row>
    <row r="26" spans="1:9" x14ac:dyDescent="0.25">
      <c r="A26" s="28"/>
      <c r="B26" s="77" t="s">
        <v>224</v>
      </c>
      <c r="C26" s="77" t="s">
        <v>202</v>
      </c>
      <c r="D26" s="28"/>
      <c r="E26" s="28"/>
      <c r="F26" s="78">
        <f>F22+F24+F25</f>
        <v>0</v>
      </c>
      <c r="G26" s="28"/>
      <c r="H26" s="78">
        <f>H22</f>
        <v>0</v>
      </c>
      <c r="I26" s="78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225</v>
      </c>
      <c r="B1" s="1"/>
      <c r="C1" s="1"/>
      <c r="D1" s="1"/>
      <c r="E1" s="1"/>
      <c r="F1" s="1"/>
      <c r="G1" s="1"/>
    </row>
    <row r="4" spans="2:2" x14ac:dyDescent="0.25">
      <c r="B4" s="65" t="s">
        <v>226</v>
      </c>
    </row>
    <row r="5" spans="2:2" x14ac:dyDescent="0.25">
      <c r="B5" s="76" t="s">
        <v>208</v>
      </c>
    </row>
    <row r="6" ht="24" customHeight="1" spans="1:9" x14ac:dyDescent="0.25">
      <c r="A6" s="25" t="s">
        <v>35</v>
      </c>
      <c r="B6" s="25" t="s">
        <v>66</v>
      </c>
      <c r="C6" s="25" t="s">
        <v>209</v>
      </c>
      <c r="D6" s="25" t="s">
        <v>37</v>
      </c>
      <c r="E6" s="25" t="s">
        <v>194</v>
      </c>
      <c r="F6" s="25" t="s">
        <v>29</v>
      </c>
      <c r="G6" s="25" t="s">
        <v>185</v>
      </c>
      <c r="H6" s="25" t="s">
        <v>38</v>
      </c>
      <c r="I6" s="25" t="s">
        <v>39</v>
      </c>
    </row>
    <row r="7" spans="1:9" x14ac:dyDescent="0.25">
      <c r="A7" s="33"/>
      <c r="B7" s="6" t="s">
        <v>227</v>
      </c>
      <c r="C7" s="33" t="s">
        <v>228</v>
      </c>
      <c r="D7" s="67">
        <v>0</v>
      </c>
      <c r="E7" s="73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227</v>
      </c>
      <c r="C8" t="s">
        <v>229</v>
      </c>
      <c r="D8" s="68">
        <v>0</v>
      </c>
      <c r="E8" s="75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227</v>
      </c>
      <c r="C9" s="33" t="s">
        <v>230</v>
      </c>
      <c r="D9" s="67">
        <v>0</v>
      </c>
      <c r="E9" s="73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227</v>
      </c>
      <c r="C10" t="s">
        <v>231</v>
      </c>
      <c r="D10" s="68">
        <v>0</v>
      </c>
      <c r="E10" s="75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227</v>
      </c>
      <c r="C11" s="33" t="s">
        <v>232</v>
      </c>
      <c r="D11" s="67">
        <v>0</v>
      </c>
      <c r="E11" s="73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233</v>
      </c>
      <c r="C12" t="s">
        <v>234</v>
      </c>
      <c r="D12" s="68">
        <v>0</v>
      </c>
      <c r="E12" s="75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233</v>
      </c>
      <c r="C13" s="33" t="s">
        <v>235</v>
      </c>
      <c r="D13" s="67">
        <v>0</v>
      </c>
      <c r="E13" s="73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233</v>
      </c>
      <c r="C14" t="s">
        <v>236</v>
      </c>
      <c r="D14" s="68">
        <v>0</v>
      </c>
      <c r="E14" s="75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237</v>
      </c>
      <c r="C15" s="33" t="s">
        <v>217</v>
      </c>
      <c r="D15" s="67">
        <v>0</v>
      </c>
      <c r="E15" s="73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237</v>
      </c>
      <c r="C16" t="s">
        <v>238</v>
      </c>
      <c r="D16" s="68">
        <v>0</v>
      </c>
      <c r="E16" s="75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237</v>
      </c>
      <c r="C17" s="33" t="s">
        <v>219</v>
      </c>
      <c r="D17" s="67">
        <v>0</v>
      </c>
      <c r="E17" s="73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220</v>
      </c>
      <c r="D18" s="68">
        <v>0</v>
      </c>
      <c r="E18" s="75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221</v>
      </c>
      <c r="D19" s="67">
        <v>0</v>
      </c>
      <c r="E19" s="73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98</v>
      </c>
      <c r="D20" s="68">
        <v>0</v>
      </c>
      <c r="E20" s="75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222</v>
      </c>
      <c r="D21" s="67">
        <v>0</v>
      </c>
      <c r="E21" s="73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239</v>
      </c>
      <c r="D23" s="56"/>
      <c r="E23" s="56"/>
      <c r="F23" s="59">
        <f>SUM(F7:F21)</f>
        <v>0</v>
      </c>
      <c r="G23" s="56"/>
      <c r="H23" s="59">
        <f>SUM(H7:H21)</f>
        <v>0</v>
      </c>
      <c r="I23" s="59">
        <f>IFERROR(H23-F23,0)</f>
        <v>0</v>
      </c>
    </row>
    <row r="25" spans="2:6" x14ac:dyDescent="0.25">
      <c r="B25" t="s">
        <v>75</v>
      </c>
      <c r="F25" s="68">
        <v>0</v>
      </c>
    </row>
    <row r="26" spans="2:6" x14ac:dyDescent="0.25">
      <c r="B26" t="s">
        <v>76</v>
      </c>
      <c r="F26" s="68">
        <v>0</v>
      </c>
    </row>
    <row r="27" spans="1:9" x14ac:dyDescent="0.25">
      <c r="A27" s="28"/>
      <c r="B27" s="77" t="s">
        <v>224</v>
      </c>
      <c r="C27" s="77" t="s">
        <v>202</v>
      </c>
      <c r="D27" s="28"/>
      <c r="E27" s="28"/>
      <c r="F27" s="78">
        <f>F23+F25+F26</f>
        <v>0</v>
      </c>
      <c r="G27" s="28"/>
      <c r="H27" s="78">
        <f>H23</f>
        <v>0</v>
      </c>
      <c r="I27" s="78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240</v>
      </c>
      <c r="B1" s="1"/>
      <c r="C1" s="1"/>
      <c r="D1" s="1"/>
      <c r="E1" s="1"/>
    </row>
    <row r="2" spans="1:5" x14ac:dyDescent="0.25">
      <c r="A2" s="2" t="s">
        <v>241</v>
      </c>
      <c r="B2" s="2"/>
      <c r="C2" s="2"/>
      <c r="D2" s="2"/>
      <c r="E2" s="2"/>
    </row>
    <row r="4" spans="1:3" x14ac:dyDescent="0.25">
      <c r="A4" t="s">
        <v>242</v>
      </c>
      <c r="B4" s="75">
        <v>3</v>
      </c>
      <c r="C4" s="79" t="s">
        <v>243</v>
      </c>
    </row>
    <row r="5" spans="1:3" x14ac:dyDescent="0.25">
      <c r="A5" t="s">
        <v>244</v>
      </c>
      <c r="B5" s="68">
        <v>0</v>
      </c>
      <c r="C5" s="79" t="s">
        <v>245</v>
      </c>
    </row>
    <row r="6" spans="1:3" x14ac:dyDescent="0.25">
      <c r="A6" t="s">
        <v>246</v>
      </c>
      <c r="B6" s="21">
        <v>0.03</v>
      </c>
      <c r="C6" s="79" t="s">
        <v>247</v>
      </c>
    </row>
    <row r="7" spans="1:3" x14ac:dyDescent="0.25">
      <c r="A7" t="s">
        <v>40</v>
      </c>
      <c r="B7" s="21">
        <v>0.15</v>
      </c>
      <c r="C7" s="79" t="s">
        <v>248</v>
      </c>
    </row>
    <row r="10" spans="1:5" x14ac:dyDescent="0.25">
      <c r="A10" s="25" t="s">
        <v>249</v>
      </c>
      <c r="B10" s="25" t="s">
        <v>37</v>
      </c>
      <c r="C10" s="25" t="s">
        <v>38</v>
      </c>
      <c r="D10" s="25" t="s">
        <v>39</v>
      </c>
      <c r="E10" s="25" t="s">
        <v>250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251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251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251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252</v>
      </c>
      <c r="B17" s="59">
        <f>SUM(B11:B15)</f>
        <v>0</v>
      </c>
      <c r="C17" s="59">
        <f>SUM(C11:C15)</f>
        <v>0</v>
      </c>
      <c r="D17" s="59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253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66</v>
      </c>
      <c r="C4" s="25" t="s">
        <v>209</v>
      </c>
      <c r="D4" s="25" t="s">
        <v>37</v>
      </c>
      <c r="E4" s="25" t="s">
        <v>194</v>
      </c>
      <c r="F4" s="25" t="s">
        <v>29</v>
      </c>
      <c r="G4" s="25" t="s">
        <v>185</v>
      </c>
      <c r="H4" s="25" t="s">
        <v>38</v>
      </c>
      <c r="I4" s="25" t="s">
        <v>39</v>
      </c>
    </row>
    <row r="5" spans="1:9" x14ac:dyDescent="0.25">
      <c r="A5" s="33"/>
      <c r="B5" s="33" t="s">
        <v>254</v>
      </c>
      <c r="C5" s="33" t="s">
        <v>255</v>
      </c>
      <c r="D5" s="67">
        <v>0</v>
      </c>
      <c r="E5" s="73">
        <v>1</v>
      </c>
      <c r="F5" s="34">
        <f>D5*E5</f>
        <v>0</v>
      </c>
      <c r="G5" s="71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256</v>
      </c>
      <c r="C6" t="s">
        <v>60</v>
      </c>
      <c r="D6" s="68">
        <v>0</v>
      </c>
      <c r="E6" s="75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257</v>
      </c>
      <c r="C7" s="33" t="s">
        <v>61</v>
      </c>
      <c r="D7" s="67">
        <v>0</v>
      </c>
      <c r="E7" s="73">
        <v>1</v>
      </c>
      <c r="F7" s="34">
        <f>D7*E7</f>
        <v>0</v>
      </c>
      <c r="G7" s="71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155</v>
      </c>
      <c r="C8" t="s">
        <v>62</v>
      </c>
      <c r="D8" s="68">
        <v>0</v>
      </c>
      <c r="E8" s="75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258</v>
      </c>
      <c r="D10" s="56"/>
      <c r="E10" s="56"/>
      <c r="F10" s="59">
        <f>SUM(F5:F8)</f>
        <v>0</v>
      </c>
      <c r="G10" s="56"/>
      <c r="H10" s="59">
        <f>SUM(H5:H8)</f>
        <v>0</v>
      </c>
      <c r="I10" s="59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80" t="s">
        <v>259</v>
      </c>
    </row>
    <row r="2" spans="2:2" x14ac:dyDescent="0.25">
      <c r="B2" t="s">
        <v>260</v>
      </c>
    </row>
    <row r="4" ht="24" customHeight="1" spans="2:4" x14ac:dyDescent="0.25">
      <c r="B4" s="81" t="s">
        <v>261</v>
      </c>
      <c r="C4" s="82" t="s">
        <v>262</v>
      </c>
      <c r="D4" s="82" t="s">
        <v>263</v>
      </c>
    </row>
    <row r="5" spans="1:4" x14ac:dyDescent="0.25">
      <c r="A5" s="33"/>
      <c r="B5" s="83" t="s">
        <v>264</v>
      </c>
      <c r="C5" s="47" t="s">
        <v>35</v>
      </c>
      <c r="D5" s="47" t="s">
        <v>265</v>
      </c>
    </row>
    <row r="6" spans="2:4" x14ac:dyDescent="0.25">
      <c r="B6" s="84" t="s">
        <v>266</v>
      </c>
      <c r="C6" s="54" t="s">
        <v>265</v>
      </c>
      <c r="D6" s="54" t="s">
        <v>35</v>
      </c>
    </row>
    <row r="7" spans="1:4" x14ac:dyDescent="0.25">
      <c r="A7" s="33"/>
      <c r="B7" s="83" t="s">
        <v>267</v>
      </c>
      <c r="C7" s="47" t="s">
        <v>268</v>
      </c>
      <c r="D7" s="47" t="s">
        <v>35</v>
      </c>
    </row>
    <row r="8" spans="2:4" x14ac:dyDescent="0.25">
      <c r="B8" s="84" t="s">
        <v>269</v>
      </c>
      <c r="C8" s="54" t="s">
        <v>265</v>
      </c>
      <c r="D8" s="54" t="s">
        <v>35</v>
      </c>
    </row>
    <row r="9" spans="1:4" x14ac:dyDescent="0.25">
      <c r="A9" s="33"/>
      <c r="B9" s="83" t="s">
        <v>270</v>
      </c>
      <c r="C9" s="47" t="s">
        <v>265</v>
      </c>
      <c r="D9" s="47" t="s">
        <v>35</v>
      </c>
    </row>
    <row r="10" spans="2:4" x14ac:dyDescent="0.25">
      <c r="B10" s="84" t="s">
        <v>271</v>
      </c>
      <c r="C10" s="54" t="s">
        <v>35</v>
      </c>
      <c r="D10" s="54" t="s">
        <v>265</v>
      </c>
    </row>
    <row r="11" spans="1:4" x14ac:dyDescent="0.25">
      <c r="A11" s="33"/>
      <c r="B11" s="83" t="s">
        <v>272</v>
      </c>
      <c r="C11" s="47" t="s">
        <v>35</v>
      </c>
      <c r="D11" s="47" t="s">
        <v>265</v>
      </c>
    </row>
    <row r="13" ht="24" customHeight="1" spans="2:4" x14ac:dyDescent="0.25">
      <c r="B13" s="81" t="s">
        <v>273</v>
      </c>
      <c r="C13" s="82" t="s">
        <v>262</v>
      </c>
      <c r="D13" s="82" t="s">
        <v>263</v>
      </c>
    </row>
    <row r="14" spans="1:4" x14ac:dyDescent="0.25">
      <c r="A14" s="33"/>
      <c r="B14" s="83" t="s">
        <v>274</v>
      </c>
      <c r="C14" s="47" t="s">
        <v>35</v>
      </c>
      <c r="D14" s="47" t="s">
        <v>265</v>
      </c>
    </row>
    <row r="15" spans="2:4" x14ac:dyDescent="0.25">
      <c r="B15" s="84" t="s">
        <v>275</v>
      </c>
      <c r="C15" s="54" t="s">
        <v>265</v>
      </c>
      <c r="D15" s="54" t="s">
        <v>35</v>
      </c>
    </row>
    <row r="16" spans="1:4" x14ac:dyDescent="0.25">
      <c r="A16" s="33"/>
      <c r="B16" s="83" t="s">
        <v>276</v>
      </c>
      <c r="C16" s="47" t="s">
        <v>265</v>
      </c>
      <c r="D16" s="47" t="s">
        <v>35</v>
      </c>
    </row>
    <row r="17" spans="2:4" x14ac:dyDescent="0.25">
      <c r="B17" s="84" t="s">
        <v>277</v>
      </c>
      <c r="C17" s="54" t="s">
        <v>35</v>
      </c>
      <c r="D17" s="54" t="s">
        <v>265</v>
      </c>
    </row>
    <row r="18" spans="1:4" x14ac:dyDescent="0.25">
      <c r="A18" s="33"/>
      <c r="B18" s="83" t="s">
        <v>278</v>
      </c>
      <c r="C18" s="47" t="s">
        <v>35</v>
      </c>
      <c r="D18" s="47" t="s">
        <v>265</v>
      </c>
    </row>
    <row r="20" ht="24" customHeight="1" spans="2:4" x14ac:dyDescent="0.25">
      <c r="B20" s="81" t="s">
        <v>279</v>
      </c>
      <c r="C20" s="82" t="s">
        <v>262</v>
      </c>
      <c r="D20" s="82" t="s">
        <v>263</v>
      </c>
    </row>
    <row r="21" spans="1:4" x14ac:dyDescent="0.25">
      <c r="A21" s="33"/>
      <c r="B21" s="83" t="s">
        <v>280</v>
      </c>
      <c r="C21" s="47" t="s">
        <v>281</v>
      </c>
      <c r="D21" s="47" t="s">
        <v>35</v>
      </c>
    </row>
    <row r="22" spans="2:4" x14ac:dyDescent="0.25">
      <c r="B22" s="84" t="s">
        <v>282</v>
      </c>
      <c r="C22" s="54" t="s">
        <v>35</v>
      </c>
      <c r="D22" s="54" t="s">
        <v>265</v>
      </c>
    </row>
    <row r="23" spans="1:4" x14ac:dyDescent="0.25">
      <c r="A23" s="33"/>
      <c r="B23" s="83" t="s">
        <v>283</v>
      </c>
      <c r="C23" s="47" t="s">
        <v>281</v>
      </c>
      <c r="D23" s="47" t="s">
        <v>35</v>
      </c>
    </row>
    <row r="24" spans="2:4" x14ac:dyDescent="0.25">
      <c r="B24" s="84" t="s">
        <v>284</v>
      </c>
      <c r="C24" s="54" t="s">
        <v>265</v>
      </c>
      <c r="D24" s="54" t="s">
        <v>35</v>
      </c>
    </row>
    <row r="25" spans="1:4" x14ac:dyDescent="0.25">
      <c r="A25" s="33"/>
      <c r="B25" s="83" t="s">
        <v>285</v>
      </c>
      <c r="C25" s="47" t="s">
        <v>265</v>
      </c>
      <c r="D25" s="47" t="s">
        <v>35</v>
      </c>
    </row>
    <row r="26" spans="2:4" x14ac:dyDescent="0.25">
      <c r="B26" s="84" t="s">
        <v>286</v>
      </c>
      <c r="C26" s="54" t="s">
        <v>35</v>
      </c>
      <c r="D26" s="54" t="s">
        <v>265</v>
      </c>
    </row>
    <row r="28" ht="24" customHeight="1" spans="2:4" x14ac:dyDescent="0.25">
      <c r="B28" s="81" t="s">
        <v>287</v>
      </c>
      <c r="C28" s="82" t="s">
        <v>262</v>
      </c>
      <c r="D28" s="82" t="s">
        <v>263</v>
      </c>
    </row>
    <row r="29" spans="1:4" x14ac:dyDescent="0.25">
      <c r="A29" s="33"/>
      <c r="B29" s="83" t="s">
        <v>288</v>
      </c>
      <c r="C29" s="47" t="s">
        <v>265</v>
      </c>
      <c r="D29" s="47" t="s">
        <v>35</v>
      </c>
    </row>
    <row r="30" spans="2:4" x14ac:dyDescent="0.25">
      <c r="B30" s="84" t="s">
        <v>289</v>
      </c>
      <c r="C30" s="54" t="s">
        <v>35</v>
      </c>
      <c r="D30" s="54" t="s">
        <v>265</v>
      </c>
    </row>
    <row r="31" spans="1:4" x14ac:dyDescent="0.25">
      <c r="A31" s="33"/>
      <c r="B31" s="83" t="s">
        <v>290</v>
      </c>
      <c r="C31" s="47" t="s">
        <v>35</v>
      </c>
      <c r="D31" s="47" t="s">
        <v>265</v>
      </c>
    </row>
    <row r="32" spans="2:4" x14ac:dyDescent="0.25">
      <c r="B32" s="84" t="s">
        <v>291</v>
      </c>
      <c r="C32" s="54" t="s">
        <v>265</v>
      </c>
      <c r="D32" s="54" t="s">
        <v>35</v>
      </c>
    </row>
    <row r="33" spans="1:4" x14ac:dyDescent="0.25">
      <c r="A33" s="33"/>
      <c r="B33" s="83" t="s">
        <v>292</v>
      </c>
      <c r="C33" s="47" t="s">
        <v>35</v>
      </c>
      <c r="D33" s="47" t="s">
        <v>265</v>
      </c>
    </row>
    <row r="34" spans="2:4" x14ac:dyDescent="0.25">
      <c r="B34" s="84" t="s">
        <v>293</v>
      </c>
      <c r="C34" s="54" t="s">
        <v>265</v>
      </c>
      <c r="D34" s="54" t="s">
        <v>35</v>
      </c>
    </row>
    <row r="35" spans="1:4" x14ac:dyDescent="0.25">
      <c r="A35" s="33"/>
      <c r="B35" s="83" t="s">
        <v>294</v>
      </c>
      <c r="C35" s="47" t="s">
        <v>265</v>
      </c>
      <c r="D35" s="47" t="s">
        <v>35</v>
      </c>
    </row>
    <row r="36" spans="2:4" x14ac:dyDescent="0.25">
      <c r="B36" s="84" t="s">
        <v>295</v>
      </c>
      <c r="C36" s="54" t="s">
        <v>265</v>
      </c>
      <c r="D36" s="54" t="s">
        <v>35</v>
      </c>
    </row>
    <row r="37" spans="1:4" x14ac:dyDescent="0.25">
      <c r="A37" s="33"/>
      <c r="B37" s="83" t="s">
        <v>296</v>
      </c>
      <c r="C37" s="47" t="s">
        <v>35</v>
      </c>
      <c r="D37" s="47" t="s">
        <v>265</v>
      </c>
    </row>
    <row r="39" ht="24" customHeight="1" spans="2:4" x14ac:dyDescent="0.25">
      <c r="B39" s="81" t="s">
        <v>297</v>
      </c>
      <c r="C39" s="82" t="s">
        <v>262</v>
      </c>
      <c r="D39" s="82" t="s">
        <v>263</v>
      </c>
    </row>
    <row r="40" spans="1:4" x14ac:dyDescent="0.25">
      <c r="A40" s="33"/>
      <c r="B40" s="83" t="s">
        <v>298</v>
      </c>
      <c r="C40" s="47" t="s">
        <v>281</v>
      </c>
      <c r="D40" s="47" t="s">
        <v>35</v>
      </c>
    </row>
    <row r="41" spans="2:4" x14ac:dyDescent="0.25">
      <c r="B41" s="84" t="s">
        <v>299</v>
      </c>
      <c r="C41" s="54" t="s">
        <v>35</v>
      </c>
      <c r="D41" s="54" t="s">
        <v>265</v>
      </c>
    </row>
    <row r="42" spans="1:4" x14ac:dyDescent="0.25">
      <c r="A42" s="33"/>
      <c r="B42" s="83" t="s">
        <v>300</v>
      </c>
      <c r="C42" s="47" t="s">
        <v>35</v>
      </c>
      <c r="D42" s="47" t="s">
        <v>265</v>
      </c>
    </row>
    <row r="44" ht="24" customHeight="1" spans="2:4" x14ac:dyDescent="0.25">
      <c r="B44" s="81" t="s">
        <v>301</v>
      </c>
      <c r="C44" s="82" t="s">
        <v>262</v>
      </c>
      <c r="D44" s="82" t="s">
        <v>263</v>
      </c>
    </row>
    <row r="45" spans="1:4" x14ac:dyDescent="0.25">
      <c r="A45" s="33"/>
      <c r="B45" s="83" t="s">
        <v>302</v>
      </c>
      <c r="C45" s="47" t="s">
        <v>265</v>
      </c>
      <c r="D45" s="47" t="s">
        <v>35</v>
      </c>
    </row>
    <row r="46" spans="2:4" x14ac:dyDescent="0.25">
      <c r="B46" s="84" t="s">
        <v>303</v>
      </c>
      <c r="C46" s="54" t="s">
        <v>265</v>
      </c>
      <c r="D46" s="54" t="s">
        <v>35</v>
      </c>
    </row>
    <row r="47" spans="1:4" x14ac:dyDescent="0.25">
      <c r="A47" s="33"/>
      <c r="B47" s="83" t="s">
        <v>304</v>
      </c>
      <c r="C47" s="47" t="s">
        <v>265</v>
      </c>
      <c r="D47" s="47" t="s">
        <v>35</v>
      </c>
    </row>
    <row r="48" spans="2:4" x14ac:dyDescent="0.25">
      <c r="B48" s="84" t="s">
        <v>305</v>
      </c>
      <c r="C48" s="54" t="s">
        <v>265</v>
      </c>
      <c r="D48" s="54" t="s">
        <v>35</v>
      </c>
    </row>
    <row r="50" ht="24" customHeight="1" spans="2:4" x14ac:dyDescent="0.25">
      <c r="B50" s="81" t="s">
        <v>306</v>
      </c>
      <c r="C50" s="82" t="s">
        <v>262</v>
      </c>
      <c r="D50" s="82" t="s">
        <v>263</v>
      </c>
    </row>
    <row r="51" spans="1:4" x14ac:dyDescent="0.25">
      <c r="A51" s="33"/>
      <c r="B51" s="83" t="s">
        <v>307</v>
      </c>
      <c r="C51" s="47" t="s">
        <v>281</v>
      </c>
      <c r="D51" s="47" t="s">
        <v>35</v>
      </c>
    </row>
    <row r="52" spans="2:4" x14ac:dyDescent="0.25">
      <c r="B52" s="84" t="s">
        <v>308</v>
      </c>
      <c r="C52" s="54" t="s">
        <v>35</v>
      </c>
      <c r="D52" s="54" t="s">
        <v>265</v>
      </c>
    </row>
    <row r="53" spans="1:6" x14ac:dyDescent="0.25">
      <c r="A53" s="33"/>
      <c r="B53" s="83" t="s">
        <v>309</v>
      </c>
      <c r="C53" s="47" t="s">
        <v>35</v>
      </c>
      <c r="D53" s="47" t="s">
        <v>35</v>
      </c>
      <c r="F53" s="74" t="s">
        <v>310</v>
      </c>
    </row>
    <row r="54" spans="2:4" x14ac:dyDescent="0.25">
      <c r="B54" s="84" t="s">
        <v>311</v>
      </c>
      <c r="C54" s="54" t="s">
        <v>281</v>
      </c>
      <c r="D54" s="54" t="s">
        <v>35</v>
      </c>
    </row>
    <row r="55" spans="1:4" x14ac:dyDescent="0.25">
      <c r="A55" s="33"/>
      <c r="B55" s="83" t="s">
        <v>312</v>
      </c>
      <c r="C55" s="47" t="s">
        <v>281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314</v>
      </c>
      <c r="D3" s="85" t="s">
        <v>315</v>
      </c>
    </row>
    <row r="5" spans="2:9" x14ac:dyDescent="0.25">
      <c r="B5" s="65" t="s">
        <v>316</v>
      </c>
      <c r="I5" s="65" t="s">
        <v>317</v>
      </c>
    </row>
    <row r="6" spans="1:10" x14ac:dyDescent="0.25">
      <c r="A6" s="25" t="s">
        <v>35</v>
      </c>
      <c r="B6" s="25" t="s">
        <v>318</v>
      </c>
      <c r="C6" s="25" t="s">
        <v>319</v>
      </c>
      <c r="D6" s="25" t="s">
        <v>185</v>
      </c>
      <c r="I6" s="25" t="s">
        <v>318</v>
      </c>
      <c r="J6" s="25" t="s">
        <v>319</v>
      </c>
    </row>
    <row r="7" spans="1:10" x14ac:dyDescent="0.25">
      <c r="A7" t="s">
        <v>320</v>
      </c>
      <c r="B7" s="20">
        <v>98897.04999999999</v>
      </c>
      <c r="C7" s="20">
        <v>80665.98999999999</v>
      </c>
      <c r="D7" s="20">
        <v>18231.06</v>
      </c>
      <c r="H7" s="26" t="s">
        <v>321</v>
      </c>
      <c r="I7" s="20">
        <v>98897.04999999999</v>
      </c>
      <c r="J7" s="20">
        <v>80665.98999999999</v>
      </c>
    </row>
    <row r="8" spans="1:6" x14ac:dyDescent="0.25">
      <c r="A8" s="36" t="s">
        <v>321</v>
      </c>
      <c r="B8" s="37">
        <v>98897.04999999999</v>
      </c>
      <c r="C8" s="37">
        <v>80665.98999999999</v>
      </c>
      <c r="D8" s="37">
        <v>18231.06</v>
      </c>
      <c r="E8" s="36"/>
      <c r="F8" s="36"/>
    </row>
    <row r="10" spans="1:1" x14ac:dyDescent="0.25">
      <c r="A10" s="86" t="s">
        <v>322</v>
      </c>
    </row>
    <row r="11" spans="1:4" x14ac:dyDescent="0.25">
      <c r="A11" t="s">
        <v>323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324</v>
      </c>
      <c r="B13" s="59">
        <v>98897.04999999999</v>
      </c>
      <c r="C13" s="59">
        <v>80665.98999999999</v>
      </c>
      <c r="D13" s="59">
        <v>18231.06</v>
      </c>
      <c r="E13" s="56"/>
      <c r="F13" s="56"/>
    </row>
    <row r="16" spans="1:5" x14ac:dyDescent="0.25">
      <c r="A16" s="25" t="s">
        <v>325</v>
      </c>
      <c r="B16" s="25" t="s">
        <v>318</v>
      </c>
      <c r="C16" s="25" t="s">
        <v>326</v>
      </c>
      <c r="D16" s="25" t="s">
        <v>327</v>
      </c>
      <c r="E16" s="25" t="s">
        <v>328</v>
      </c>
    </row>
    <row r="17" spans="1:5" x14ac:dyDescent="0.25">
      <c r="A17" s="33" t="s">
        <v>329</v>
      </c>
      <c r="B17" s="34">
        <v>0</v>
      </c>
      <c r="C17" s="34">
        <v>5622.58</v>
      </c>
      <c r="D17" s="67">
        <v>0</v>
      </c>
      <c r="E17" s="34">
        <v>5622.58</v>
      </c>
    </row>
    <row r="18" spans="1:5" x14ac:dyDescent="0.25">
      <c r="A18" t="s">
        <v>330</v>
      </c>
      <c r="B18" s="20">
        <v>0</v>
      </c>
      <c r="C18" s="20">
        <v>4749.2</v>
      </c>
      <c r="D18" s="68">
        <v>0</v>
      </c>
      <c r="E18" s="20">
        <v>4749.2</v>
      </c>
    </row>
    <row r="19" spans="1:5" x14ac:dyDescent="0.25">
      <c r="A19" s="33" t="s">
        <v>331</v>
      </c>
      <c r="B19" s="34">
        <v>0</v>
      </c>
      <c r="C19" s="34">
        <v>3830</v>
      </c>
      <c r="D19" s="67">
        <v>0</v>
      </c>
      <c r="E19" s="34">
        <v>3830</v>
      </c>
    </row>
    <row r="20" spans="1:5" x14ac:dyDescent="0.25">
      <c r="A20" t="s">
        <v>332</v>
      </c>
      <c r="B20" s="20">
        <v>0</v>
      </c>
      <c r="C20" s="20">
        <v>30000</v>
      </c>
      <c r="D20" s="68">
        <v>0</v>
      </c>
      <c r="E20" s="20">
        <v>30000</v>
      </c>
    </row>
    <row r="21" spans="1:5" x14ac:dyDescent="0.25">
      <c r="A21" s="33" t="s">
        <v>333</v>
      </c>
      <c r="B21" s="34">
        <v>0</v>
      </c>
      <c r="C21" s="34">
        <v>14117.64</v>
      </c>
      <c r="D21" s="67">
        <v>0</v>
      </c>
      <c r="E21" s="34">
        <v>14117.64</v>
      </c>
    </row>
    <row r="22" spans="1:5" x14ac:dyDescent="0.25">
      <c r="A22" t="s">
        <v>334</v>
      </c>
      <c r="B22" s="20">
        <v>0</v>
      </c>
      <c r="C22" s="20">
        <v>0</v>
      </c>
      <c r="D22" s="68">
        <v>0</v>
      </c>
      <c r="E22" s="20">
        <v>0</v>
      </c>
    </row>
    <row r="23" spans="1:5" x14ac:dyDescent="0.25">
      <c r="A23" s="33" t="s">
        <v>335</v>
      </c>
      <c r="B23" s="34">
        <v>0</v>
      </c>
      <c r="C23" s="34">
        <v>0</v>
      </c>
      <c r="D23" s="67">
        <v>0</v>
      </c>
      <c r="E23" s="34">
        <v>0</v>
      </c>
    </row>
    <row r="24" spans="1:5" x14ac:dyDescent="0.25">
      <c r="A24" t="s">
        <v>336</v>
      </c>
      <c r="B24" s="20">
        <v>0</v>
      </c>
      <c r="C24" s="20">
        <v>0</v>
      </c>
      <c r="D24" s="68">
        <v>0</v>
      </c>
      <c r="E24" s="20">
        <v>0</v>
      </c>
    </row>
    <row r="25" spans="1:5" x14ac:dyDescent="0.25">
      <c r="A25" s="33" t="s">
        <v>337</v>
      </c>
      <c r="B25" s="34">
        <v>0</v>
      </c>
      <c r="C25" s="34">
        <v>0</v>
      </c>
      <c r="D25" s="67">
        <v>0</v>
      </c>
      <c r="E25" s="34">
        <v>0</v>
      </c>
    </row>
    <row r="26" spans="1:5" x14ac:dyDescent="0.25">
      <c r="A26" t="s">
        <v>338</v>
      </c>
      <c r="B26" s="20">
        <v>0</v>
      </c>
      <c r="C26" s="20">
        <v>0</v>
      </c>
      <c r="D26" s="68">
        <v>0</v>
      </c>
      <c r="E26" s="20">
        <v>0</v>
      </c>
    </row>
    <row r="27" spans="1:5" x14ac:dyDescent="0.25">
      <c r="A27" s="56" t="s">
        <v>339</v>
      </c>
      <c r="B27" s="56"/>
      <c r="C27" s="59">
        <v>80665.98999999999</v>
      </c>
      <c r="D27" s="59">
        <v>0</v>
      </c>
      <c r="E27" s="59">
        <v>80665.98999999999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341</v>
      </c>
    </row>
    <row r="4" spans="4:8" x14ac:dyDescent="0.25">
      <c r="D4" s="4" t="s">
        <v>342</v>
      </c>
      <c r="E4" s="4" t="s">
        <v>343</v>
      </c>
      <c r="F4" s="4" t="s">
        <v>344</v>
      </c>
      <c r="G4" s="4" t="s">
        <v>345</v>
      </c>
      <c r="H4" s="4" t="s">
        <v>346</v>
      </c>
    </row>
    <row r="5" spans="4:8" x14ac:dyDescent="0.25">
      <c r="D5" t="s">
        <v>347</v>
      </c>
      <c r="E5" s="27">
        <v>0.25</v>
      </c>
      <c r="F5" s="27">
        <v>0.25</v>
      </c>
      <c r="G5" s="27">
        <v>0.25</v>
      </c>
      <c r="H5" s="27">
        <v>0.25</v>
      </c>
    </row>
    <row r="6" spans="2:3" x14ac:dyDescent="0.25">
      <c r="B6" t="s">
        <v>348</v>
      </c>
      <c r="C6" s="75" t="s">
        <v>349</v>
      </c>
    </row>
    <row r="7" spans="2:3" x14ac:dyDescent="0.25">
      <c r="B7" t="s">
        <v>350</v>
      </c>
      <c r="C7" s="75" t="s">
        <v>349</v>
      </c>
    </row>
    <row r="9" spans="1:6" x14ac:dyDescent="0.25">
      <c r="A9" s="25" t="s">
        <v>35</v>
      </c>
      <c r="B9" s="25" t="s">
        <v>318</v>
      </c>
      <c r="C9" s="25" t="s">
        <v>351</v>
      </c>
      <c r="D9" s="25" t="s">
        <v>352</v>
      </c>
      <c r="E9" s="25" t="s">
        <v>353</v>
      </c>
      <c r="F9" s="25" t="s">
        <v>354</v>
      </c>
    </row>
    <row r="10" spans="1:6" x14ac:dyDescent="0.25">
      <c r="A10" s="56"/>
      <c r="B10" s="59">
        <v>98897.04999999999</v>
      </c>
      <c r="C10" s="59">
        <v>80665.98999999999</v>
      </c>
      <c r="D10" s="59">
        <v>18231.059999999998</v>
      </c>
      <c r="E10" s="60">
        <v>0.1843438201645044</v>
      </c>
      <c r="F10" s="59">
        <v>0</v>
      </c>
    </row>
    <row r="12" spans="1:14" x14ac:dyDescent="0.25">
      <c r="A12" s="26" t="s">
        <v>355</v>
      </c>
      <c r="E12" s="87" t="s">
        <v>356</v>
      </c>
      <c r="F12" s="87" t="s">
        <v>357</v>
      </c>
      <c r="G12" s="87" t="s">
        <v>358</v>
      </c>
      <c r="H12" s="87" t="s">
        <v>359</v>
      </c>
      <c r="I12" s="87" t="s">
        <v>360</v>
      </c>
      <c r="J12" s="87" t="s">
        <v>361</v>
      </c>
      <c r="K12" s="87" t="s">
        <v>362</v>
      </c>
      <c r="L12" s="87" t="s">
        <v>363</v>
      </c>
      <c r="M12" s="87" t="s">
        <v>364</v>
      </c>
      <c r="N12" s="87" t="s">
        <v>365</v>
      </c>
    </row>
    <row r="13" spans="1:4" x14ac:dyDescent="0.25">
      <c r="A13" s="3" t="s">
        <v>318</v>
      </c>
      <c r="C13" s="3" t="s">
        <v>366</v>
      </c>
      <c r="D13" s="3" t="s">
        <v>367</v>
      </c>
    </row>
    <row r="14" spans="1:14" x14ac:dyDescent="0.25">
      <c r="A14" s="33">
        <v>1</v>
      </c>
      <c r="B14" s="33"/>
      <c r="C14" s="67">
        <v>0</v>
      </c>
      <c r="D14" s="73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8">
        <v>0</v>
      </c>
      <c r="D15" s="75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7">
        <v>0</v>
      </c>
      <c r="D16" s="73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8">
        <v>0</v>
      </c>
      <c r="D17" s="75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7">
        <v>0</v>
      </c>
      <c r="D18" s="73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8">
        <v>0</v>
      </c>
      <c r="D19" s="75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7">
        <v>0</v>
      </c>
      <c r="D20" s="73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8">
        <v>0</v>
      </c>
      <c r="D21" s="75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7">
        <v>0</v>
      </c>
      <c r="D22" s="73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8">
        <v>0</v>
      </c>
      <c r="D23" s="75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9" t="s">
        <v>368</v>
      </c>
      <c r="B24" s="69"/>
      <c r="C24" s="70">
        <v>0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4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6868.22</v>
      </c>
      <c r="D6" s="16">
        <f>'LED Cost Sheet'!V4</f>
        <v>8080.26</v>
      </c>
      <c r="E6" s="16">
        <f>IFERROR(D6-C6,0)</f>
        <v>1212.04</v>
      </c>
      <c r="F6" s="17">
        <v>0.15</v>
      </c>
    </row>
    <row r="7" spans="2:6" x14ac:dyDescent="0.25" outlineLevel="1" collapsed="1">
      <c r="B7" s="15" t="s">
        <v>43</v>
      </c>
      <c r="C7" s="16">
        <f>'Courtside Table - Install'!I26</f>
        <v>725.4</v>
      </c>
      <c r="D7" s="16">
        <f>IFERROR(C7/(1-F7),0)</f>
        <v>906.75</v>
      </c>
      <c r="E7" s="16">
        <f>IFERROR(D7-C7,0)</f>
        <v>181.35</v>
      </c>
      <c r="F7" s="17">
        <v>0.2</v>
      </c>
    </row>
    <row r="8" spans="2:6" x14ac:dyDescent="0.25" outlineLevel="1" collapsed="1">
      <c r="B8" s="15" t="s">
        <v>44</v>
      </c>
      <c r="C8" s="16">
        <f>'Courtside Table - Install'!I35-'Courtside Table - Install'!I34</f>
        <v>3022.5</v>
      </c>
      <c r="D8" s="16">
        <f>IFERROR(C8/(1-F8),0)</f>
        <v>3778.13</v>
      </c>
      <c r="E8" s="16">
        <f>IFERROR(D8-C8,0)</f>
        <v>755.63</v>
      </c>
      <c r="F8" s="17">
        <v>0.2</v>
      </c>
    </row>
    <row r="9" spans="2:6" x14ac:dyDescent="0.25" outlineLevel="1" collapsed="1">
      <c r="B9" s="15" t="s">
        <v>45</v>
      </c>
      <c r="C9" s="16">
        <f>'Courtside Table - Install'!I44</f>
        <v>3022.5</v>
      </c>
      <c r="D9" s="16">
        <f>IFERROR(C9/(1-F9),0)</f>
        <v>3778.13</v>
      </c>
      <c r="E9" s="16">
        <f>IFERROR(D9-C9,0)</f>
        <v>755.63</v>
      </c>
      <c r="F9" s="17">
        <v>0.2</v>
      </c>
    </row>
    <row r="10" spans="2:6" x14ac:dyDescent="0.25" outlineLevel="1" collapsed="1">
      <c r="B10" s="15" t="s">
        <v>46</v>
      </c>
      <c r="C10" s="16">
        <f>'Courtside Table - Install'!I34</f>
        <v>20882.35</v>
      </c>
      <c r="D10" s="16">
        <f>IFERROR(C10/(1-F10),0)</f>
        <v>26102.94</v>
      </c>
      <c r="E10" s="16">
        <f>IFERROR(D10-C10,0)</f>
        <v>5220.59</v>
      </c>
      <c r="F10" s="17">
        <v>0.2</v>
      </c>
    </row>
    <row r="11" spans="2:6" x14ac:dyDescent="0.25" outlineLevel="1" collapsed="1">
      <c r="B11" s="15" t="s">
        <v>47</v>
      </c>
      <c r="C11" s="16">
        <f>'Courtside Table - Install'!I52</f>
        <v>4705.88</v>
      </c>
      <c r="D11" s="16">
        <f>IFERROR(C11/(1-F11),0)</f>
        <v>5882.35</v>
      </c>
      <c r="E11" s="16">
        <f>IFERROR(D11-C11,0)</f>
        <v>1176.47</v>
      </c>
      <c r="F11" s="17">
        <v>0.2</v>
      </c>
    </row>
    <row r="12" spans="2:6" x14ac:dyDescent="0.25" outlineLevel="1" collapsed="1">
      <c r="B12" s="4" t="s">
        <v>48</v>
      </c>
      <c r="C12" s="18">
        <f>SUM(C6:C11)</f>
        <v>39226.85</v>
      </c>
      <c r="D12" s="18">
        <f>SUM(D6:D11)</f>
        <v>47940.31</v>
      </c>
      <c r="E12" s="18">
        <f>IFERROR(D12-C12,0)</f>
        <v>8713.46</v>
      </c>
      <c r="F12" s="19">
        <f>IFERROR(1-C12/D12,0)</f>
        <v>0.181756</v>
      </c>
    </row>
    <row r="13" spans="2:7" x14ac:dyDescent="0.25" outlineLevel="1" collapsed="1">
      <c r="B13" s="15" t="s">
        <v>49</v>
      </c>
      <c r="C13" s="20">
        <f>D12*G13</f>
        <v>4554.33</v>
      </c>
      <c r="D13" s="20">
        <f>D12*G13</f>
        <v>4554.33</v>
      </c>
      <c r="E13" s="20">
        <v>0</v>
      </c>
      <c r="G13" s="21">
        <v>0.095</v>
      </c>
    </row>
    <row r="14" spans="2:7" x14ac:dyDescent="0.25" outlineLevel="1" collapsed="1">
      <c r="B14" s="15" t="s">
        <v>50</v>
      </c>
      <c r="C14" s="20">
        <f>D12*G14</f>
        <v>719.1</v>
      </c>
      <c r="D14" s="20">
        <f>D12*G14</f>
        <v>719.1</v>
      </c>
      <c r="E14" s="20">
        <v>0</v>
      </c>
      <c r="G14" s="21">
        <v>0.015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44500.28</v>
      </c>
      <c r="D16" s="23">
        <f>D12+D13+D14+D15</f>
        <v>53213.74</v>
      </c>
      <c r="E16" s="23">
        <f>IFERROR(D16-C12,0)</f>
        <v>13986.89</v>
      </c>
      <c r="F16" s="24">
        <f>IFERROR(E16/D16,0)</f>
        <v>0.2628435813757875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953.88</v>
      </c>
      <c r="D19" s="16">
        <f>'LED Cost Sheet'!V5</f>
        <v>1122.21</v>
      </c>
      <c r="E19" s="16">
        <f>IFERROR(D19-C19,0)</f>
        <v>168.33</v>
      </c>
      <c r="F19" s="17">
        <v>0.15</v>
      </c>
    </row>
    <row r="20" spans="2:6" x14ac:dyDescent="0.25" outlineLevel="1" collapsed="1">
      <c r="B20" s="15" t="s">
        <v>43</v>
      </c>
      <c r="C20" s="16">
        <f>'Stanchion - Install'!I26</f>
        <v>193.8</v>
      </c>
      <c r="D20" s="16">
        <f>IFERROR(C20/(1-F20),0)</f>
        <v>242.25</v>
      </c>
      <c r="E20" s="16">
        <f>IFERROR(D20-C20,0)</f>
        <v>48.45</v>
      </c>
      <c r="F20" s="17">
        <v>0.2</v>
      </c>
    </row>
    <row r="21" spans="2:6" x14ac:dyDescent="0.25" outlineLevel="1" collapsed="1">
      <c r="B21" s="15" t="s">
        <v>44</v>
      </c>
      <c r="C21" s="16">
        <f>'Stanchion - Install'!I35-'Stanchion - Install'!I34</f>
        <v>807.5</v>
      </c>
      <c r="D21" s="16">
        <f>IFERROR(C21/(1-F21),0)</f>
        <v>1009.38</v>
      </c>
      <c r="E21" s="16">
        <f>IFERROR(D21-C21,0)</f>
        <v>201.88</v>
      </c>
      <c r="F21" s="17">
        <v>0.2</v>
      </c>
    </row>
    <row r="22" spans="2:6" x14ac:dyDescent="0.25" outlineLevel="1" collapsed="1">
      <c r="B22" s="15" t="s">
        <v>45</v>
      </c>
      <c r="C22" s="16">
        <f>'Stanchion - Install'!I44</f>
        <v>807.5</v>
      </c>
      <c r="D22" s="16">
        <f>IFERROR(C22/(1-F22),0)</f>
        <v>1009.38</v>
      </c>
      <c r="E22" s="16">
        <f>IFERROR(D22-C22,0)</f>
        <v>201.88</v>
      </c>
      <c r="F22" s="17">
        <v>0.2</v>
      </c>
    </row>
    <row r="23" spans="2:6" x14ac:dyDescent="0.25" outlineLevel="1" collapsed="1">
      <c r="B23" s="15" t="s">
        <v>46</v>
      </c>
      <c r="C23" s="16">
        <f>'Stanchion - Install'!I34</f>
        <v>20882.35</v>
      </c>
      <c r="D23" s="16">
        <f>IFERROR(C23/(1-F23),0)</f>
        <v>26102.94</v>
      </c>
      <c r="E23" s="16">
        <f>IFERROR(D23-C23,0)</f>
        <v>5220.59</v>
      </c>
      <c r="F23" s="17">
        <v>0.2</v>
      </c>
    </row>
    <row r="24" spans="2:6" x14ac:dyDescent="0.25" outlineLevel="1" collapsed="1">
      <c r="B24" s="15" t="s">
        <v>47</v>
      </c>
      <c r="C24" s="16">
        <f>'Stanchion - Install'!I52</f>
        <v>4705.88</v>
      </c>
      <c r="D24" s="16">
        <f>IFERROR(C24/(1-F24),0)</f>
        <v>5882.35</v>
      </c>
      <c r="E24" s="16">
        <f>IFERROR(D24-C24,0)</f>
        <v>1176.47</v>
      </c>
      <c r="F24" s="17">
        <v>0.2</v>
      </c>
    </row>
    <row r="25" spans="2:6" x14ac:dyDescent="0.25" outlineLevel="1" collapsed="1">
      <c r="B25" s="4" t="s">
        <v>48</v>
      </c>
      <c r="C25" s="18">
        <f>SUM(C19:C24)</f>
        <v>28350.91</v>
      </c>
      <c r="D25" s="18">
        <f>SUM(D19:D24)</f>
        <v>34780.27</v>
      </c>
      <c r="E25" s="18">
        <f>IFERROR(D25-C25,0)</f>
        <v>6429.36</v>
      </c>
      <c r="F25" s="19">
        <f>IFERROR(1-C25/D25,0)</f>
        <v>0.184857</v>
      </c>
    </row>
    <row r="26" spans="2:7" x14ac:dyDescent="0.25" outlineLevel="1" collapsed="1">
      <c r="B26" s="15" t="s">
        <v>49</v>
      </c>
      <c r="C26" s="20">
        <f>D25*G26</f>
        <v>3304.13</v>
      </c>
      <c r="D26" s="20">
        <f>D25*G26</f>
        <v>3304.13</v>
      </c>
      <c r="E26" s="20">
        <v>0</v>
      </c>
      <c r="G26" s="21">
        <v>0.095</v>
      </c>
    </row>
    <row r="27" spans="2:7" x14ac:dyDescent="0.25" outlineLevel="1" collapsed="1">
      <c r="B27" s="15" t="s">
        <v>50</v>
      </c>
      <c r="C27" s="20">
        <f>D25*G27</f>
        <v>521.7</v>
      </c>
      <c r="D27" s="20">
        <f>D25*G27</f>
        <v>521.7</v>
      </c>
      <c r="E27" s="20">
        <v>0</v>
      </c>
      <c r="G27" s="21">
        <v>0.015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32176.74</v>
      </c>
      <c r="D29" s="23">
        <f>D25+D26+D27+D28</f>
        <v>38606.09999999999</v>
      </c>
      <c r="E29" s="23">
        <f>IFERROR(D29-C25,0)</f>
        <v>10255.189999999991</v>
      </c>
      <c r="F29" s="24">
        <f>IFERROR(E29/D29,0)</f>
        <v>0.2656365185812603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2500</v>
      </c>
      <c r="D32" s="16">
        <f>'LED Cost Sheet'!V6</f>
        <v>2941.18</v>
      </c>
      <c r="E32" s="16">
        <f>IFERROR(D32-C32,0)</f>
        <v>441.18</v>
      </c>
      <c r="F32" s="17">
        <v>0.15</v>
      </c>
    </row>
    <row r="33" spans="2:6" x14ac:dyDescent="0.25" outlineLevel="1" collapsed="1">
      <c r="B33" s="15" t="s">
        <v>43</v>
      </c>
      <c r="C33" s="16">
        <v>0</v>
      </c>
      <c r="D33" s="16">
        <v>0</v>
      </c>
      <c r="E33" s="16">
        <v>0</v>
      </c>
      <c r="F33" s="17">
        <v>0.2</v>
      </c>
    </row>
    <row r="34" spans="2:6" x14ac:dyDescent="0.25" outlineLevel="1" collapsed="1">
      <c r="B34" s="15" t="s">
        <v>44</v>
      </c>
      <c r="C34" s="16">
        <v>0</v>
      </c>
      <c r="D34" s="16">
        <v>0</v>
      </c>
      <c r="E34" s="16">
        <v>0</v>
      </c>
      <c r="F34" s="17">
        <v>0.2</v>
      </c>
    </row>
    <row r="35" spans="2:6" x14ac:dyDescent="0.25" outlineLevel="1" collapsed="1">
      <c r="B35" s="15" t="s">
        <v>45</v>
      </c>
      <c r="C35" s="16">
        <v>0</v>
      </c>
      <c r="D35" s="16">
        <v>0</v>
      </c>
      <c r="E35" s="16">
        <v>0</v>
      </c>
      <c r="F35" s="17">
        <v>0.2</v>
      </c>
    </row>
    <row r="36" spans="2:6" x14ac:dyDescent="0.25" outlineLevel="1" collapsed="1">
      <c r="B36" s="15" t="s">
        <v>46</v>
      </c>
      <c r="C36" s="16">
        <f>'Main Scoreboard - Install'!I34</f>
        <v>5882.35</v>
      </c>
      <c r="D36" s="16">
        <f>IFERROR(C36/(1-F36),0)</f>
        <v>7352.94</v>
      </c>
      <c r="E36" s="16">
        <f>IFERROR(D36-C36,0)</f>
        <v>1470.59</v>
      </c>
      <c r="F36" s="17">
        <v>0.2</v>
      </c>
    </row>
    <row r="37" spans="2:6" x14ac:dyDescent="0.25" outlineLevel="1" collapsed="1">
      <c r="B37" s="15" t="s">
        <v>47</v>
      </c>
      <c r="C37" s="16">
        <f>'Main Scoreboard - Install'!I52</f>
        <v>4705.88</v>
      </c>
      <c r="D37" s="16">
        <f>IFERROR(C37/(1-F37),0)</f>
        <v>5882.35</v>
      </c>
      <c r="E37" s="16">
        <f>IFERROR(D37-C37,0)</f>
        <v>1176.47</v>
      </c>
      <c r="F37" s="17">
        <v>0.2</v>
      </c>
    </row>
    <row r="38" spans="2:6" x14ac:dyDescent="0.25" outlineLevel="1" collapsed="1">
      <c r="B38" s="4" t="s">
        <v>48</v>
      </c>
      <c r="C38" s="18">
        <f>SUM(C32:C37)</f>
        <v>13088.23</v>
      </c>
      <c r="D38" s="18">
        <f>SUM(D32:D37)</f>
        <v>16176.47</v>
      </c>
      <c r="E38" s="18">
        <f>IFERROR(D38-C38,0)</f>
        <v>3088.24</v>
      </c>
      <c r="F38" s="19">
        <f>IFERROR(1-C38/D38,0)</f>
        <v>0.190909</v>
      </c>
    </row>
    <row r="39" spans="2:7" x14ac:dyDescent="0.25" outlineLevel="1" collapsed="1">
      <c r="B39" s="15" t="s">
        <v>49</v>
      </c>
      <c r="C39" s="20">
        <f>D38*G39</f>
        <v>1536.76</v>
      </c>
      <c r="D39" s="20">
        <f>D38*G39</f>
        <v>1536.76</v>
      </c>
      <c r="E39" s="20">
        <v>0</v>
      </c>
      <c r="G39" s="21">
        <v>0.095</v>
      </c>
    </row>
    <row r="40" spans="2:7" x14ac:dyDescent="0.25" outlineLevel="1" collapsed="1">
      <c r="B40" s="15" t="s">
        <v>50</v>
      </c>
      <c r="C40" s="20">
        <f>D38*G40</f>
        <v>242.65</v>
      </c>
      <c r="D40" s="20">
        <f>D38*G40</f>
        <v>242.65</v>
      </c>
      <c r="E40" s="20">
        <v>0</v>
      </c>
      <c r="G40" s="21">
        <v>0.015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14867.64</v>
      </c>
      <c r="D42" s="23">
        <f>D38+D39+D40+D41</f>
        <v>17955.88</v>
      </c>
      <c r="E42" s="23">
        <f>IFERROR(D42-C38,0)</f>
        <v>4867.6500000000015</v>
      </c>
      <c r="F42" s="24">
        <f>IFERROR(E42/D42,0)</f>
        <v>0.27108947041303466</v>
      </c>
    </row>
    <row r="45" ht="24" customHeight="1" spans="2:6" x14ac:dyDescent="0.25">
      <c r="B45" s="25" t="s">
        <v>55</v>
      </c>
      <c r="C45" s="25"/>
      <c r="D45" s="25"/>
      <c r="E45" s="25"/>
      <c r="F45" s="25"/>
    </row>
    <row r="46" spans="2:6" x14ac:dyDescent="0.25">
      <c r="B46" s="26" t="s">
        <v>56</v>
      </c>
      <c r="C46" s="20">
        <f>SUM(CMS!F26:F26)</f>
        <v>0</v>
      </c>
      <c r="D46" s="20">
        <f>SUM(CMS!H26:H26)</f>
        <v>0</v>
      </c>
      <c r="E46" s="20">
        <f>SUM(CMS!I26:I26)</f>
        <v>0</v>
      </c>
      <c r="F46" s="21">
        <v>0.15</v>
      </c>
    </row>
    <row r="47" spans="2:6" x14ac:dyDescent="0.25">
      <c r="B47" s="26" t="s">
        <v>57</v>
      </c>
      <c r="C47" s="20">
        <f>SUM(Scoring!F27:F27)</f>
        <v>0</v>
      </c>
      <c r="D47" s="20">
        <f>SUM(Scoring!H27:H27)</f>
        <v>0</v>
      </c>
      <c r="E47" s="20">
        <f>SUM(Scoring!I27:I27)</f>
        <v>0</v>
      </c>
      <c r="F47" s="21">
        <v>0.15</v>
      </c>
    </row>
    <row r="48" spans="2:6" x14ac:dyDescent="0.25">
      <c r="B48" s="26" t="s">
        <v>58</v>
      </c>
      <c r="C48" s="20">
        <f>SUM('Venue Services'!B17:B17)</f>
        <v>0</v>
      </c>
      <c r="D48" s="20">
        <f>SUM('Venue Services'!C17:C17)</f>
        <v>0</v>
      </c>
      <c r="E48" s="20">
        <f>SUM('Venue Services'!D17:D17)</f>
        <v>0</v>
      </c>
      <c r="F48" s="27">
        <v>0.15</v>
      </c>
    </row>
    <row r="49" spans="2:6" x14ac:dyDescent="0.25">
      <c r="B49" s="26" t="s">
        <v>59</v>
      </c>
      <c r="C49" s="20">
        <f>SUM('Additional Items'!F5:F5)</f>
        <v>0</v>
      </c>
      <c r="D49" s="20">
        <f>SUM('Additional Items'!H5:H5)</f>
        <v>0</v>
      </c>
      <c r="E49" s="20">
        <f>SUM('Additional Items'!I5:I5)</f>
        <v>0</v>
      </c>
      <c r="F49" s="27">
        <f>SUM('Additional Items'!G5:G5)</f>
        <v>0.15</v>
      </c>
    </row>
    <row r="50" spans="2:6" x14ac:dyDescent="0.25">
      <c r="B50" s="26" t="s">
        <v>60</v>
      </c>
      <c r="C50" s="20">
        <f>SUM('Additional Items'!F6:F6)</f>
        <v>0</v>
      </c>
      <c r="D50" s="20">
        <f>SUM('Additional Items'!H6:H6)</f>
        <v>0</v>
      </c>
      <c r="E50" s="20">
        <f>SUM('Additional Items'!I6:I6)</f>
        <v>0</v>
      </c>
      <c r="F50" s="27">
        <f>SUM('Additional Items'!G6:G6)</f>
        <v>0.15</v>
      </c>
    </row>
    <row r="51" spans="2:6" x14ac:dyDescent="0.25">
      <c r="B51" s="26" t="s">
        <v>61</v>
      </c>
      <c r="C51" s="20">
        <f>SUM('Additional Items'!F7:F7)</f>
        <v>0</v>
      </c>
      <c r="D51" s="20">
        <f>SUM('Additional Items'!H7:H7)</f>
        <v>0</v>
      </c>
      <c r="E51" s="20">
        <f>SUM('Additional Items'!I7:I7)</f>
        <v>0</v>
      </c>
      <c r="F51" s="27">
        <f>SUM('Additional Items'!G7:G7)</f>
        <v>0.15</v>
      </c>
    </row>
    <row r="52" spans="2:6" x14ac:dyDescent="0.25">
      <c r="B52" s="26" t="s">
        <v>62</v>
      </c>
      <c r="C52" s="20">
        <f>SUM('Additional Items'!F8:F8)</f>
        <v>0</v>
      </c>
      <c r="D52" s="20">
        <f>SUM('Additional Items'!H8:H8)</f>
        <v>0</v>
      </c>
      <c r="E52" s="20">
        <f>SUM('Additional Items'!I8:I8)</f>
        <v>0</v>
      </c>
      <c r="F52" s="27">
        <f>SUM('Additional Items'!G8:G8)</f>
        <v>0.15</v>
      </c>
    </row>
    <row r="54" spans="1:6" x14ac:dyDescent="0.25" outlineLevel="1" collapsed="1">
      <c r="A54" s="28"/>
      <c r="B54" s="29" t="s">
        <v>63</v>
      </c>
      <c r="C54" s="30">
        <f>SUM(C16,C29,C42,C46,C47,C48,C49,C50,C51,C52)</f>
        <v>91544.66</v>
      </c>
      <c r="D54" s="30">
        <f>SUM(D16,D29,D42,D46,D47,D48,D49,D50,D51,D52)</f>
        <v>109775.72</v>
      </c>
      <c r="E54" s="30">
        <f>SUM(E16,E29,E42,E46,E47,E48,E49,E50,E51,E52)</f>
        <v>29109.73</v>
      </c>
      <c r="F54" s="31">
        <f>IFERROR(E54/D54,0)</f>
        <v>0.27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64</v>
      </c>
      <c r="B1" s="1"/>
      <c r="C1" s="1"/>
      <c r="D1" s="1"/>
      <c r="E1" s="1"/>
      <c r="F1" s="1"/>
      <c r="G1" s="1"/>
    </row>
    <row r="2" spans="1:7" x14ac:dyDescent="0.25">
      <c r="A2" s="2" t="s">
        <v>65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66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67</v>
      </c>
    </row>
    <row r="5" spans="2:7" x14ac:dyDescent="0.25">
      <c r="B5" s="5" t="s">
        <v>68</v>
      </c>
      <c r="C5" s="20">
        <f>SUM('LED Cost Sheet'!T4:T6)</f>
        <v>10322.1</v>
      </c>
      <c r="D5" s="20">
        <f>SUM('LED Cost Sheet'!V4:V6)</f>
        <v>12143.65</v>
      </c>
      <c r="E5" s="20">
        <f>IFERROR(D5-C5,0)</f>
        <v>1821.55</v>
      </c>
      <c r="F5" s="27">
        <v>0.15</v>
      </c>
      <c r="G5" s="20">
        <f>IFERROR(C5/30.64,0)</f>
        <v>336.88</v>
      </c>
    </row>
    <row r="6" spans="1:7" x14ac:dyDescent="0.25">
      <c r="A6" s="33"/>
      <c r="B6" s="7" t="s">
        <v>69</v>
      </c>
      <c r="C6" s="34">
        <f>SUM('Courtside Table - Install'!I26:I26)+SUM('Stanchion - Install'!I26:I26)+SUM('Main Scoreboard - Install'!I26:I26)</f>
        <v>919.2</v>
      </c>
      <c r="D6" s="34">
        <f>SUM('Courtside Table - Install'!K26:K26)+SUM('Stanchion - Install'!K26:K26)+SUM('Main Scoreboard - Install'!K26:K26)</f>
        <v>1149</v>
      </c>
      <c r="E6" s="34">
        <f>IFERROR(D6-C6,0)</f>
        <v>229.8</v>
      </c>
      <c r="F6" s="35">
        <v>0.2</v>
      </c>
      <c r="G6" s="34">
        <f>IFERROR(C6/30.64,0)</f>
        <v>30</v>
      </c>
    </row>
    <row r="7" spans="2:7" x14ac:dyDescent="0.25">
      <c r="B7" s="5" t="s">
        <v>70</v>
      </c>
      <c r="C7" s="20">
        <f>(SUM('Courtside Table - Install'!I35:I35)-SUM('Courtside Table - Install'!I34:I34))+(SUM('Stanchion - Install'!I35:I35)-SUM('Stanchion - Install'!I34:I34))+(SUM('Main Scoreboard - Install'!I35:I35)-SUM('Main Scoreboard - Install'!I34:I34))</f>
        <v>3830</v>
      </c>
      <c r="D7" s="20">
        <f>(SUM('Courtside Table - Install'!K35:K35)-SUM('Courtside Table - Install'!K34:K34))+(SUM('Stanchion - Install'!K35:K35)-SUM('Stanchion - Install'!K34:K34))+(SUM('Main Scoreboard - Install'!K35:K35)-SUM('Main Scoreboard - Install'!K34:K34))</f>
        <v>4787.5</v>
      </c>
      <c r="E7" s="20">
        <f>IFERROR(D7-C7,0)</f>
        <v>957.5</v>
      </c>
      <c r="F7" s="27">
        <v>0.2</v>
      </c>
      <c r="G7" s="20">
        <f>IFERROR(C7/30.64,0)</f>
        <v>125</v>
      </c>
    </row>
    <row r="8" spans="1:7" x14ac:dyDescent="0.25">
      <c r="A8" s="33"/>
      <c r="B8" s="7" t="s">
        <v>71</v>
      </c>
      <c r="C8" s="34">
        <f>SUM('Courtside Table - Install'!I44:I44)+SUM('Stanchion - Install'!I44:I44)+SUM('Main Scoreboard - Install'!I44:I44)</f>
        <v>3830</v>
      </c>
      <c r="D8" s="34">
        <f>SUM('Courtside Table - Install'!K44:K44)+SUM('Stanchion - Install'!K44:K44)+SUM('Main Scoreboard - Install'!K44:K44)</f>
        <v>4787.5</v>
      </c>
      <c r="E8" s="34">
        <f>IFERROR(D8-C8,0)</f>
        <v>957.5</v>
      </c>
      <c r="F8" s="35">
        <v>0.2</v>
      </c>
      <c r="G8" s="34">
        <f>IFERROR(C8/30.64,0)</f>
        <v>125</v>
      </c>
    </row>
    <row r="9" spans="2:7" x14ac:dyDescent="0.25">
      <c r="B9" s="5" t="s">
        <v>72</v>
      </c>
      <c r="C9" s="20">
        <f>SUM('Courtside Table - Install'!I34:I34)+SUM('Stanchion - Install'!I34:I34)+SUM('Main Scoreboard - Install'!I34:I34)</f>
        <v>47647.049999999996</v>
      </c>
      <c r="D9" s="20">
        <f>SUM('Courtside Table - Install'!K34:K34)+SUM('Stanchion - Install'!K34:K34)+SUM('Main Scoreboard - Install'!K34:K34)</f>
        <v>59558.81</v>
      </c>
      <c r="E9" s="20">
        <f>IFERROR(D9-C9,0)</f>
        <v>11911.76</v>
      </c>
      <c r="F9" s="27">
        <v>0.2</v>
      </c>
      <c r="G9" s="20" t="s">
        <v>35</v>
      </c>
    </row>
    <row r="10" spans="1:7" x14ac:dyDescent="0.25">
      <c r="A10" s="33"/>
      <c r="B10" s="7" t="s">
        <v>73</v>
      </c>
      <c r="C10" s="34">
        <f>SUM('Courtside Table - Install'!I52:I52)+SUM('Stanchion - Install'!I52:I52)+SUM('Main Scoreboard - Install'!I52:I52)</f>
        <v>14117.64</v>
      </c>
      <c r="D10" s="34">
        <f>SUM('Courtside Table - Install'!K52:K52)+SUM('Stanchion - Install'!K52:K52)+SUM('Main Scoreboard - Install'!K52:K52)</f>
        <v>17647.05</v>
      </c>
      <c r="E10" s="34">
        <f>IFERROR(D10-C10,0)</f>
        <v>3529.41</v>
      </c>
      <c r="F10" s="35">
        <v>0.2</v>
      </c>
      <c r="G10" s="34" t="s">
        <v>35</v>
      </c>
    </row>
    <row r="11" spans="2:7" x14ac:dyDescent="0.25">
      <c r="B11" s="5" t="s">
        <v>56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57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58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59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60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61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62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74</v>
      </c>
      <c r="C19" s="37">
        <f>SUM(C5:C17)</f>
        <v>80665.98999999999</v>
      </c>
      <c r="D19" s="37">
        <f>SUM(D5:D17)</f>
        <v>98897.04999999999</v>
      </c>
      <c r="E19" s="37">
        <f>IFERROR(D19-C19,0)</f>
        <v>18231.06</v>
      </c>
      <c r="F19" s="38">
        <f>IFERROR(1-C19/D19,0)</f>
        <v>0.18</v>
      </c>
      <c r="G19" s="37">
        <f>IFERROR(C19/30.64,0)</f>
        <v>2632.7</v>
      </c>
    </row>
    <row r="20" spans="1:7" x14ac:dyDescent="0.25">
      <c r="A20" s="33"/>
      <c r="B20" s="33" t="s">
        <v>75</v>
      </c>
      <c r="C20" s="34">
        <f>D19*0.095</f>
        <v>9395.22</v>
      </c>
      <c r="D20" s="34">
        <f>D19*0.095</f>
        <v>9395.22</v>
      </c>
      <c r="E20" s="34">
        <v>0</v>
      </c>
      <c r="F20" s="35">
        <v>0</v>
      </c>
      <c r="G20" s="33"/>
    </row>
    <row r="21" spans="2:6" x14ac:dyDescent="0.25">
      <c r="B21" t="s">
        <v>76</v>
      </c>
      <c r="C21" s="20">
        <f>D19*0.015</f>
        <v>1483.46</v>
      </c>
      <c r="D21" s="20">
        <f>D19*0.015</f>
        <v>1483.46</v>
      </c>
      <c r="E21" s="20">
        <v>0</v>
      </c>
      <c r="F21" s="27">
        <v>0</v>
      </c>
    </row>
    <row r="22" spans="1:7" x14ac:dyDescent="0.25">
      <c r="A22" s="28"/>
      <c r="B22" s="29" t="s">
        <v>77</v>
      </c>
      <c r="C22" s="30">
        <f>C19+C20+C21</f>
        <v>91544.67</v>
      </c>
      <c r="D22" s="30">
        <f>D19+D20+D21</f>
        <v>109775.73</v>
      </c>
      <c r="E22" s="30">
        <f>IFERROR(D22-C22,0)</f>
        <v>18231.06</v>
      </c>
      <c r="F22" s="31">
        <f>IFERROR(1-C22/D22,0)</f>
        <v>0.17</v>
      </c>
      <c r="G22" s="30">
        <f>IFERROR(C22/30.64,0)</f>
        <v>2632.7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369</v>
      </c>
      <c r="B1" s="1"/>
      <c r="C1" s="1"/>
      <c r="D1" s="1"/>
      <c r="E1" s="1"/>
    </row>
    <row r="3" spans="1:5" x14ac:dyDescent="0.25">
      <c r="A3" s="25" t="s">
        <v>370</v>
      </c>
      <c r="B3" s="25" t="s">
        <v>84</v>
      </c>
      <c r="C3" s="25" t="s">
        <v>371</v>
      </c>
      <c r="D3" s="25" t="s">
        <v>372</v>
      </c>
      <c r="E3" s="25" t="s">
        <v>66</v>
      </c>
    </row>
    <row r="4" spans="1:5" x14ac:dyDescent="0.25">
      <c r="A4" s="73" t="s">
        <v>35</v>
      </c>
      <c r="B4" s="73" t="s">
        <v>35</v>
      </c>
      <c r="C4" s="73" t="s">
        <v>35</v>
      </c>
      <c r="D4" s="67">
        <v>0</v>
      </c>
      <c r="E4" s="73" t="s">
        <v>35</v>
      </c>
    </row>
    <row r="5" spans="1:5" x14ac:dyDescent="0.25">
      <c r="A5" s="75" t="s">
        <v>35</v>
      </c>
      <c r="B5" s="75" t="s">
        <v>35</v>
      </c>
      <c r="C5" s="75" t="s">
        <v>35</v>
      </c>
      <c r="D5" s="68">
        <v>0</v>
      </c>
      <c r="E5" s="75" t="s">
        <v>35</v>
      </c>
    </row>
    <row r="6" spans="1:5" x14ac:dyDescent="0.25">
      <c r="A6" s="73" t="s">
        <v>35</v>
      </c>
      <c r="B6" s="73" t="s">
        <v>35</v>
      </c>
      <c r="C6" s="73" t="s">
        <v>35</v>
      </c>
      <c r="D6" s="67">
        <v>0</v>
      </c>
      <c r="E6" s="73" t="s">
        <v>35</v>
      </c>
    </row>
    <row r="7" spans="1:5" x14ac:dyDescent="0.25">
      <c r="A7" s="75" t="s">
        <v>35</v>
      </c>
      <c r="B7" s="75" t="s">
        <v>35</v>
      </c>
      <c r="C7" s="75" t="s">
        <v>35</v>
      </c>
      <c r="D7" s="68">
        <v>0</v>
      </c>
      <c r="E7" s="75" t="s">
        <v>35</v>
      </c>
    </row>
    <row r="8" spans="1:5" x14ac:dyDescent="0.25">
      <c r="A8" s="73" t="s">
        <v>35</v>
      </c>
      <c r="B8" s="73" t="s">
        <v>35</v>
      </c>
      <c r="C8" s="73" t="s">
        <v>35</v>
      </c>
      <c r="D8" s="67">
        <v>0</v>
      </c>
      <c r="E8" s="73" t="s">
        <v>35</v>
      </c>
    </row>
    <row r="9" spans="1:5" x14ac:dyDescent="0.25">
      <c r="A9" s="75" t="s">
        <v>35</v>
      </c>
      <c r="B9" s="75" t="s">
        <v>35</v>
      </c>
      <c r="C9" s="75" t="s">
        <v>35</v>
      </c>
      <c r="D9" s="68">
        <v>0</v>
      </c>
      <c r="E9" s="75" t="s">
        <v>35</v>
      </c>
    </row>
    <row r="10" spans="1:5" x14ac:dyDescent="0.25">
      <c r="A10" s="73" t="s">
        <v>35</v>
      </c>
      <c r="B10" s="73" t="s">
        <v>35</v>
      </c>
      <c r="C10" s="73" t="s">
        <v>35</v>
      </c>
      <c r="D10" s="67">
        <v>0</v>
      </c>
      <c r="E10" s="73" t="s">
        <v>35</v>
      </c>
    </row>
    <row r="11" spans="1:5" x14ac:dyDescent="0.25">
      <c r="A11" s="75" t="s">
        <v>35</v>
      </c>
      <c r="B11" s="75" t="s">
        <v>35</v>
      </c>
      <c r="C11" s="75" t="s">
        <v>35</v>
      </c>
      <c r="D11" s="68">
        <v>0</v>
      </c>
      <c r="E11" s="75" t="s">
        <v>35</v>
      </c>
    </row>
    <row r="12" spans="1:5" x14ac:dyDescent="0.25">
      <c r="A12" s="73" t="s">
        <v>35</v>
      </c>
      <c r="B12" s="73" t="s">
        <v>35</v>
      </c>
      <c r="C12" s="73" t="s">
        <v>35</v>
      </c>
      <c r="D12" s="67">
        <v>0</v>
      </c>
      <c r="E12" s="73" t="s">
        <v>35</v>
      </c>
    </row>
    <row r="13" spans="1:5" x14ac:dyDescent="0.25">
      <c r="A13" s="75" t="s">
        <v>35</v>
      </c>
      <c r="B13" s="75" t="s">
        <v>35</v>
      </c>
      <c r="C13" s="75" t="s">
        <v>35</v>
      </c>
      <c r="D13" s="68">
        <v>0</v>
      </c>
      <c r="E13" s="75" t="s">
        <v>35</v>
      </c>
    </row>
    <row r="14" spans="1:5" x14ac:dyDescent="0.25">
      <c r="A14" s="73" t="s">
        <v>35</v>
      </c>
      <c r="B14" s="73" t="s">
        <v>35</v>
      </c>
      <c r="C14" s="73" t="s">
        <v>35</v>
      </c>
      <c r="D14" s="67">
        <v>0</v>
      </c>
      <c r="E14" s="73" t="s">
        <v>35</v>
      </c>
    </row>
    <row r="15" spans="1:5" x14ac:dyDescent="0.25">
      <c r="A15" s="75" t="s">
        <v>35</v>
      </c>
      <c r="B15" s="75" t="s">
        <v>35</v>
      </c>
      <c r="C15" s="75" t="s">
        <v>35</v>
      </c>
      <c r="D15" s="68">
        <v>0</v>
      </c>
      <c r="E15" s="75" t="s">
        <v>35</v>
      </c>
    </row>
    <row r="16" spans="1:5" x14ac:dyDescent="0.25">
      <c r="A16" s="73" t="s">
        <v>35</v>
      </c>
      <c r="B16" s="73" t="s">
        <v>35</v>
      </c>
      <c r="C16" s="73" t="s">
        <v>35</v>
      </c>
      <c r="D16" s="67">
        <v>0</v>
      </c>
      <c r="E16" s="73" t="s">
        <v>35</v>
      </c>
    </row>
    <row r="17" spans="1:5" x14ac:dyDescent="0.25">
      <c r="A17" s="75" t="s">
        <v>35</v>
      </c>
      <c r="B17" s="75" t="s">
        <v>35</v>
      </c>
      <c r="C17" s="75" t="s">
        <v>35</v>
      </c>
      <c r="D17" s="68">
        <v>0</v>
      </c>
      <c r="E17" s="75" t="s">
        <v>35</v>
      </c>
    </row>
    <row r="18" spans="1:5" x14ac:dyDescent="0.25">
      <c r="A18" s="73" t="s">
        <v>35</v>
      </c>
      <c r="B18" s="73" t="s">
        <v>35</v>
      </c>
      <c r="C18" s="73" t="s">
        <v>35</v>
      </c>
      <c r="D18" s="67">
        <v>0</v>
      </c>
      <c r="E18" s="73" t="s">
        <v>35</v>
      </c>
    </row>
    <row r="19" spans="1:5" x14ac:dyDescent="0.25">
      <c r="A19" s="75" t="s">
        <v>35</v>
      </c>
      <c r="B19" s="75" t="s">
        <v>35</v>
      </c>
      <c r="C19" s="75" t="s">
        <v>35</v>
      </c>
      <c r="D19" s="68">
        <v>0</v>
      </c>
      <c r="E19" s="75" t="s">
        <v>35</v>
      </c>
    </row>
    <row r="20" spans="1:5" x14ac:dyDescent="0.25">
      <c r="A20" s="73" t="s">
        <v>35</v>
      </c>
      <c r="B20" s="73" t="s">
        <v>35</v>
      </c>
      <c r="C20" s="73" t="s">
        <v>35</v>
      </c>
      <c r="D20" s="67">
        <v>0</v>
      </c>
      <c r="E20" s="73" t="s">
        <v>35</v>
      </c>
    </row>
    <row r="21" spans="1:5" x14ac:dyDescent="0.25">
      <c r="A21" s="75" t="s">
        <v>35</v>
      </c>
      <c r="B21" s="75" t="s">
        <v>35</v>
      </c>
      <c r="C21" s="75" t="s">
        <v>35</v>
      </c>
      <c r="D21" s="68">
        <v>0</v>
      </c>
      <c r="E21" s="75" t="s">
        <v>35</v>
      </c>
    </row>
    <row r="22" spans="1:5" x14ac:dyDescent="0.25">
      <c r="A22" s="73" t="s">
        <v>35</v>
      </c>
      <c r="B22" s="73" t="s">
        <v>35</v>
      </c>
      <c r="C22" s="73" t="s">
        <v>35</v>
      </c>
      <c r="D22" s="67">
        <v>0</v>
      </c>
      <c r="E22" s="73" t="s">
        <v>35</v>
      </c>
    </row>
    <row r="23" spans="1:5" x14ac:dyDescent="0.25">
      <c r="A23" s="75" t="s">
        <v>35</v>
      </c>
      <c r="B23" s="75" t="s">
        <v>35</v>
      </c>
      <c r="C23" s="75" t="s">
        <v>35</v>
      </c>
      <c r="D23" s="68">
        <v>0</v>
      </c>
      <c r="E23" s="75" t="s">
        <v>35</v>
      </c>
    </row>
    <row r="24" spans="1:5" x14ac:dyDescent="0.25">
      <c r="A24" s="73" t="s">
        <v>35</v>
      </c>
      <c r="B24" s="73" t="s">
        <v>35</v>
      </c>
      <c r="C24" s="73" t="s">
        <v>35</v>
      </c>
      <c r="D24" s="67">
        <v>0</v>
      </c>
      <c r="E24" s="73" t="s">
        <v>35</v>
      </c>
    </row>
    <row r="25" spans="1:5" x14ac:dyDescent="0.25">
      <c r="A25" s="75" t="s">
        <v>35</v>
      </c>
      <c r="B25" s="75" t="s">
        <v>35</v>
      </c>
      <c r="C25" s="75" t="s">
        <v>35</v>
      </c>
      <c r="D25" s="68">
        <v>0</v>
      </c>
      <c r="E25" s="75" t="s">
        <v>35</v>
      </c>
    </row>
    <row r="26" spans="1:5" x14ac:dyDescent="0.25">
      <c r="A26" s="73" t="s">
        <v>35</v>
      </c>
      <c r="B26" s="73" t="s">
        <v>35</v>
      </c>
      <c r="C26" s="73" t="s">
        <v>35</v>
      </c>
      <c r="D26" s="67">
        <v>0</v>
      </c>
      <c r="E26" s="73" t="s">
        <v>35</v>
      </c>
    </row>
    <row r="27" spans="1:5" x14ac:dyDescent="0.25">
      <c r="A27" s="75" t="s">
        <v>35</v>
      </c>
      <c r="B27" s="75" t="s">
        <v>35</v>
      </c>
      <c r="C27" s="75" t="s">
        <v>35</v>
      </c>
      <c r="D27" s="68">
        <v>0</v>
      </c>
      <c r="E27" s="75" t="s">
        <v>35</v>
      </c>
    </row>
    <row r="28" spans="1:5" x14ac:dyDescent="0.25">
      <c r="A28" s="73" t="s">
        <v>35</v>
      </c>
      <c r="B28" s="73" t="s">
        <v>35</v>
      </c>
      <c r="C28" s="73" t="s">
        <v>35</v>
      </c>
      <c r="D28" s="67">
        <v>0</v>
      </c>
      <c r="E28" s="73" t="s">
        <v>35</v>
      </c>
    </row>
    <row r="29" spans="1:5" x14ac:dyDescent="0.25">
      <c r="A29" s="75" t="s">
        <v>35</v>
      </c>
      <c r="B29" s="75" t="s">
        <v>35</v>
      </c>
      <c r="C29" s="75" t="s">
        <v>35</v>
      </c>
      <c r="D29" s="68">
        <v>0</v>
      </c>
      <c r="E29" s="75" t="s">
        <v>35</v>
      </c>
    </row>
    <row r="30" spans="1:5" x14ac:dyDescent="0.25">
      <c r="A30" s="73" t="s">
        <v>35</v>
      </c>
      <c r="B30" s="73" t="s">
        <v>35</v>
      </c>
      <c r="C30" s="73" t="s">
        <v>35</v>
      </c>
      <c r="D30" s="67">
        <v>0</v>
      </c>
      <c r="E30" s="73" t="s">
        <v>35</v>
      </c>
    </row>
    <row r="31" spans="1:5" x14ac:dyDescent="0.25">
      <c r="A31" s="75" t="s">
        <v>35</v>
      </c>
      <c r="B31" s="75" t="s">
        <v>35</v>
      </c>
      <c r="C31" s="75" t="s">
        <v>35</v>
      </c>
      <c r="D31" s="68">
        <v>0</v>
      </c>
      <c r="E31" s="75" t="s">
        <v>35</v>
      </c>
    </row>
    <row r="32" spans="1:5" x14ac:dyDescent="0.25">
      <c r="A32" s="73" t="s">
        <v>35</v>
      </c>
      <c r="B32" s="73" t="s">
        <v>35</v>
      </c>
      <c r="C32" s="73" t="s">
        <v>35</v>
      </c>
      <c r="D32" s="67">
        <v>0</v>
      </c>
      <c r="E32" s="73" t="s">
        <v>35</v>
      </c>
    </row>
    <row r="33" spans="1:5" x14ac:dyDescent="0.25">
      <c r="A33" s="75" t="s">
        <v>35</v>
      </c>
      <c r="B33" s="75" t="s">
        <v>35</v>
      </c>
      <c r="C33" s="75" t="s">
        <v>35</v>
      </c>
      <c r="D33" s="68">
        <v>0</v>
      </c>
      <c r="E33" s="75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Project Overview</vt:lpstr>
      <vt:lpstr>Margin Analysis</vt:lpstr>
      <vt:lpstr>Budget Summary</vt:lpstr>
      <vt:lpstr>LED Cost Sheet</vt:lpstr>
      <vt:lpstr>Tech Specs (Installers)</vt:lpstr>
      <vt:lpstr>Courtside Table - Install</vt:lpstr>
      <vt:lpstr>Stanchion - Install</vt:lpstr>
      <vt:lpstr>Main Scoreboard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2026-04-03T20:11:06Z</dcterms:created>
  <dcterms:modified xsi:type="dcterms:W3CDTF">2026-04-03T20:11:06Z</dcterms:modified>
</cp:coreProperties>
</file>