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162C816C-101C-4869-9B3B-63D5F8698E0D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Project Overview" sheetId="1" r:id="rId1"/>
    <sheet name="Margin Analysis" sheetId="16" r:id="rId2"/>
    <sheet name="Budget Summary" sheetId="17" r:id="rId3"/>
    <sheet name="LED Cost Sheet" sheetId="2" r:id="rId4"/>
    <sheet name="Tech Specs (Installers)" sheetId="4" r:id="rId5"/>
    <sheet name="Main Scoreboard - Install" sheetId="5" r:id="rId6"/>
    <sheet name="Processor Count" sheetId="6" r:id="rId7"/>
    <sheet name="Bundle Equipment" sheetId="7" r:id="rId8"/>
    <sheet name="ANC Travel" sheetId="8" r:id="rId9"/>
    <sheet name="CMS" sheetId="9" r:id="rId10"/>
    <sheet name="Scoring" sheetId="10" r:id="rId11"/>
    <sheet name="Venue Services" sheetId="11" r:id="rId12"/>
    <sheet name="Additional Items" sheetId="12" r:id="rId13"/>
    <sheet name="Resp Matrix" sheetId="13" r:id="rId14"/>
    <sheet name="P&amp;L" sheetId="14" r:id="rId15"/>
    <sheet name="Cash Flow" sheetId="15" r:id="rId16"/>
    <sheet name="PO's" sheetId="18" r:id="rId17"/>
    <sheet name="_Products" sheetId="3" state="veryHidden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2" l="1"/>
  <c r="I8" i="12" s="1"/>
  <c r="E28" i="16" s="1"/>
  <c r="F8" i="12"/>
  <c r="F7" i="12"/>
  <c r="H7" i="12" s="1"/>
  <c r="I6" i="12"/>
  <c r="H6" i="12"/>
  <c r="F6" i="12"/>
  <c r="F5" i="12"/>
  <c r="F10" i="12" s="1"/>
  <c r="A15" i="11"/>
  <c r="D15" i="11" s="1"/>
  <c r="A14" i="11"/>
  <c r="D14" i="11" s="1"/>
  <c r="A13" i="11"/>
  <c r="A12" i="11"/>
  <c r="B11" i="11"/>
  <c r="A11" i="11"/>
  <c r="H21" i="10"/>
  <c r="I21" i="10" s="1"/>
  <c r="F21" i="10"/>
  <c r="F20" i="10"/>
  <c r="H20" i="10" s="1"/>
  <c r="I20" i="10" s="1"/>
  <c r="I19" i="10"/>
  <c r="H19" i="10"/>
  <c r="F19" i="10"/>
  <c r="I18" i="10"/>
  <c r="H18" i="10"/>
  <c r="F18" i="10"/>
  <c r="H17" i="10"/>
  <c r="I17" i="10" s="1"/>
  <c r="F17" i="10"/>
  <c r="F16" i="10"/>
  <c r="H16" i="10" s="1"/>
  <c r="I16" i="10" s="1"/>
  <c r="I15" i="10"/>
  <c r="H15" i="10"/>
  <c r="F15" i="10"/>
  <c r="I14" i="10"/>
  <c r="H14" i="10"/>
  <c r="F14" i="10"/>
  <c r="H13" i="10"/>
  <c r="I13" i="10" s="1"/>
  <c r="F13" i="10"/>
  <c r="F12" i="10"/>
  <c r="H12" i="10" s="1"/>
  <c r="I12" i="10" s="1"/>
  <c r="I11" i="10"/>
  <c r="H11" i="10"/>
  <c r="F11" i="10"/>
  <c r="I10" i="10"/>
  <c r="H10" i="10"/>
  <c r="F10" i="10"/>
  <c r="H9" i="10"/>
  <c r="I9" i="10" s="1"/>
  <c r="F9" i="10"/>
  <c r="F8" i="10"/>
  <c r="H8" i="10" s="1"/>
  <c r="I8" i="10" s="1"/>
  <c r="I7" i="10"/>
  <c r="H7" i="10"/>
  <c r="F7" i="10"/>
  <c r="F23" i="10" s="1"/>
  <c r="F27" i="10" s="1"/>
  <c r="F20" i="9"/>
  <c r="H20" i="9" s="1"/>
  <c r="I20" i="9" s="1"/>
  <c r="I19" i="9"/>
  <c r="H19" i="9"/>
  <c r="F19" i="9"/>
  <c r="I18" i="9"/>
  <c r="H18" i="9"/>
  <c r="F18" i="9"/>
  <c r="H17" i="9"/>
  <c r="I17" i="9" s="1"/>
  <c r="F17" i="9"/>
  <c r="F16" i="9"/>
  <c r="H16" i="9" s="1"/>
  <c r="I16" i="9" s="1"/>
  <c r="I15" i="9"/>
  <c r="H15" i="9"/>
  <c r="F15" i="9"/>
  <c r="I14" i="9"/>
  <c r="H14" i="9"/>
  <c r="F14" i="9"/>
  <c r="H13" i="9"/>
  <c r="I13" i="9" s="1"/>
  <c r="F13" i="9"/>
  <c r="F12" i="9"/>
  <c r="H12" i="9" s="1"/>
  <c r="I12" i="9" s="1"/>
  <c r="I11" i="9"/>
  <c r="H11" i="9"/>
  <c r="F11" i="9"/>
  <c r="I10" i="9"/>
  <c r="H10" i="9"/>
  <c r="F10" i="9"/>
  <c r="H9" i="9"/>
  <c r="I9" i="9" s="1"/>
  <c r="F9" i="9"/>
  <c r="F8" i="9"/>
  <c r="H8" i="9" s="1"/>
  <c r="I7" i="9"/>
  <c r="H7" i="9"/>
  <c r="F7" i="9"/>
  <c r="F22" i="9" s="1"/>
  <c r="F26" i="9" s="1"/>
  <c r="E10" i="7"/>
  <c r="G10" i="7" s="1"/>
  <c r="H9" i="7"/>
  <c r="G9" i="7"/>
  <c r="E9" i="7"/>
  <c r="H8" i="7"/>
  <c r="G8" i="7"/>
  <c r="E8" i="7"/>
  <c r="E11" i="7" s="1"/>
  <c r="E12" i="6"/>
  <c r="B12" i="6"/>
  <c r="J51" i="5"/>
  <c r="I51" i="5"/>
  <c r="K51" i="5" s="1"/>
  <c r="K50" i="5"/>
  <c r="J50" i="5"/>
  <c r="I50" i="5"/>
  <c r="J49" i="5"/>
  <c r="K49" i="5" s="1"/>
  <c r="I49" i="5"/>
  <c r="J48" i="5"/>
  <c r="K48" i="5" s="1"/>
  <c r="I48" i="5"/>
  <c r="J47" i="5"/>
  <c r="I47" i="5"/>
  <c r="I52" i="5" s="1"/>
  <c r="J43" i="5"/>
  <c r="I43" i="5"/>
  <c r="K43" i="5" s="1"/>
  <c r="J42" i="5"/>
  <c r="I42" i="5"/>
  <c r="K42" i="5" s="1"/>
  <c r="J41" i="5"/>
  <c r="I41" i="5"/>
  <c r="K41" i="5" s="1"/>
  <c r="J40" i="5"/>
  <c r="I40" i="5"/>
  <c r="K40" i="5" s="1"/>
  <c r="J39" i="5"/>
  <c r="I39" i="5"/>
  <c r="K39" i="5" s="1"/>
  <c r="J38" i="5"/>
  <c r="I38" i="5"/>
  <c r="I44" i="5" s="1"/>
  <c r="J34" i="5"/>
  <c r="I34" i="5"/>
  <c r="K34" i="5" s="1"/>
  <c r="D9" i="17" s="1"/>
  <c r="E9" i="17" s="1"/>
  <c r="J33" i="5"/>
  <c r="I33" i="5"/>
  <c r="K33" i="5" s="1"/>
  <c r="K32" i="5"/>
  <c r="J32" i="5"/>
  <c r="I32" i="5"/>
  <c r="K31" i="5"/>
  <c r="J31" i="5"/>
  <c r="I31" i="5"/>
  <c r="J30" i="5"/>
  <c r="I30" i="5"/>
  <c r="K30" i="5" s="1"/>
  <c r="J29" i="5"/>
  <c r="I29" i="5"/>
  <c r="K29" i="5" s="1"/>
  <c r="J25" i="5"/>
  <c r="K25" i="5" s="1"/>
  <c r="I25" i="5"/>
  <c r="J24" i="5"/>
  <c r="I24" i="5"/>
  <c r="K24" i="5" s="1"/>
  <c r="K23" i="5"/>
  <c r="J23" i="5"/>
  <c r="I23" i="5"/>
  <c r="J22" i="5"/>
  <c r="K22" i="5" s="1"/>
  <c r="I22" i="5"/>
  <c r="J21" i="5"/>
  <c r="K21" i="5" s="1"/>
  <c r="I21" i="5"/>
  <c r="J20" i="5"/>
  <c r="I20" i="5"/>
  <c r="I26" i="5" s="1"/>
  <c r="J5" i="4"/>
  <c r="H5" i="4"/>
  <c r="E5" i="4"/>
  <c r="D5" i="4"/>
  <c r="B5" i="4"/>
  <c r="A5" i="4"/>
  <c r="M6" i="2"/>
  <c r="L6" i="2"/>
  <c r="Y4" i="2"/>
  <c r="M5" i="4" s="1"/>
  <c r="X4" i="2"/>
  <c r="L5" i="4" s="1"/>
  <c r="U4" i="2"/>
  <c r="P4" i="2"/>
  <c r="Q4" i="2" s="1"/>
  <c r="N4" i="2"/>
  <c r="I5" i="4" s="1"/>
  <c r="M4" i="2"/>
  <c r="S4" i="2" s="1"/>
  <c r="S6" i="2" s="1"/>
  <c r="G4" i="2"/>
  <c r="C5" i="4" s="1"/>
  <c r="E4" i="2"/>
  <c r="D17" i="17"/>
  <c r="E17" i="17" s="1"/>
  <c r="C17" i="17"/>
  <c r="C16" i="17"/>
  <c r="D15" i="17"/>
  <c r="E15" i="17" s="1"/>
  <c r="C15" i="17"/>
  <c r="C14" i="17"/>
  <c r="C9" i="17"/>
  <c r="F28" i="16"/>
  <c r="D28" i="16"/>
  <c r="C28" i="16"/>
  <c r="F27" i="16"/>
  <c r="C27" i="16"/>
  <c r="F26" i="16"/>
  <c r="E26" i="16"/>
  <c r="D26" i="16"/>
  <c r="C26" i="16"/>
  <c r="F25" i="16"/>
  <c r="C25" i="16"/>
  <c r="C10" i="16"/>
  <c r="D10" i="16" s="1"/>
  <c r="E10" i="16" s="1"/>
  <c r="C13" i="1"/>
  <c r="C8" i="17" l="1"/>
  <c r="G8" i="17" s="1"/>
  <c r="C9" i="16"/>
  <c r="D9" i="16" s="1"/>
  <c r="E9" i="16" s="1"/>
  <c r="C10" i="17"/>
  <c r="C11" i="16"/>
  <c r="D11" i="16" s="1"/>
  <c r="E11" i="16" s="1"/>
  <c r="E13" i="7"/>
  <c r="R4" i="2"/>
  <c r="R6" i="2" s="1"/>
  <c r="C23" i="16"/>
  <c r="C12" i="17"/>
  <c r="G11" i="7"/>
  <c r="H10" i="7"/>
  <c r="C22" i="16"/>
  <c r="C11" i="17"/>
  <c r="C7" i="16"/>
  <c r="D7" i="16" s="1"/>
  <c r="E7" i="16" s="1"/>
  <c r="C6" i="17"/>
  <c r="G6" i="17" s="1"/>
  <c r="I7" i="12"/>
  <c r="E27" i="16" s="1"/>
  <c r="D27" i="16"/>
  <c r="D16" i="17"/>
  <c r="E16" i="17" s="1"/>
  <c r="H23" i="10"/>
  <c r="Q6" i="2"/>
  <c r="K35" i="5"/>
  <c r="D7" i="17" s="1"/>
  <c r="H22" i="9"/>
  <c r="I8" i="9"/>
  <c r="H5" i="12"/>
  <c r="K20" i="5"/>
  <c r="K26" i="5" s="1"/>
  <c r="I35" i="5"/>
  <c r="K47" i="5"/>
  <c r="K52" i="5" s="1"/>
  <c r="D10" i="17" s="1"/>
  <c r="E10" i="17" s="1"/>
  <c r="C11" i="11"/>
  <c r="C14" i="11"/>
  <c r="B14" i="11"/>
  <c r="B12" i="11"/>
  <c r="C12" i="11" s="1"/>
  <c r="D12" i="11" s="1"/>
  <c r="B15" i="11"/>
  <c r="K38" i="5"/>
  <c r="K44" i="5" s="1"/>
  <c r="D8" i="17" s="1"/>
  <c r="E8" i="17" s="1"/>
  <c r="C15" i="11"/>
  <c r="X6" i="2"/>
  <c r="Y6" i="2"/>
  <c r="Z4" i="2"/>
  <c r="J4" i="2"/>
  <c r="K4" i="2"/>
  <c r="C12" i="6" l="1"/>
  <c r="G5" i="4"/>
  <c r="O5" i="4"/>
  <c r="Z6" i="2"/>
  <c r="C7" i="17"/>
  <c r="G7" i="17" s="1"/>
  <c r="C8" i="16"/>
  <c r="D8" i="16" s="1"/>
  <c r="E8" i="16" s="1"/>
  <c r="D6" i="17"/>
  <c r="E6" i="17" s="1"/>
  <c r="K54" i="5"/>
  <c r="I54" i="5"/>
  <c r="H10" i="12"/>
  <c r="I10" i="12" s="1"/>
  <c r="D14" i="17"/>
  <c r="E14" i="17" s="1"/>
  <c r="D25" i="16"/>
  <c r="I5" i="12"/>
  <c r="E25" i="16" s="1"/>
  <c r="D11" i="11"/>
  <c r="D12" i="6"/>
  <c r="F5" i="4"/>
  <c r="N5" i="4" s="1"/>
  <c r="B13" i="11"/>
  <c r="C13" i="11" s="1"/>
  <c r="D13" i="11" s="1"/>
  <c r="G13" i="7"/>
  <c r="H13" i="7" s="1"/>
  <c r="H11" i="7"/>
  <c r="H27" i="10"/>
  <c r="I23" i="10"/>
  <c r="H26" i="9"/>
  <c r="I22" i="9"/>
  <c r="T4" i="2"/>
  <c r="D22" i="16" l="1"/>
  <c r="I26" i="9"/>
  <c r="E22" i="16" s="1"/>
  <c r="D11" i="17"/>
  <c r="E11" i="17" s="1"/>
  <c r="I27" i="10"/>
  <c r="E23" i="16" s="1"/>
  <c r="D23" i="16"/>
  <c r="D12" i="17"/>
  <c r="E12" i="17" s="1"/>
  <c r="B17" i="11"/>
  <c r="C5" i="17"/>
  <c r="V4" i="2"/>
  <c r="T6" i="2"/>
  <c r="C6" i="16"/>
  <c r="C12" i="16" s="1"/>
  <c r="C17" i="11"/>
  <c r="E7" i="17"/>
  <c r="F12" i="6"/>
  <c r="D17" i="11" l="1"/>
  <c r="E24" i="16" s="1"/>
  <c r="D24" i="16"/>
  <c r="D13" i="17"/>
  <c r="G5" i="17"/>
  <c r="C13" i="17"/>
  <c r="C19" i="17" s="1"/>
  <c r="C24" i="16"/>
  <c r="C16" i="16"/>
  <c r="C30" i="16" s="1"/>
  <c r="C26" i="1" s="1"/>
  <c r="D6" i="16"/>
  <c r="W4" i="2"/>
  <c r="W6" i="2" s="1"/>
  <c r="V6" i="2"/>
  <c r="U6" i="2" s="1"/>
  <c r="D5" i="17"/>
  <c r="G12" i="6"/>
  <c r="F13" i="6"/>
  <c r="C22" i="17" l="1"/>
  <c r="G19" i="17"/>
  <c r="D12" i="16"/>
  <c r="E6" i="16"/>
  <c r="G13" i="6"/>
  <c r="I12" i="6"/>
  <c r="I13" i="6" s="1"/>
  <c r="H12" i="6"/>
  <c r="E13" i="17"/>
  <c r="D19" i="17"/>
  <c r="E5" i="17"/>
  <c r="E19" i="17" l="1"/>
  <c r="D22" i="17"/>
  <c r="E22" i="17" s="1"/>
  <c r="D16" i="16"/>
  <c r="E12" i="16"/>
  <c r="F12" i="16"/>
  <c r="F19" i="17"/>
  <c r="F22" i="17"/>
  <c r="G22" i="17"/>
  <c r="D30" i="16" l="1"/>
  <c r="E16" i="16"/>
  <c r="E30" i="16" l="1"/>
  <c r="F16" i="16"/>
  <c r="C30" i="1"/>
  <c r="C27" i="1"/>
  <c r="F30" i="16" l="1"/>
  <c r="C29" i="1" s="1"/>
  <c r="C28" i="1"/>
</calcChain>
</file>

<file path=xl/sharedStrings.xml><?xml version="1.0" encoding="utf-8"?>
<sst xmlns="http://schemas.openxmlformats.org/spreadsheetml/2006/main" count="864" uniqueCount="400">
  <si>
    <t>Untitled Project — Project Overview</t>
  </si>
  <si>
    <t>test 2 | 2026-04-03 | ANC Proposal Engine</t>
  </si>
  <si>
    <t>PROJECT INFORMATION</t>
  </si>
  <si>
    <t>Client</t>
  </si>
  <si>
    <t>test 2</t>
  </si>
  <si>
    <t>Project Name</t>
  </si>
  <si>
    <t>Untitled Project</t>
  </si>
  <si>
    <t>Location</t>
  </si>
  <si>
    <t>—</t>
  </si>
  <si>
    <t>Date Created</t>
  </si>
  <si>
    <t>2026-04-03</t>
  </si>
  <si>
    <t>Currency</t>
  </si>
  <si>
    <t>USD</t>
  </si>
  <si>
    <t>Environment</t>
  </si>
  <si>
    <t>Indoor</t>
  </si>
  <si>
    <t>Union Labor</t>
  </si>
  <si>
    <t>No</t>
  </si>
  <si>
    <t>Bond Required</t>
  </si>
  <si>
    <t>Number of Displays</t>
  </si>
  <si>
    <t>FINANCIAL PARAMETERS</t>
  </si>
  <si>
    <t>LED Hardware Margin</t>
  </si>
  <si>
    <t>Install / Services Margin</t>
  </si>
  <si>
    <t>Engineering Margin</t>
  </si>
  <si>
    <t>Equipment Margin</t>
  </si>
  <si>
    <t>CMS Margin</t>
  </si>
  <si>
    <t>Bond Rate</t>
  </si>
  <si>
    <t>N/A</t>
  </si>
  <si>
    <t>Tax Rate</t>
  </si>
  <si>
    <t>Tariff Rate</t>
  </si>
  <si>
    <t>SUMMARY TOTALS</t>
  </si>
  <si>
    <t>Total Cost</t>
  </si>
  <si>
    <t>Total Selling Price</t>
  </si>
  <si>
    <t>Project Margin $</t>
  </si>
  <si>
    <t>Project Margin %</t>
  </si>
  <si>
    <t>DOCUMENT TOTAL</t>
  </si>
  <si>
    <t>Untitled Project — Margin Analysis</t>
  </si>
  <si>
    <t/>
  </si>
  <si>
    <t>Zone / Category</t>
  </si>
  <si>
    <t>Cost</t>
  </si>
  <si>
    <t>Selling Price</t>
  </si>
  <si>
    <t>Margin $</t>
  </si>
  <si>
    <t>Margin %</t>
  </si>
  <si>
    <t>Main Scoreboard — scoreboard</t>
  </si>
  <si>
    <t xml:space="preserve">    LED Hardware</t>
  </si>
  <si>
    <t xml:space="preserve">    Structural Materials</t>
  </si>
  <si>
    <t xml:space="preserve">    Structural Labor &amp; LED Installation</t>
  </si>
  <si>
    <t xml:space="preserve">    Electrical &amp; Data</t>
  </si>
  <si>
    <t xml:space="preserve">    PM / General Conditions / Travel</t>
  </si>
  <si>
    <t xml:space="preserve">    Engineering &amp; Permits</t>
  </si>
  <si>
    <t xml:space="preserve">    SUBTOTAL</t>
  </si>
  <si>
    <t xml:space="preserve">    TAX</t>
  </si>
  <si>
    <t xml:space="preserve">    BOND</t>
  </si>
  <si>
    <t xml:space="preserve">    TARIFF</t>
  </si>
  <si>
    <t xml:space="preserve">    GRAND TOTAL</t>
  </si>
  <si>
    <t xml:space="preserve">    Alternates — Add/Deduct from Above</t>
  </si>
  <si>
    <t xml:space="preserve">      Alternate pixel pitch: 4mm (base: 4mm)</t>
  </si>
  <si>
    <t>ADDITIONAL COST CENTERS</t>
  </si>
  <si>
    <t>CMS (Content Management System)</t>
  </si>
  <si>
    <t>Scoring System</t>
  </si>
  <si>
    <t>Venue Services</t>
  </si>
  <si>
    <t>Game Clock</t>
  </si>
  <si>
    <t>Pitch Clocks</t>
  </si>
  <si>
    <t>OES / MIS / Timing</t>
  </si>
  <si>
    <t>DMX / Misc Equipment</t>
  </si>
  <si>
    <t>BASE BID GRAND TOTAL</t>
  </si>
  <si>
    <t>Untitled Project — Budget Summary</t>
  </si>
  <si>
    <t>test 2 | 2026-04-03 | By Category</t>
  </si>
  <si>
    <t>Category</t>
  </si>
  <si>
    <t>Price / SqFt</t>
  </si>
  <si>
    <t>LED Hardware (all displays)</t>
  </si>
  <si>
    <t>Structural Materials</t>
  </si>
  <si>
    <t>Structural Labor &amp; LED Installation</t>
  </si>
  <si>
    <t>Electrical &amp; Data</t>
  </si>
  <si>
    <t>PM / General Conditions / Travel</t>
  </si>
  <si>
    <t>Engineering &amp; Permits</t>
  </si>
  <si>
    <t>SUBTOTAL</t>
  </si>
  <si>
    <t>TAX</t>
  </si>
  <si>
    <t>BOND</t>
  </si>
  <si>
    <t>GRAND TOTAL</t>
  </si>
  <si>
    <t>Untitled Project — LED Cost Sheet</t>
  </si>
  <si>
    <t>LED Margin Override →</t>
  </si>
  <si>
    <t>Display</t>
  </si>
  <si>
    <t>RFP H (ft)</t>
  </si>
  <si>
    <t>RFP W (ft)</t>
  </si>
  <si>
    <t>RFP NITs</t>
  </si>
  <si>
    <t>Vendor</t>
  </si>
  <si>
    <t>Product</t>
  </si>
  <si>
    <t>Pitch</t>
  </si>
  <si>
    <t>H (ft)</t>
  </si>
  <si>
    <t>W (ft)</t>
  </si>
  <si>
    <t>H (px)</t>
  </si>
  <si>
    <t>W (px)</t>
  </si>
  <si>
    <t>Qty</t>
  </si>
  <si>
    <t>Total SqFt</t>
  </si>
  <si>
    <t>Product NITs</t>
  </si>
  <si>
    <t>Service</t>
  </si>
  <si>
    <t>$/SqFt</t>
  </si>
  <si>
    <t>Display Cost</t>
  </si>
  <si>
    <t>Processor</t>
  </si>
  <si>
    <t>Shipping</t>
  </si>
  <si>
    <t>ANC Margin</t>
  </si>
  <si>
    <t>Weight (lbs)</t>
  </si>
  <si>
    <t>Total Power (W)</t>
  </si>
  <si>
    <t>BTU/hr</t>
  </si>
  <si>
    <t>Yaham Radiance R6 Outdoor</t>
  </si>
  <si>
    <t>Front/Rear</t>
  </si>
  <si>
    <t>TOTAL (1 screens)</t>
  </si>
  <si>
    <t>ALTERNATES (Reference Only — NOT included in base bid)</t>
  </si>
  <si>
    <t>Alt 1: Main Scoreboard — Alt 4mm</t>
  </si>
  <si>
    <t>4mm</t>
  </si>
  <si>
    <t>indoor</t>
  </si>
  <si>
    <t>Alternate pixel pitch: 4mm (base: 4mm)</t>
  </si>
  <si>
    <t>Untitled Project — LED Technical Specifications (No Pricing)</t>
  </si>
  <si>
    <t>Technical specifications only — no pricing data. Safe for installer/subcontractor distribution.</t>
  </si>
  <si>
    <t>Display Name</t>
  </si>
  <si>
    <t>Pixel Pitch</t>
  </si>
  <si>
    <t>Height (ft)</t>
  </si>
  <si>
    <t>Width (ft)</t>
  </si>
  <si>
    <t>Pixels H</t>
  </si>
  <si>
    <t>Pixels W</t>
  </si>
  <si>
    <t>Sq Ft</t>
  </si>
  <si>
    <t>Brightness (nits)</t>
  </si>
  <si>
    <t>Fiber Strands</t>
  </si>
  <si>
    <t>Project Name: Untitled Project</t>
  </si>
  <si>
    <t>Revised By: ANC Proposal Engine</t>
  </si>
  <si>
    <t>Linked Margin Assignment</t>
  </si>
  <si>
    <t>Install Margin</t>
  </si>
  <si>
    <t>Electrical Margin</t>
  </si>
  <si>
    <t>Engineering and Permits</t>
  </si>
  <si>
    <t>Main Scoreboard</t>
  </si>
  <si>
    <t>Height</t>
  </si>
  <si>
    <t>Width</t>
  </si>
  <si>
    <t>Total Sq. Ft</t>
  </si>
  <si>
    <t>QTY</t>
  </si>
  <si>
    <t>Structural Materials:</t>
  </si>
  <si>
    <t>Subcontractor 1</t>
  </si>
  <si>
    <t>Subcontractor 2</t>
  </si>
  <si>
    <t>Subcontractor 3</t>
  </si>
  <si>
    <t>Selected</t>
  </si>
  <si>
    <t>Additional Contingency</t>
  </si>
  <si>
    <t>FABRICATE PRIMARY STEEL</t>
  </si>
  <si>
    <t>SUPPLY AND INSTALL PRIMARY PLYWOOD</t>
  </si>
  <si>
    <t>FABRICATE SECONDARY STEEL SUBSTRUCTURE</t>
  </si>
  <si>
    <t>FABRICATE CLADDING AND TRIM</t>
  </si>
  <si>
    <t>OTHER SCOPE ITEM</t>
  </si>
  <si>
    <t>Structural Labor and LED Installation</t>
  </si>
  <si>
    <t>REMOVAL AND DISPOSAL</t>
  </si>
  <si>
    <t>INSTALL SECONDARY STEEL SUBSTRUCTURE</t>
  </si>
  <si>
    <t>INSTALL LED DISPLAYS</t>
  </si>
  <si>
    <t>INSTALL CLADDING AND TRIM</t>
  </si>
  <si>
    <t>HEAVY EQUIPMENT</t>
  </si>
  <si>
    <t>PM/GENERAL CONDITIONS/TRAVEL</t>
  </si>
  <si>
    <t>Electrical and Data - Materials and Subcontracting</t>
  </si>
  <si>
    <t>ELECTRICAL MATERIALS</t>
  </si>
  <si>
    <t>DATA MATERIALS</t>
  </si>
  <si>
    <t>ELECTRICAL LABOR</t>
  </si>
  <si>
    <t>DATA LABOR</t>
  </si>
  <si>
    <t>SUB PANEL</t>
  </si>
  <si>
    <t>MISC</t>
  </si>
  <si>
    <t>Submittals, Engineering, and Permits</t>
  </si>
  <si>
    <t>STRUCTURAL ENGINEERING</t>
  </si>
  <si>
    <t>STRUCTURAL CERTIFICATION</t>
  </si>
  <si>
    <t>ELECTRICAL ENGINEERING</t>
  </si>
  <si>
    <t>ELECTRICAL CERTIFICATION</t>
  </si>
  <si>
    <t>PERMITS</t>
  </si>
  <si>
    <t>ZONE GRAND TOTAL</t>
  </si>
  <si>
    <t>Untitled Project — Processor Count</t>
  </si>
  <si>
    <t>Width (px)</t>
  </si>
  <si>
    <t>Height (px)</t>
  </si>
  <si>
    <t>Ports</t>
  </si>
  <si>
    <t>Ports (80%)</t>
  </si>
  <si>
    <t>8-bit Video</t>
  </si>
  <si>
    <t>8-bit (80%)</t>
  </si>
  <si>
    <t>10/12/HDR bit</t>
  </si>
  <si>
    <t>660 Pro</t>
  </si>
  <si>
    <t>MCTRL4K</t>
  </si>
  <si>
    <t>H9 Enhanced</t>
  </si>
  <si>
    <t>DISPLAY PROCESSOR REQUIREMENTS</t>
  </si>
  <si>
    <t>Total Pixels</t>
  </si>
  <si>
    <t>Ports Needed</t>
  </si>
  <si>
    <t>Processor Type</t>
  </si>
  <si>
    <t>Processors Needed</t>
  </si>
  <si>
    <t>TOTAL</t>
  </si>
  <si>
    <t>Untitled Project — Processor &amp; Equipment Breakdown</t>
  </si>
  <si>
    <t>Editable — adjust component costs per display zone. Totals roll into Margin Analysis.</t>
  </si>
  <si>
    <t>Component</t>
  </si>
  <si>
    <t>Margin</t>
  </si>
  <si>
    <t>EQUIPMENT</t>
  </si>
  <si>
    <t>Sending Card</t>
  </si>
  <si>
    <t>Signal Cable Kit</t>
  </si>
  <si>
    <t>UPS Battery Backup</t>
  </si>
  <si>
    <t>Zone Subtotal</t>
  </si>
  <si>
    <t>EQUIPMENT GRAND TOTAL</t>
  </si>
  <si>
    <t>Untitled Project — ANC Travel</t>
  </si>
  <si>
    <t>Travel - Installation</t>
  </si>
  <si>
    <t>Quantity</t>
  </si>
  <si>
    <t>Hotel</t>
  </si>
  <si>
    <t>Airfare</t>
  </si>
  <si>
    <t>Car</t>
  </si>
  <si>
    <t>Per Diem</t>
  </si>
  <si>
    <t>Bundled</t>
  </si>
  <si>
    <t>Account for freelancer</t>
  </si>
  <si>
    <t>Total</t>
  </si>
  <si>
    <t>USD:</t>
  </si>
  <si>
    <t>Travel - Commissioning</t>
  </si>
  <si>
    <t>Game Support</t>
  </si>
  <si>
    <t>Game Day Support</t>
  </si>
  <si>
    <t>Untitled Project — Content Management System</t>
  </si>
  <si>
    <t>CMS Platform</t>
  </si>
  <si>
    <t>All costs require project-specific pricing — update items below based on RFP requirements</t>
  </si>
  <si>
    <t>Item</t>
  </si>
  <si>
    <t>PRIMARY</t>
  </si>
  <si>
    <t>DESIGN &amp; CONTROL SOFTWARE</t>
  </si>
  <si>
    <t>GRAPHICS PLAYBACK ENGINE</t>
  </si>
  <si>
    <t>IMAGE PROCESSING</t>
  </si>
  <si>
    <t>DEDICATED LED ROUTER / SWITCH</t>
  </si>
  <si>
    <t>REDUNDANT</t>
  </si>
  <si>
    <t>STANDARD SERVICES</t>
  </si>
  <si>
    <t>COMMISSIONING</t>
  </si>
  <si>
    <t>EVENT SUPPORT</t>
  </si>
  <si>
    <t>PROJECT MANAGEMENT</t>
  </si>
  <si>
    <t>Integration Hardware</t>
  </si>
  <si>
    <t>Integration Labor</t>
  </si>
  <si>
    <t>Travel</t>
  </si>
  <si>
    <t>CMS TOTAL</t>
  </si>
  <si>
    <t>SUB TOTAL</t>
  </si>
  <si>
    <t>Untitled Project — Scoring System</t>
  </si>
  <si>
    <t>Scoring Platform</t>
  </si>
  <si>
    <t>HARDWARE</t>
  </si>
  <si>
    <t>SCORING CONTROLLER / SERVER</t>
  </si>
  <si>
    <t>OPERATOR WORKSTATION(S)</t>
  </si>
  <si>
    <t>SCOREBOARD INPUT DEVICES</t>
  </si>
  <si>
    <t>SHOT CLOCK / GAME CLOCK INTERFACE</t>
  </si>
  <si>
    <t>STATISTICS INTERFACE</t>
  </si>
  <si>
    <t>SOFTWARE</t>
  </si>
  <si>
    <t>SCORING SOFTWARE LICENSE</t>
  </si>
  <si>
    <t>GRAPHICS / ANIMATION PACKAGE</t>
  </si>
  <si>
    <t>STATISTICS INTEGRATION</t>
  </si>
  <si>
    <t>SERVICES</t>
  </si>
  <si>
    <t>TRAINING</t>
  </si>
  <si>
    <t>SCORING TOTAL</t>
  </si>
  <si>
    <t>Untitled Project — Venue Services</t>
  </si>
  <si>
    <t>Multi-year service contract calculator</t>
  </si>
  <si>
    <t>Contract Years</t>
  </si>
  <si>
    <t>Editable service term</t>
  </si>
  <si>
    <t>Year 1 Cost</t>
  </si>
  <si>
    <t>Base annual contract value</t>
  </si>
  <si>
    <t>Annual Escalation %</t>
  </si>
  <si>
    <t>Applied to each renewal year</t>
  </si>
  <si>
    <t>Target service-contract margin</t>
  </si>
  <si>
    <t>Year</t>
  </si>
  <si>
    <t>Notes</t>
  </si>
  <si>
    <t>Escalated annual term</t>
  </si>
  <si>
    <t>VENUE SERVICES TOTAL</t>
  </si>
  <si>
    <t>Untitled Project — Additional Non-LED Items</t>
  </si>
  <si>
    <t>GAME CLOCK</t>
  </si>
  <si>
    <t>Six-Digit Game Clocks</t>
  </si>
  <si>
    <t>PITCH CLOCK</t>
  </si>
  <si>
    <t>OES / MIS</t>
  </si>
  <si>
    <t>ADDITIONAL ITEMS TOTAL</t>
  </si>
  <si>
    <t>Project: Untitled Project</t>
  </si>
  <si>
    <t>Date: 4/3/2026</t>
  </si>
  <si>
    <t>Administrative</t>
  </si>
  <si>
    <t>ANC</t>
  </si>
  <si>
    <t>Purchaser</t>
  </si>
  <si>
    <t>Provide accurate architectural, structural engineering, and AV drawings.</t>
  </si>
  <si>
    <t>X</t>
  </si>
  <si>
    <t>Provide Payment and Performance Bond.</t>
  </si>
  <si>
    <t>NA</t>
  </si>
  <si>
    <t>All required zoning, building, street or sidewalk permits.</t>
  </si>
  <si>
    <t>Shipping of all equipment to site.</t>
  </si>
  <si>
    <t>Receive, unload, and inspect all new equipment upon arrival.</t>
  </si>
  <si>
    <t>Provide safe storage of video equipment and control room.</t>
  </si>
  <si>
    <t>Unobstructed access to equipment and control room.</t>
  </si>
  <si>
    <t>Engineering &amp; Submittals</t>
  </si>
  <si>
    <t>Customer responsible to ensure existing structure supports new equipment.</t>
  </si>
  <si>
    <t>Provide mechanical drawings, electrical drawings, and load calculations.</t>
  </si>
  <si>
    <t>Engineering and certification for new equipment attachments.</t>
  </si>
  <si>
    <t>Provide approval of all mechanical/electrical drawings.</t>
  </si>
  <si>
    <t>Responsible to ensure structural integrity of existing conditions.</t>
  </si>
  <si>
    <t>Physical Installation</t>
  </si>
  <si>
    <t>ANC assumes all base building structure is provided by others.</t>
  </si>
  <si>
    <t>Include Statement</t>
  </si>
  <si>
    <t>ANC has included removal and disposal of existing equipment.</t>
  </si>
  <si>
    <t>ANC assumes reasonable access will be provided to the work area.</t>
  </si>
  <si>
    <t>Fabricate, deliver, and install support structure.</t>
  </si>
  <si>
    <t>Provide &amp; Install LED components.</t>
  </si>
  <si>
    <t>Provide all required Floor/Site Protection.</t>
  </si>
  <si>
    <t>Electrical &amp; Data Installation</t>
  </si>
  <si>
    <t>Submit electrical engineering drawings.</t>
  </si>
  <si>
    <t>Provide primary power feed to each display location.</t>
  </si>
  <si>
    <t>Provide secondary electrical panels and/or remote disconnects.</t>
  </si>
  <si>
    <t>Furnish signal cables as specified by ANC.</t>
  </si>
  <si>
    <t>Provide and install signal cable conduit.</t>
  </si>
  <si>
    <t>Labor to pull signal cable.</t>
  </si>
  <si>
    <t>Terminate signal cable at control system equipment.</t>
  </si>
  <si>
    <t>Mount and install data patch panel.</t>
  </si>
  <si>
    <t>Provide high speed internet connection to control room.</t>
  </si>
  <si>
    <t>Control System</t>
  </si>
  <si>
    <t>ANC has provided display processors only.</t>
  </si>
  <si>
    <t>Provide climate controlled control room.</t>
  </si>
  <si>
    <t>Supply static IP address five (5) days prior to installation.</t>
  </si>
  <si>
    <t>Training</t>
  </si>
  <si>
    <t>Provide appropriate on-site operation and maintenance training.</t>
  </si>
  <si>
    <t>Provide sign off list for all training.</t>
  </si>
  <si>
    <t>Perform one (1) day of maintenance training.</t>
  </si>
  <si>
    <t>Perform final systems testing and commissioning.</t>
  </si>
  <si>
    <t>General Conditions</t>
  </si>
  <si>
    <t>ANC has provided a parts only warranty, excluding labor.</t>
  </si>
  <si>
    <t>ANC has included installation pricing with prevailing labor rates.</t>
  </si>
  <si>
    <t>ANC has not included bonding of any kind.</t>
  </si>
  <si>
    <t>ANC has not included any tax in the proposal.</t>
  </si>
  <si>
    <t>Shipping included in quoted pricing.</t>
  </si>
  <si>
    <t>Untitled Project — P&amp;L</t>
  </si>
  <si>
    <t>Project #:</t>
  </si>
  <si>
    <t>Net 30</t>
  </si>
  <si>
    <t>PROJECTS BUDGET</t>
  </si>
  <si>
    <t>CONTRACT BUDGET</t>
  </si>
  <si>
    <t>Revenue</t>
  </si>
  <si>
    <t>Budgeted Cost</t>
  </si>
  <si>
    <t>Base Contract</t>
  </si>
  <si>
    <t>TOTAL BASE CONTRACT</t>
  </si>
  <si>
    <t>Change Orders</t>
  </si>
  <si>
    <t>Total Change Order(s) Amount</t>
  </si>
  <si>
    <t>Grand Total</t>
  </si>
  <si>
    <t>Cost Category</t>
  </si>
  <si>
    <t>Budget</t>
  </si>
  <si>
    <t>Committed POs</t>
  </si>
  <si>
    <t>Budget Remaining</t>
  </si>
  <si>
    <t>LED</t>
  </si>
  <si>
    <t>Install</t>
  </si>
  <si>
    <t>Electrical</t>
  </si>
  <si>
    <t>ANC Travel</t>
  </si>
  <si>
    <t>Structural Engineering</t>
  </si>
  <si>
    <t>Electrical Engineering</t>
  </si>
  <si>
    <t>CMS</t>
  </si>
  <si>
    <t>Parts/Labor</t>
  </si>
  <si>
    <t>Tax</t>
  </si>
  <si>
    <t>Bond</t>
  </si>
  <si>
    <t>BASE CONTRACT TOTAL</t>
  </si>
  <si>
    <t>Untitled Project — Cash Flow</t>
  </si>
  <si>
    <t>Payment Terms: Net 30</t>
  </si>
  <si>
    <t>Payment Phases</t>
  </si>
  <si>
    <t>Contract Signed</t>
  </si>
  <si>
    <t>Product Shipping</t>
  </si>
  <si>
    <t>Substantial Completion</t>
  </si>
  <si>
    <t>Sign Off</t>
  </si>
  <si>
    <t>Percentages</t>
  </si>
  <si>
    <t>Contract Award Date</t>
  </si>
  <si>
    <t>TBD</t>
  </si>
  <si>
    <t>Scheduled Completion</t>
  </si>
  <si>
    <t>Expenses</t>
  </si>
  <si>
    <t>Gross Profit</t>
  </si>
  <si>
    <t>Gross Profit %</t>
  </si>
  <si>
    <t>Budget Tracking (+/-)</t>
  </si>
  <si>
    <t>Month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</si>
  <si>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</si>
  <si>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</si>
  <si>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</si>
  <si>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</si>
  <si>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</si>
  <si>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</si>
  <si>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</si>
  <si>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</si>
  <si>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</si>
  <si>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</si>
  <si>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Amount</t>
  </si>
  <si>
    <t>Date Submitted</t>
  </si>
  <si>
    <t>Total Revenue</t>
  </si>
  <si>
    <t>Untitled Project — Purchase Orders</t>
  </si>
  <si>
    <t>PO Number</t>
  </si>
  <si>
    <t>Title / Description</t>
  </si>
  <si>
    <t>Original Contract Amount</t>
  </si>
  <si>
    <t>10mm Mesh P10 (Nitxeon)</t>
  </si>
  <si>
    <t>Nitxeon</t>
  </si>
  <si>
    <t>2.5mm Indoor (Nationstar MIP)</t>
  </si>
  <si>
    <t>Nationstar</t>
  </si>
  <si>
    <t>4mm Indoor (Nitxeon)</t>
  </si>
  <si>
    <t>C1.2-MIP 1.2mm Indoor (Alt)</t>
  </si>
  <si>
    <t>LG/Yaham</t>
  </si>
  <si>
    <t>C1.8-MIP 1.8mm Indoor/VisiBowl (Alt)</t>
  </si>
  <si>
    <t>LG LSCA015 1.5mm Indoor Fine Pitch</t>
  </si>
  <si>
    <t>LG</t>
  </si>
  <si>
    <t>LG LSCA039 3.91mm Indoor Ceiling</t>
  </si>
  <si>
    <t>LG LSCB025 2.5mm Indoor Wall</t>
  </si>
  <si>
    <t>LG LSGA039 3.9mm Indoor Wall</t>
  </si>
  <si>
    <t>Mesh P10 FM1921 3.9mm Indoor</t>
  </si>
  <si>
    <t>Yaham Aura A10 Perimeter</t>
  </si>
  <si>
    <t>Yaham</t>
  </si>
  <si>
    <t>Yaham Corona C10 Indoor</t>
  </si>
  <si>
    <t>Yaham Corona C2.5-MIP Indoor</t>
  </si>
  <si>
    <t>Yaham Corona C4 Indoor</t>
  </si>
  <si>
    <t>Yaham Corona C6 Indoor</t>
  </si>
  <si>
    <t>Yaham Halo H10T Fascia Indoor</t>
  </si>
  <si>
    <t>Yaham Halo HO10T Fascia Outdoor</t>
  </si>
  <si>
    <t>Yaham Halo HO6T Fascia Outdoor</t>
  </si>
  <si>
    <t>Yaham Radiance R10 Outdoor</t>
  </si>
  <si>
    <t>Yaham Radiance R2.5-MIP Outdoor</t>
  </si>
  <si>
    <t>Yaham Radiance R4 Outdoor</t>
  </si>
  <si>
    <t>Yaham Radiance R8 Outdoor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</si>
</sst>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&quot;$&quot;#,##0"/>
    <numFmt numFmtId="166" formatCode="\+\$#,##0;\-\$#,##0;\$0"/>
    <numFmt numFmtId="167" formatCode="0.0##&quot;mm&quot;"/>
    <numFmt numFmtId="168" formatCode="0.0"/>
  </numFmts>
  <fonts count="2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0"/>
      <color rgb="FF666666"/>
      <name val="Calibri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  <font>
      <b/>
      <sz val="12"/>
      <color rgb="FFFFFFFF"/>
      <name val="Calibri"/>
    </font>
    <font>
      <b/>
      <sz val="11"/>
      <name val="Calibri"/>
    </font>
    <font>
      <b/>
      <sz val="11"/>
      <name val="Calibri"/>
    </font>
    <font>
      <b/>
      <i/>
      <sz val="10"/>
      <color rgb="FF6C757D"/>
      <name val="Calibri"/>
    </font>
    <font>
      <i/>
      <sz val="10"/>
      <color rgb="FF6C757D"/>
      <name val="Calibri"/>
    </font>
    <font>
      <i/>
      <sz val="10"/>
      <color rgb="FF28A745"/>
      <name val="Calibri"/>
    </font>
    <font>
      <b/>
      <sz val="12"/>
      <name val="Calibri"/>
    </font>
    <font>
      <b/>
      <sz val="11"/>
      <color rgb="FF333333"/>
      <name val="Calibri"/>
    </font>
    <font>
      <b/>
      <sz val="10"/>
      <color rgb="FF1F2937"/>
      <name val="Calibri"/>
    </font>
    <font>
      <i/>
      <sz val="9"/>
      <color rgb="FF999999"/>
      <name val="Calibri"/>
    </font>
    <font>
      <i/>
      <sz val="10"/>
      <color rgb="FFCC0000"/>
      <name val="Calibri"/>
    </font>
    <font>
      <b/>
      <sz val="11"/>
      <color rgb="FFFFFFFF"/>
      <name val="Calibri"/>
    </font>
    <font>
      <i/>
      <sz val="10"/>
      <color rgb="FFDEE2E6"/>
      <name val="Calibri"/>
    </font>
    <font>
      <b/>
      <sz val="14"/>
      <name val="Calibri"/>
    </font>
    <font>
      <sz val="11"/>
      <color rgb="FF666666"/>
      <name val="Calibri"/>
    </font>
    <font>
      <b/>
      <sz val="11"/>
      <color rgb="FF666666"/>
      <name val="Calibri"/>
    </font>
    <font>
      <b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A52EF"/>
      </patternFill>
    </fill>
    <fill>
      <patternFill patternType="solid">
        <fgColor rgb="FFF8F9FA"/>
      </patternFill>
    </fill>
    <fill>
      <patternFill patternType="solid">
        <fgColor rgb="FF1F2937"/>
      </patternFill>
    </fill>
    <fill>
      <patternFill patternType="solid">
        <fgColor rgb="FFFFF8E1"/>
      </patternFill>
    </fill>
    <fill>
      <patternFill patternType="solid">
        <fgColor rgb="FF28A745"/>
      </patternFill>
    </fill>
    <fill>
      <patternFill patternType="solid">
        <fgColor rgb="FFDEE2E6"/>
      </patternFill>
    </fill>
    <fill>
      <patternFill patternType="solid">
        <fgColor rgb="FFFFFF00"/>
      </patternFill>
    </fill>
    <fill>
      <patternFill patternType="solid">
        <fgColor rgb="FFD4EDDA"/>
      </patternFill>
    </fill>
  </fills>
  <borders count="8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0A52EF"/>
      </bottom>
      <diagonal/>
    </border>
    <border>
      <left/>
      <right/>
      <top style="medium">
        <color rgb="FF1F2937"/>
      </top>
      <bottom style="medium">
        <color rgb="FF1F293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FFC107"/>
      </bottom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5" fillId="3" borderId="0" xfId="0" applyFont="1" applyFill="1"/>
    <xf numFmtId="164" fontId="5" fillId="3" borderId="0" xfId="0" applyNumberFormat="1" applyFont="1" applyFill="1"/>
    <xf numFmtId="164" fontId="5" fillId="0" borderId="0" xfId="0" applyNumberFormat="1" applyFont="1"/>
    <xf numFmtId="165" fontId="5" fillId="0" borderId="0" xfId="0" applyNumberFormat="1" applyFont="1"/>
    <xf numFmtId="0" fontId="6" fillId="2" borderId="0" xfId="0" applyFont="1" applyFill="1"/>
    <xf numFmtId="165" fontId="6" fillId="2" borderId="0" xfId="0" applyNumberFormat="1" applyFont="1" applyFill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2" fillId="0" borderId="0" xfId="0" applyFont="1"/>
    <xf numFmtId="165" fontId="2" fillId="0" borderId="0" xfId="0" applyNumberFormat="1" applyFont="1"/>
    <xf numFmtId="164" fontId="2" fillId="0" borderId="0" xfId="0" applyNumberFormat="1" applyFont="1"/>
    <xf numFmtId="165" fontId="4" fillId="0" borderId="0" xfId="0" applyNumberFormat="1" applyFont="1"/>
    <xf numFmtId="164" fontId="4" fillId="0" borderId="0" xfId="0" applyNumberFormat="1" applyFont="1"/>
    <xf numFmtId="165" fontId="0" fillId="0" borderId="0" xfId="0" applyNumberFormat="1"/>
    <xf numFmtId="164" fontId="0" fillId="5" borderId="2" xfId="0" applyNumberFormat="1" applyFill="1" applyBorder="1"/>
    <xf numFmtId="0" fontId="7" fillId="0" borderId="3" xfId="0" applyFont="1" applyBorder="1"/>
    <xf numFmtId="165" fontId="8" fillId="0" borderId="3" xfId="0" applyNumberFormat="1" applyFont="1" applyBorder="1"/>
    <xf numFmtId="164" fontId="8" fillId="0" borderId="3" xfId="0" applyNumberFormat="1" applyFont="1" applyBorder="1"/>
    <xf numFmtId="0" fontId="9" fillId="0" borderId="0" xfId="0" applyFont="1"/>
    <xf numFmtId="0" fontId="10" fillId="0" borderId="0" xfId="0" applyFont="1"/>
    <xf numFmtId="166" fontId="11" fillId="0" borderId="0" xfId="0" applyNumberFormat="1" applyFont="1"/>
    <xf numFmtId="0" fontId="3" fillId="4" borderId="1" xfId="0" applyFont="1" applyFill="1" applyBorder="1" applyAlignment="1">
      <alignment horizontal="center" vertical="center" wrapText="1"/>
    </xf>
    <xf numFmtId="0" fontId="8" fillId="0" borderId="0" xfId="0" applyFont="1"/>
    <xf numFmtId="164" fontId="0" fillId="0" borderId="0" xfId="0" applyNumberFormat="1"/>
    <xf numFmtId="0" fontId="7" fillId="2" borderId="4" xfId="0" applyFont="1" applyFill="1" applyBorder="1"/>
    <xf numFmtId="0" fontId="6" fillId="2" borderId="4" xfId="0" applyFont="1" applyFill="1" applyBorder="1"/>
    <xf numFmtId="165" fontId="6" fillId="2" borderId="4" xfId="0" applyNumberFormat="1" applyFont="1" applyFill="1" applyBorder="1"/>
    <xf numFmtId="164" fontId="6" fillId="2" borderId="4" xfId="0" applyNumberFormat="1" applyFont="1" applyFill="1" applyBorder="1"/>
    <xf numFmtId="0" fontId="3" fillId="6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64" fontId="0" fillId="3" borderId="0" xfId="0" applyNumberFormat="1" applyFill="1"/>
    <xf numFmtId="0" fontId="7" fillId="7" borderId="4" xfId="0" applyFont="1" applyFill="1" applyBorder="1"/>
    <xf numFmtId="165" fontId="7" fillId="7" borderId="4" xfId="0" applyNumberFormat="1" applyFont="1" applyFill="1" applyBorder="1"/>
    <xf numFmtId="164" fontId="7" fillId="7" borderId="4" xfId="0" applyNumberFormat="1" applyFont="1" applyFill="1" applyBorder="1"/>
    <xf numFmtId="0" fontId="7" fillId="0" borderId="0" xfId="0" applyFont="1" applyAlignment="1">
      <alignment horizontal="right" vertical="center"/>
    </xf>
    <xf numFmtId="164" fontId="12" fillId="8" borderId="5" xfId="0" applyNumberFormat="1" applyFont="1" applyFill="1" applyBorder="1" applyAlignment="1">
      <alignment horizontal="center" vertical="center"/>
    </xf>
    <xf numFmtId="0" fontId="8" fillId="3" borderId="0" xfId="0" applyFont="1" applyFill="1"/>
    <xf numFmtId="2" fontId="0" fillId="3" borderId="0" xfId="0" applyNumberFormat="1" applyFill="1"/>
    <xf numFmtId="167" fontId="0" fillId="3" borderId="0" xfId="0" applyNumberFormat="1" applyFill="1" applyAlignment="1">
      <alignment horizontal="center"/>
    </xf>
    <xf numFmtId="1" fontId="0" fillId="3" borderId="0" xfId="0" applyNumberFormat="1" applyFill="1"/>
    <xf numFmtId="1" fontId="0" fillId="3" borderId="0" xfId="0" applyNumberFormat="1" applyFill="1" applyAlignment="1">
      <alignment horizontal="center"/>
    </xf>
    <xf numFmtId="3" fontId="0" fillId="3" borderId="0" xfId="0" applyNumberFormat="1" applyFill="1"/>
    <xf numFmtId="0" fontId="0" fillId="3" borderId="0" xfId="0" applyFill="1" applyAlignment="1">
      <alignment horizontal="center"/>
    </xf>
    <xf numFmtId="165" fontId="8" fillId="3" borderId="0" xfId="0" applyNumberFormat="1" applyFont="1" applyFill="1"/>
    <xf numFmtId="0" fontId="7" fillId="9" borderId="4" xfId="0" applyFont="1" applyFill="1" applyBorder="1"/>
    <xf numFmtId="0" fontId="7" fillId="9" borderId="4" xfId="0" applyFont="1" applyFill="1" applyBorder="1" applyAlignment="1">
      <alignment horizontal="center"/>
    </xf>
    <xf numFmtId="3" fontId="7" fillId="9" borderId="4" xfId="0" applyNumberFormat="1" applyFont="1" applyFill="1" applyBorder="1"/>
    <xf numFmtId="165" fontId="7" fillId="9" borderId="4" xfId="0" applyNumberFormat="1" applyFont="1" applyFill="1" applyBorder="1"/>
    <xf numFmtId="164" fontId="7" fillId="9" borderId="4" xfId="0" applyNumberFormat="1" applyFont="1" applyFill="1" applyBorder="1"/>
    <xf numFmtId="0" fontId="13" fillId="5" borderId="6" xfId="0" applyFont="1" applyFill="1" applyBorder="1"/>
    <xf numFmtId="0" fontId="0" fillId="5" borderId="6" xfId="0" applyFill="1" applyBorder="1"/>
    <xf numFmtId="0" fontId="8" fillId="5" borderId="0" xfId="0" applyFont="1" applyFill="1"/>
    <xf numFmtId="0" fontId="0" fillId="5" borderId="0" xfId="0" applyFill="1"/>
    <xf numFmtId="0" fontId="0" fillId="5" borderId="0" xfId="0" applyFill="1" applyAlignment="1">
      <alignment horizontal="center"/>
    </xf>
    <xf numFmtId="2" fontId="0" fillId="5" borderId="0" xfId="0" applyNumberFormat="1" applyFill="1"/>
    <xf numFmtId="3" fontId="0" fillId="5" borderId="0" xfId="0" applyNumberFormat="1" applyFill="1"/>
    <xf numFmtId="165" fontId="0" fillId="5" borderId="0" xfId="0" applyNumberFormat="1" applyFill="1"/>
    <xf numFmtId="0" fontId="0" fillId="5" borderId="0" xfId="0" applyFill="1" applyAlignment="1">
      <alignment wrapText="1"/>
    </xf>
    <xf numFmtId="0" fontId="14" fillId="7" borderId="1" xfId="0" applyFont="1" applyFill="1" applyBorder="1" applyAlignment="1">
      <alignment horizontal="center" vertical="center" wrapText="1"/>
    </xf>
    <xf numFmtId="168" fontId="0" fillId="3" borderId="0" xfId="0" applyNumberFormat="1" applyFill="1"/>
    <xf numFmtId="0" fontId="7" fillId="0" borderId="0" xfId="0" applyFont="1"/>
    <xf numFmtId="0" fontId="12" fillId="0" borderId="0" xfId="0" applyFont="1"/>
    <xf numFmtId="2" fontId="0" fillId="0" borderId="0" xfId="0" applyNumberFormat="1"/>
    <xf numFmtId="4" fontId="0" fillId="0" borderId="0" xfId="0" applyNumberFormat="1"/>
    <xf numFmtId="165" fontId="0" fillId="3" borderId="2" xfId="0" applyNumberFormat="1" applyFill="1" applyBorder="1"/>
    <xf numFmtId="165" fontId="0" fillId="5" borderId="2" xfId="0" applyNumberFormat="1" applyFill="1" applyBorder="1"/>
    <xf numFmtId="0" fontId="8" fillId="0" borderId="7" xfId="0" applyFont="1" applyBorder="1"/>
    <xf numFmtId="165" fontId="8" fillId="0" borderId="7" xfId="0" applyNumberFormat="1" applyFont="1" applyBorder="1"/>
    <xf numFmtId="3" fontId="0" fillId="0" borderId="0" xfId="0" applyNumberFormat="1"/>
    <xf numFmtId="164" fontId="0" fillId="3" borderId="2" xfId="0" applyNumberFormat="1" applyFill="1" applyBorder="1"/>
    <xf numFmtId="0" fontId="0" fillId="0" borderId="0" xfId="0" applyAlignment="1">
      <alignment horizontal="center"/>
    </xf>
    <xf numFmtId="165" fontId="8" fillId="0" borderId="0" xfId="0" applyNumberFormat="1" applyFont="1"/>
    <xf numFmtId="165" fontId="7" fillId="2" borderId="4" xfId="0" applyNumberFormat="1" applyFont="1" applyFill="1" applyBorder="1"/>
    <xf numFmtId="0" fontId="0" fillId="3" borderId="2" xfId="0" applyFill="1" applyBorder="1"/>
    <xf numFmtId="0" fontId="15" fillId="0" borderId="0" xfId="0" applyFont="1"/>
    <xf numFmtId="0" fontId="0" fillId="5" borderId="2" xfId="0" applyFill="1" applyBorder="1"/>
    <xf numFmtId="0" fontId="16" fillId="0" borderId="0" xfId="0" applyFont="1"/>
    <xf numFmtId="0" fontId="17" fillId="2" borderId="4" xfId="0" applyFont="1" applyFill="1" applyBorder="1"/>
    <xf numFmtId="165" fontId="17" fillId="2" borderId="4" xfId="0" applyNumberFormat="1" applyFont="1" applyFill="1" applyBorder="1"/>
    <xf numFmtId="0" fontId="18" fillId="0" borderId="0" xfId="0" applyFont="1"/>
    <xf numFmtId="0" fontId="19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2937"/>
  </sheetPr>
  <dimension ref="A1:C30"/>
  <sheetViews>
    <sheetView workbookViewId="0">
      <selection sqref="A1:C1"/>
    </sheetView>
  </sheetViews>
  <sheetFormatPr defaultRowHeight="14.5" x14ac:dyDescent="0.35"/>
  <cols>
    <col min="1" max="1" width="4" customWidth="1"/>
    <col min="2" max="2" width="36" customWidth="1"/>
    <col min="3" max="3" width="30" customWidth="1"/>
  </cols>
  <sheetData>
    <row r="1" spans="1:3" ht="24" customHeight="1" x14ac:dyDescent="0.35">
      <c r="A1" s="94" t="s">
        <v>0</v>
      </c>
      <c r="B1" s="94"/>
      <c r="C1" s="94"/>
    </row>
    <row r="2" spans="1:3" x14ac:dyDescent="0.35">
      <c r="A2" s="95" t="s">
        <v>1</v>
      </c>
      <c r="B2" s="95"/>
      <c r="C2" s="95"/>
    </row>
    <row r="4" spans="1:3" x14ac:dyDescent="0.35">
      <c r="B4" s="1" t="s">
        <v>2</v>
      </c>
      <c r="C4" s="1"/>
    </row>
    <row r="5" spans="1:3" x14ac:dyDescent="0.35">
      <c r="B5" s="2" t="s">
        <v>3</v>
      </c>
      <c r="C5" s="3" t="s">
        <v>4</v>
      </c>
    </row>
    <row r="6" spans="1:3" x14ac:dyDescent="0.35">
      <c r="B6" s="4" t="s">
        <v>5</v>
      </c>
      <c r="C6" s="5" t="s">
        <v>6</v>
      </c>
    </row>
    <row r="7" spans="1:3" x14ac:dyDescent="0.35">
      <c r="B7" s="2" t="s">
        <v>7</v>
      </c>
      <c r="C7" s="3" t="s">
        <v>8</v>
      </c>
    </row>
    <row r="8" spans="1:3" x14ac:dyDescent="0.35">
      <c r="B8" s="4" t="s">
        <v>9</v>
      </c>
      <c r="C8" s="5" t="s">
        <v>10</v>
      </c>
    </row>
    <row r="9" spans="1:3" x14ac:dyDescent="0.35">
      <c r="B9" s="2" t="s">
        <v>11</v>
      </c>
      <c r="C9" s="3" t="s">
        <v>12</v>
      </c>
    </row>
    <row r="10" spans="1:3" x14ac:dyDescent="0.35">
      <c r="B10" s="4" t="s">
        <v>13</v>
      </c>
      <c r="C10" s="5" t="s">
        <v>14</v>
      </c>
    </row>
    <row r="11" spans="1:3" x14ac:dyDescent="0.35">
      <c r="B11" s="2" t="s">
        <v>15</v>
      </c>
      <c r="C11" s="3" t="s">
        <v>16</v>
      </c>
    </row>
    <row r="12" spans="1:3" x14ac:dyDescent="0.35">
      <c r="B12" s="4" t="s">
        <v>17</v>
      </c>
      <c r="C12" s="5" t="s">
        <v>16</v>
      </c>
    </row>
    <row r="13" spans="1:3" x14ac:dyDescent="0.35">
      <c r="B13" s="2" t="s">
        <v>18</v>
      </c>
      <c r="C13" s="3">
        <f>SUM('LED Cost Sheet'!L4:L4)</f>
        <v>1</v>
      </c>
    </row>
    <row r="15" spans="1:3" x14ac:dyDescent="0.35">
      <c r="B15" s="1" t="s">
        <v>19</v>
      </c>
      <c r="C15" s="1"/>
    </row>
    <row r="16" spans="1:3" x14ac:dyDescent="0.35">
      <c r="B16" s="4" t="s">
        <v>20</v>
      </c>
      <c r="C16" s="6">
        <v>0.15</v>
      </c>
    </row>
    <row r="17" spans="2:3" x14ac:dyDescent="0.35">
      <c r="B17" s="2" t="s">
        <v>21</v>
      </c>
      <c r="C17" s="7">
        <v>0.15</v>
      </c>
    </row>
    <row r="18" spans="2:3" x14ac:dyDescent="0.35">
      <c r="B18" s="4" t="s">
        <v>22</v>
      </c>
      <c r="C18" s="6">
        <v>0.15</v>
      </c>
    </row>
    <row r="19" spans="2:3" x14ac:dyDescent="0.35">
      <c r="B19" s="2" t="s">
        <v>23</v>
      </c>
      <c r="C19" s="7">
        <v>0.15</v>
      </c>
    </row>
    <row r="20" spans="2:3" x14ac:dyDescent="0.35">
      <c r="B20" s="4" t="s">
        <v>24</v>
      </c>
      <c r="C20" s="6">
        <v>0.15</v>
      </c>
    </row>
    <row r="21" spans="2:3" x14ac:dyDescent="0.35">
      <c r="B21" s="2" t="s">
        <v>25</v>
      </c>
      <c r="C21" s="3" t="s">
        <v>26</v>
      </c>
    </row>
    <row r="22" spans="2:3" x14ac:dyDescent="0.35">
      <c r="B22" s="4" t="s">
        <v>27</v>
      </c>
      <c r="C22" s="6">
        <v>0</v>
      </c>
    </row>
    <row r="23" spans="2:3" x14ac:dyDescent="0.35">
      <c r="B23" s="2" t="s">
        <v>28</v>
      </c>
      <c r="C23" s="7">
        <v>0</v>
      </c>
    </row>
    <row r="25" spans="2:3" x14ac:dyDescent="0.35">
      <c r="B25" s="1" t="s">
        <v>29</v>
      </c>
      <c r="C25" s="1"/>
    </row>
    <row r="26" spans="2:3" x14ac:dyDescent="0.35">
      <c r="B26" s="2" t="s">
        <v>30</v>
      </c>
      <c r="C26" s="8">
        <f>'Margin Analysis'!C30</f>
        <v>150003.73000000001</v>
      </c>
    </row>
    <row r="27" spans="2:3" x14ac:dyDescent="0.35">
      <c r="B27" s="2" t="s">
        <v>31</v>
      </c>
      <c r="C27" s="8">
        <f>'Margin Analysis'!D30</f>
        <v>184477.78750000001</v>
      </c>
    </row>
    <row r="28" spans="2:3" x14ac:dyDescent="0.35">
      <c r="B28" s="2" t="s">
        <v>32</v>
      </c>
      <c r="C28" s="8">
        <f>'Margin Analysis'!E30</f>
        <v>34474.057499999995</v>
      </c>
    </row>
    <row r="29" spans="2:3" x14ac:dyDescent="0.35">
      <c r="B29" s="2" t="s">
        <v>33</v>
      </c>
      <c r="C29" s="7">
        <f>'Margin Analysis'!F30</f>
        <v>0.18687375844639287</v>
      </c>
    </row>
    <row r="30" spans="2:3" ht="15.5" x14ac:dyDescent="0.35">
      <c r="B30" s="9" t="s">
        <v>34</v>
      </c>
      <c r="C30" s="10">
        <f>'Margin Analysis'!D30</f>
        <v>184477.78750000001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A52EF"/>
  </sheetPr>
  <dimension ref="A1:G30"/>
  <sheetViews>
    <sheetView workbookViewId="0">
      <selection activeCell="D6" sqref="D6"/>
    </sheetView>
  </sheetViews>
  <sheetFormatPr defaultRowHeight="14.5" outlineLevelRow="1" x14ac:dyDescent="0.35"/>
  <cols>
    <col min="1" max="1" width="4" customWidth="1"/>
    <col min="2" max="2" width="44" customWidth="1"/>
    <col min="3" max="5" width="16" customWidth="1"/>
    <col min="6" max="6" width="12" customWidth="1"/>
    <col min="7" max="7" width="12" hidden="1" customWidth="1"/>
  </cols>
  <sheetData>
    <row r="1" spans="1:7" ht="24" customHeight="1" x14ac:dyDescent="0.35">
      <c r="A1" s="94" t="s">
        <v>35</v>
      </c>
      <c r="B1" s="94"/>
      <c r="C1" s="94"/>
      <c r="D1" s="94"/>
      <c r="E1" s="94"/>
      <c r="F1" s="94"/>
    </row>
    <row r="2" spans="1:7" x14ac:dyDescent="0.35">
      <c r="A2" s="95" t="s">
        <v>1</v>
      </c>
      <c r="B2" s="95"/>
      <c r="C2" s="95"/>
      <c r="D2" s="95"/>
      <c r="E2" s="95"/>
      <c r="F2" s="95"/>
    </row>
    <row r="4" spans="1:7" ht="18.649999999999999" customHeight="1" x14ac:dyDescent="0.35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</row>
    <row r="5" spans="1:7" s="11" customFormat="1" x14ac:dyDescent="0.35">
      <c r="B5" s="11" t="s">
        <v>42</v>
      </c>
      <c r="D5" s="12" t="s">
        <v>39</v>
      </c>
    </row>
    <row r="6" spans="1:7" outlineLevel="1" collapsed="1" x14ac:dyDescent="0.35">
      <c r="B6" s="13" t="s">
        <v>43</v>
      </c>
      <c r="C6" s="14">
        <f>'LED Cost Sheet'!T4</f>
        <v>41165.5</v>
      </c>
      <c r="D6" s="14">
        <f>'LED Cost Sheet'!V4</f>
        <v>48430</v>
      </c>
      <c r="E6" s="14">
        <f t="shared" ref="E6:E12" si="0">IFERROR(D6-C6,0)</f>
        <v>7264.5</v>
      </c>
      <c r="F6" s="15">
        <v>0.15</v>
      </c>
    </row>
    <row r="7" spans="1:7" outlineLevel="1" collapsed="1" x14ac:dyDescent="0.35">
      <c r="B7" s="13" t="s">
        <v>44</v>
      </c>
      <c r="C7" s="14">
        <f>'Main Scoreboard - Install'!I26</f>
        <v>8250</v>
      </c>
      <c r="D7" s="14">
        <f>IFERROR(C7/(1-F7),0)</f>
        <v>10312.5</v>
      </c>
      <c r="E7" s="14">
        <f t="shared" si="0"/>
        <v>2062.5</v>
      </c>
      <c r="F7" s="15">
        <v>0.2</v>
      </c>
    </row>
    <row r="8" spans="1:7" outlineLevel="1" collapsed="1" x14ac:dyDescent="0.35">
      <c r="B8" s="13" t="s">
        <v>45</v>
      </c>
      <c r="C8" s="14">
        <f>'Main Scoreboard - Install'!I35-'Main Scoreboard - Install'!I34</f>
        <v>56250.000000000007</v>
      </c>
      <c r="D8" s="14">
        <f>IFERROR(C8/(1-F8),0)</f>
        <v>70312.5</v>
      </c>
      <c r="E8" s="14">
        <f t="shared" si="0"/>
        <v>14062.499999999993</v>
      </c>
      <c r="F8" s="15">
        <v>0.2</v>
      </c>
    </row>
    <row r="9" spans="1:7" outlineLevel="1" collapsed="1" x14ac:dyDescent="0.35">
      <c r="B9" s="13" t="s">
        <v>46</v>
      </c>
      <c r="C9" s="14">
        <f>'Main Scoreboard - Install'!I44</f>
        <v>18750</v>
      </c>
      <c r="D9" s="14">
        <f>IFERROR(C9/(1-F9),0)</f>
        <v>23437.5</v>
      </c>
      <c r="E9" s="14">
        <f t="shared" si="0"/>
        <v>4687.5</v>
      </c>
      <c r="F9" s="15">
        <v>0.2</v>
      </c>
    </row>
    <row r="10" spans="1:7" outlineLevel="1" collapsed="1" x14ac:dyDescent="0.35">
      <c r="B10" s="13" t="s">
        <v>47</v>
      </c>
      <c r="C10" s="14">
        <f>'Main Scoreboard - Install'!I34</f>
        <v>20882.349999999999</v>
      </c>
      <c r="D10" s="14">
        <f>IFERROR(C10/(1-F10),0)</f>
        <v>26102.937499999996</v>
      </c>
      <c r="E10" s="14">
        <f t="shared" si="0"/>
        <v>5220.5874999999978</v>
      </c>
      <c r="F10" s="15">
        <v>0.2</v>
      </c>
    </row>
    <row r="11" spans="1:7" outlineLevel="1" collapsed="1" x14ac:dyDescent="0.35">
      <c r="B11" s="13" t="s">
        <v>48</v>
      </c>
      <c r="C11" s="14">
        <f>'Main Scoreboard - Install'!I52</f>
        <v>4705.88</v>
      </c>
      <c r="D11" s="14">
        <f>IFERROR(C11/(1-F11),0)</f>
        <v>5882.3499999999995</v>
      </c>
      <c r="E11" s="14">
        <f t="shared" si="0"/>
        <v>1176.4699999999993</v>
      </c>
      <c r="F11" s="15">
        <v>0.2</v>
      </c>
    </row>
    <row r="12" spans="1:7" outlineLevel="1" collapsed="1" x14ac:dyDescent="0.35">
      <c r="B12" s="2" t="s">
        <v>49</v>
      </c>
      <c r="C12" s="16">
        <f>SUM(C6:C11)</f>
        <v>150003.73000000001</v>
      </c>
      <c r="D12" s="16">
        <f>SUM(D6:D11)</f>
        <v>184477.78750000001</v>
      </c>
      <c r="E12" s="16">
        <f t="shared" si="0"/>
        <v>34474.057499999995</v>
      </c>
      <c r="F12" s="17">
        <f>IFERROR(1-C12/D12,0)</f>
        <v>0.18687375844639287</v>
      </c>
    </row>
    <row r="13" spans="1:7" outlineLevel="1" collapsed="1" x14ac:dyDescent="0.35">
      <c r="B13" s="13" t="s">
        <v>50</v>
      </c>
      <c r="C13" s="18">
        <v>0</v>
      </c>
      <c r="D13" s="18">
        <v>0</v>
      </c>
      <c r="E13" s="18">
        <v>0</v>
      </c>
      <c r="G13" s="19">
        <v>0</v>
      </c>
    </row>
    <row r="14" spans="1:7" outlineLevel="1" collapsed="1" x14ac:dyDescent="0.35">
      <c r="B14" s="13" t="s">
        <v>51</v>
      </c>
      <c r="C14" s="18">
        <v>0</v>
      </c>
      <c r="D14" s="18">
        <v>0</v>
      </c>
      <c r="E14" s="18">
        <v>0</v>
      </c>
      <c r="G14" s="19">
        <v>0</v>
      </c>
    </row>
    <row r="15" spans="1:7" outlineLevel="1" collapsed="1" x14ac:dyDescent="0.35">
      <c r="B15" s="13" t="s">
        <v>52</v>
      </c>
      <c r="C15" s="18">
        <v>0</v>
      </c>
      <c r="D15" s="18">
        <v>0</v>
      </c>
      <c r="E15" s="18">
        <v>0</v>
      </c>
      <c r="G15" s="19">
        <v>0</v>
      </c>
    </row>
    <row r="16" spans="1:7" x14ac:dyDescent="0.35">
      <c r="B16" s="20" t="s">
        <v>53</v>
      </c>
      <c r="C16" s="21">
        <f>C12+C13+C14+C15</f>
        <v>150003.73000000001</v>
      </c>
      <c r="D16" s="21">
        <f>D12+D13+D14+D15</f>
        <v>184477.78750000001</v>
      </c>
      <c r="E16" s="21">
        <f>IFERROR(D16-C12,0)</f>
        <v>34474.057499999995</v>
      </c>
      <c r="F16" s="22">
        <f>IFERROR(E16/D16,0)</f>
        <v>0.18687375844639287</v>
      </c>
    </row>
    <row r="17" spans="1:6" x14ac:dyDescent="0.35">
      <c r="B17" s="23" t="s">
        <v>54</v>
      </c>
    </row>
    <row r="18" spans="1:6" x14ac:dyDescent="0.35">
      <c r="B18" s="24" t="s">
        <v>55</v>
      </c>
      <c r="C18" s="25">
        <v>-12922.87</v>
      </c>
      <c r="D18" s="25">
        <v>-23206.18</v>
      </c>
    </row>
    <row r="21" spans="1:6" ht="16" customHeight="1" x14ac:dyDescent="0.35">
      <c r="B21" s="26" t="s">
        <v>56</v>
      </c>
      <c r="C21" s="26"/>
      <c r="D21" s="26"/>
      <c r="E21" s="26"/>
      <c r="F21" s="26"/>
    </row>
    <row r="22" spans="1:6" x14ac:dyDescent="0.35">
      <c r="B22" s="27" t="s">
        <v>57</v>
      </c>
      <c r="C22" s="18">
        <f>SUM(CMS!F26:F26)</f>
        <v>0</v>
      </c>
      <c r="D22" s="18">
        <f>SUM(CMS!H26:H26)</f>
        <v>0</v>
      </c>
      <c r="E22" s="18">
        <f>SUM(CMS!I26:I26)</f>
        <v>0</v>
      </c>
      <c r="F22" s="19">
        <v>0.15</v>
      </c>
    </row>
    <row r="23" spans="1:6" x14ac:dyDescent="0.35">
      <c r="B23" s="27" t="s">
        <v>58</v>
      </c>
      <c r="C23" s="18">
        <f>SUM(Scoring!F27:F27)</f>
        <v>0</v>
      </c>
      <c r="D23" s="18">
        <f>SUM(Scoring!H27:H27)</f>
        <v>0</v>
      </c>
      <c r="E23" s="18">
        <f>SUM(Scoring!I27:I27)</f>
        <v>0</v>
      </c>
      <c r="F23" s="19">
        <v>0.15</v>
      </c>
    </row>
    <row r="24" spans="1:6" x14ac:dyDescent="0.35">
      <c r="B24" s="27" t="s">
        <v>59</v>
      </c>
      <c r="C24" s="18">
        <f>SUM('Venue Services'!B17:B17)</f>
        <v>0</v>
      </c>
      <c r="D24" s="18">
        <f>SUM('Venue Services'!C17:C17)</f>
        <v>0</v>
      </c>
      <c r="E24" s="18">
        <f>SUM('Venue Services'!D17:D17)</f>
        <v>0</v>
      </c>
      <c r="F24" s="28">
        <v>0.15</v>
      </c>
    </row>
    <row r="25" spans="1:6" x14ac:dyDescent="0.35">
      <c r="B25" s="27" t="s">
        <v>60</v>
      </c>
      <c r="C25" s="18">
        <f>SUM('Additional Items'!F5:F5)</f>
        <v>0</v>
      </c>
      <c r="D25" s="18">
        <f>SUM('Additional Items'!H5:H5)</f>
        <v>0</v>
      </c>
      <c r="E25" s="18">
        <f>SUM('Additional Items'!I5:I5)</f>
        <v>0</v>
      </c>
      <c r="F25" s="28">
        <f>SUM('Additional Items'!G5:G5)</f>
        <v>0.15</v>
      </c>
    </row>
    <row r="26" spans="1:6" x14ac:dyDescent="0.35">
      <c r="B26" s="27" t="s">
        <v>61</v>
      </c>
      <c r="C26" s="18">
        <f>SUM('Additional Items'!F6:F6)</f>
        <v>0</v>
      </c>
      <c r="D26" s="18">
        <f>SUM('Additional Items'!H6:H6)</f>
        <v>0</v>
      </c>
      <c r="E26" s="18">
        <f>SUM('Additional Items'!I6:I6)</f>
        <v>0</v>
      </c>
      <c r="F26" s="28">
        <f>SUM('Additional Items'!G6:G6)</f>
        <v>0.15</v>
      </c>
    </row>
    <row r="27" spans="1:6" x14ac:dyDescent="0.35">
      <c r="B27" s="27" t="s">
        <v>62</v>
      </c>
      <c r="C27" s="18">
        <f>SUM('Additional Items'!F7:F7)</f>
        <v>0</v>
      </c>
      <c r="D27" s="18">
        <f>SUM('Additional Items'!H7:H7)</f>
        <v>0</v>
      </c>
      <c r="E27" s="18">
        <f>SUM('Additional Items'!I7:I7)</f>
        <v>0</v>
      </c>
      <c r="F27" s="28">
        <f>SUM('Additional Items'!G7:G7)</f>
        <v>0.15</v>
      </c>
    </row>
    <row r="28" spans="1:6" x14ac:dyDescent="0.35">
      <c r="B28" s="27" t="s">
        <v>63</v>
      </c>
      <c r="C28" s="18">
        <f>SUM('Additional Items'!F8:F8)</f>
        <v>0</v>
      </c>
      <c r="D28" s="18">
        <f>SUM('Additional Items'!H8:H8)</f>
        <v>0</v>
      </c>
      <c r="E28" s="18">
        <f>SUM('Additional Items'!I8:I8)</f>
        <v>0</v>
      </c>
      <c r="F28" s="28">
        <f>SUM('Additional Items'!G8:G8)</f>
        <v>0.15</v>
      </c>
    </row>
    <row r="30" spans="1:6" ht="15.5" outlineLevel="1" collapsed="1" x14ac:dyDescent="0.35">
      <c r="A30" s="29"/>
      <c r="B30" s="30" t="s">
        <v>64</v>
      </c>
      <c r="C30" s="31">
        <f>SUM(C16,C22,C23,C24,C25,C26,C27,C28)</f>
        <v>150003.73000000001</v>
      </c>
      <c r="D30" s="31">
        <f>SUM(D16,D22,D23,D24,D25,D26,D27,D28)</f>
        <v>184477.78750000001</v>
      </c>
      <c r="E30" s="31">
        <f>SUM(E16,E22,E23,E24,E25,E26,E27,E28)</f>
        <v>34474.057499999995</v>
      </c>
      <c r="F30" s="32">
        <f>IFERROR(E30/D30,0)</f>
        <v>0.18687375844639287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8A745"/>
  </sheetPr>
  <dimension ref="A1:G22"/>
  <sheetViews>
    <sheetView topLeftCell="A3" workbookViewId="0">
      <selection sqref="A1:G1"/>
    </sheetView>
  </sheetViews>
  <sheetFormatPr defaultRowHeight="14.5" x14ac:dyDescent="0.35"/>
  <cols>
    <col min="1" max="1" width="4" customWidth="1"/>
    <col min="2" max="2" width="40" customWidth="1"/>
    <col min="3" max="5" width="16" customWidth="1"/>
    <col min="6" max="6" width="12" customWidth="1"/>
    <col min="7" max="7" width="14" customWidth="1"/>
  </cols>
  <sheetData>
    <row r="1" spans="1:7" ht="24" customHeight="1" x14ac:dyDescent="0.35">
      <c r="A1" s="94" t="s">
        <v>65</v>
      </c>
      <c r="B1" s="94"/>
      <c r="C1" s="94"/>
      <c r="D1" s="94"/>
      <c r="E1" s="94"/>
      <c r="F1" s="94"/>
      <c r="G1" s="94"/>
    </row>
    <row r="2" spans="1:7" x14ac:dyDescent="0.35">
      <c r="A2" s="95" t="s">
        <v>66</v>
      </c>
      <c r="B2" s="95"/>
      <c r="C2" s="95"/>
      <c r="D2" s="95"/>
      <c r="E2" s="95"/>
      <c r="F2" s="95"/>
      <c r="G2" s="95"/>
    </row>
    <row r="4" spans="1:7" ht="18.649999999999999" customHeight="1" x14ac:dyDescent="0.35">
      <c r="A4" s="33" t="s">
        <v>36</v>
      </c>
      <c r="B4" s="33" t="s">
        <v>67</v>
      </c>
      <c r="C4" s="33" t="s">
        <v>38</v>
      </c>
      <c r="D4" s="33" t="s">
        <v>39</v>
      </c>
      <c r="E4" s="33" t="s">
        <v>40</v>
      </c>
      <c r="F4" s="33" t="s">
        <v>41</v>
      </c>
      <c r="G4" s="33" t="s">
        <v>68</v>
      </c>
    </row>
    <row r="5" spans="1:7" x14ac:dyDescent="0.35">
      <c r="B5" s="3" t="s">
        <v>69</v>
      </c>
      <c r="C5" s="18">
        <f>SUM('LED Cost Sheet'!T4:T4)</f>
        <v>41165.5</v>
      </c>
      <c r="D5" s="18">
        <f>SUM('LED Cost Sheet'!V4:V4)</f>
        <v>48430</v>
      </c>
      <c r="E5" s="18">
        <f t="shared" ref="E5:E17" si="0">IFERROR(D5-C5,0)</f>
        <v>7264.5</v>
      </c>
      <c r="F5" s="28">
        <v>0.15</v>
      </c>
      <c r="G5" s="18">
        <f>IFERROR(C5/150,0)</f>
        <v>274.43666666666667</v>
      </c>
    </row>
    <row r="6" spans="1:7" x14ac:dyDescent="0.35">
      <c r="A6" s="34"/>
      <c r="B6" s="5" t="s">
        <v>70</v>
      </c>
      <c r="C6" s="35">
        <f>SUM('Main Scoreboard - Install'!I26:I26)</f>
        <v>8250</v>
      </c>
      <c r="D6" s="35">
        <f>SUM('Main Scoreboard - Install'!K26:K26)</f>
        <v>10312.5</v>
      </c>
      <c r="E6" s="35">
        <f t="shared" si="0"/>
        <v>2062.5</v>
      </c>
      <c r="F6" s="36">
        <v>0.2</v>
      </c>
      <c r="G6" s="35">
        <f>IFERROR(C6/150,0)</f>
        <v>55</v>
      </c>
    </row>
    <row r="7" spans="1:7" x14ac:dyDescent="0.35">
      <c r="B7" s="3" t="s">
        <v>71</v>
      </c>
      <c r="C7" s="18">
        <f>(SUM('Main Scoreboard - Install'!I35:I35)-SUM('Main Scoreboard - Install'!I34:I34))</f>
        <v>56250.000000000007</v>
      </c>
      <c r="D7" s="18">
        <f>(SUM('Main Scoreboard - Install'!K35:K35)-SUM('Main Scoreboard - Install'!K34:K34))</f>
        <v>70312.5</v>
      </c>
      <c r="E7" s="18">
        <f t="shared" si="0"/>
        <v>14062.499999999993</v>
      </c>
      <c r="F7" s="28">
        <v>0.2</v>
      </c>
      <c r="G7" s="18">
        <f>IFERROR(C7/150,0)</f>
        <v>375.00000000000006</v>
      </c>
    </row>
    <row r="8" spans="1:7" x14ac:dyDescent="0.35">
      <c r="A8" s="34"/>
      <c r="B8" s="5" t="s">
        <v>72</v>
      </c>
      <c r="C8" s="35">
        <f>SUM('Main Scoreboard - Install'!I44:I44)</f>
        <v>18750</v>
      </c>
      <c r="D8" s="35">
        <f>SUM('Main Scoreboard - Install'!K44:K44)</f>
        <v>23437.5</v>
      </c>
      <c r="E8" s="35">
        <f t="shared" si="0"/>
        <v>4687.5</v>
      </c>
      <c r="F8" s="36">
        <v>0.2</v>
      </c>
      <c r="G8" s="35">
        <f>IFERROR(C8/150,0)</f>
        <v>125</v>
      </c>
    </row>
    <row r="9" spans="1:7" x14ac:dyDescent="0.35">
      <c r="B9" s="3" t="s">
        <v>73</v>
      </c>
      <c r="C9" s="18">
        <f>SUM('Main Scoreboard - Install'!I34:I34)</f>
        <v>20882.349999999999</v>
      </c>
      <c r="D9" s="18">
        <f>SUM('Main Scoreboard - Install'!K34:K34)</f>
        <v>26102.937499999996</v>
      </c>
      <c r="E9" s="18">
        <f t="shared" si="0"/>
        <v>5220.5874999999978</v>
      </c>
      <c r="F9" s="28">
        <v>0.2</v>
      </c>
      <c r="G9" s="18" t="s">
        <v>36</v>
      </c>
    </row>
    <row r="10" spans="1:7" x14ac:dyDescent="0.35">
      <c r="A10" s="34"/>
      <c r="B10" s="5" t="s">
        <v>74</v>
      </c>
      <c r="C10" s="35">
        <f>SUM('Main Scoreboard - Install'!I52:I52)</f>
        <v>4705.88</v>
      </c>
      <c r="D10" s="35">
        <f>SUM('Main Scoreboard - Install'!K52:K52)</f>
        <v>5882.3499999999995</v>
      </c>
      <c r="E10" s="35">
        <f t="shared" si="0"/>
        <v>1176.4699999999993</v>
      </c>
      <c r="F10" s="36">
        <v>0.2</v>
      </c>
      <c r="G10" s="35" t="s">
        <v>36</v>
      </c>
    </row>
    <row r="11" spans="1:7" x14ac:dyDescent="0.35">
      <c r="B11" s="3" t="s">
        <v>57</v>
      </c>
      <c r="C11" s="18">
        <f>SUM(CMS!F26:F26)</f>
        <v>0</v>
      </c>
      <c r="D11" s="18">
        <f>SUM(CMS!H26:H26)</f>
        <v>0</v>
      </c>
      <c r="E11" s="18">
        <f t="shared" si="0"/>
        <v>0</v>
      </c>
      <c r="F11" s="28">
        <v>0.15</v>
      </c>
      <c r="G11" s="18" t="s">
        <v>36</v>
      </c>
    </row>
    <row r="12" spans="1:7" x14ac:dyDescent="0.35">
      <c r="A12" s="34"/>
      <c r="B12" s="5" t="s">
        <v>58</v>
      </c>
      <c r="C12" s="35">
        <f>SUM(Scoring!F27:F27)</f>
        <v>0</v>
      </c>
      <c r="D12" s="35">
        <f>SUM(Scoring!H27:H27)</f>
        <v>0</v>
      </c>
      <c r="E12" s="35">
        <f t="shared" si="0"/>
        <v>0</v>
      </c>
      <c r="F12" s="36">
        <v>0.15</v>
      </c>
      <c r="G12" s="35" t="s">
        <v>36</v>
      </c>
    </row>
    <row r="13" spans="1:7" x14ac:dyDescent="0.35">
      <c r="B13" s="3" t="s">
        <v>59</v>
      </c>
      <c r="C13" s="18">
        <f>SUM('Venue Services'!B17:B17)</f>
        <v>0</v>
      </c>
      <c r="D13" s="18">
        <f>SUM('Venue Services'!C17:C17)</f>
        <v>0</v>
      </c>
      <c r="E13" s="18">
        <f t="shared" si="0"/>
        <v>0</v>
      </c>
      <c r="F13" s="28">
        <v>0.15</v>
      </c>
      <c r="G13" s="18" t="s">
        <v>36</v>
      </c>
    </row>
    <row r="14" spans="1:7" x14ac:dyDescent="0.35">
      <c r="A14" s="34"/>
      <c r="B14" s="5" t="s">
        <v>60</v>
      </c>
      <c r="C14" s="35">
        <f>SUM('Additional Items'!F5:F5)</f>
        <v>0</v>
      </c>
      <c r="D14" s="35">
        <f>SUM('Additional Items'!H5:H5)</f>
        <v>0</v>
      </c>
      <c r="E14" s="35">
        <f t="shared" si="0"/>
        <v>0</v>
      </c>
      <c r="F14" s="36">
        <v>0.15</v>
      </c>
      <c r="G14" s="35" t="s">
        <v>36</v>
      </c>
    </row>
    <row r="15" spans="1:7" x14ac:dyDescent="0.35">
      <c r="B15" s="3" t="s">
        <v>61</v>
      </c>
      <c r="C15" s="18">
        <f>SUM('Additional Items'!F6:F6)</f>
        <v>0</v>
      </c>
      <c r="D15" s="18">
        <f>SUM('Additional Items'!H6:H6)</f>
        <v>0</v>
      </c>
      <c r="E15" s="18">
        <f t="shared" si="0"/>
        <v>0</v>
      </c>
      <c r="F15" s="28">
        <v>0.15</v>
      </c>
      <c r="G15" s="18" t="s">
        <v>36</v>
      </c>
    </row>
    <row r="16" spans="1:7" x14ac:dyDescent="0.35">
      <c r="A16" s="34"/>
      <c r="B16" s="5" t="s">
        <v>62</v>
      </c>
      <c r="C16" s="35">
        <f>SUM('Additional Items'!F7:F7)</f>
        <v>0</v>
      </c>
      <c r="D16" s="35">
        <f>SUM('Additional Items'!H7:H7)</f>
        <v>0</v>
      </c>
      <c r="E16" s="35">
        <f t="shared" si="0"/>
        <v>0</v>
      </c>
      <c r="F16" s="36">
        <v>0.15</v>
      </c>
      <c r="G16" s="35" t="s">
        <v>36</v>
      </c>
    </row>
    <row r="17" spans="1:7" x14ac:dyDescent="0.35">
      <c r="B17" s="3" t="s">
        <v>63</v>
      </c>
      <c r="C17" s="18">
        <f>SUM('Additional Items'!F8:F8)</f>
        <v>0</v>
      </c>
      <c r="D17" s="18">
        <f>SUM('Additional Items'!H8:H8)</f>
        <v>0</v>
      </c>
      <c r="E17" s="18">
        <f t="shared" si="0"/>
        <v>0</v>
      </c>
      <c r="F17" s="28">
        <v>0.15</v>
      </c>
      <c r="G17" s="18" t="s">
        <v>36</v>
      </c>
    </row>
    <row r="19" spans="1:7" x14ac:dyDescent="0.35">
      <c r="A19" s="37"/>
      <c r="B19" s="37" t="s">
        <v>75</v>
      </c>
      <c r="C19" s="38">
        <f>SUM(C5:C17)</f>
        <v>150003.73000000001</v>
      </c>
      <c r="D19" s="38">
        <f>SUM(D5:D17)</f>
        <v>184477.78750000001</v>
      </c>
      <c r="E19" s="38">
        <f>IFERROR(D19-C19,0)</f>
        <v>34474.057499999995</v>
      </c>
      <c r="F19" s="39">
        <f>IFERROR(1-C19/D19,0)</f>
        <v>0.18687375844639287</v>
      </c>
      <c r="G19" s="38">
        <f>IFERROR(C19/150,0)</f>
        <v>1000.0248666666668</v>
      </c>
    </row>
    <row r="20" spans="1:7" x14ac:dyDescent="0.35">
      <c r="A20" s="34"/>
      <c r="B20" s="34" t="s">
        <v>76</v>
      </c>
      <c r="C20" s="35">
        <v>0</v>
      </c>
      <c r="D20" s="35">
        <v>0</v>
      </c>
      <c r="E20" s="35">
        <v>0</v>
      </c>
      <c r="F20" s="36">
        <v>0</v>
      </c>
      <c r="G20" s="34"/>
    </row>
    <row r="21" spans="1:7" x14ac:dyDescent="0.35">
      <c r="B21" t="s">
        <v>77</v>
      </c>
      <c r="C21" s="18">
        <v>0</v>
      </c>
      <c r="D21" s="18">
        <v>0</v>
      </c>
      <c r="E21" s="18">
        <v>0</v>
      </c>
      <c r="F21" s="28">
        <v>0</v>
      </c>
    </row>
    <row r="22" spans="1:7" ht="15.5" x14ac:dyDescent="0.35">
      <c r="A22" s="29"/>
      <c r="B22" s="30" t="s">
        <v>78</v>
      </c>
      <c r="C22" s="31">
        <f>C19+C20+C21</f>
        <v>150003.73000000001</v>
      </c>
      <c r="D22" s="31">
        <f>D19+D20+D21</f>
        <v>184477.78750000001</v>
      </c>
      <c r="E22" s="31">
        <f>IFERROR(D22-C22,0)</f>
        <v>34474.057499999995</v>
      </c>
      <c r="F22" s="32">
        <f>IFERROR(1-C22/D22,0)</f>
        <v>0.18687375844639287</v>
      </c>
      <c r="G22" s="31">
        <f>IFERROR(C22/150,0)</f>
        <v>1000.0248666666668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8A745"/>
  </sheetPr>
  <dimension ref="A1:Z9"/>
  <sheetViews>
    <sheetView tabSelected="1" topLeftCell="L1" workbookViewId="0">
      <selection activeCell="T9" sqref="T9"/>
    </sheetView>
  </sheetViews>
  <sheetFormatPr defaultRowHeight="14.5" x14ac:dyDescent="0.35"/>
  <cols>
    <col min="1" max="1" width="36" customWidth="1"/>
    <col min="2" max="4" width="8" customWidth="1"/>
    <col min="5" max="5" width="18" customWidth="1"/>
    <col min="6" max="6" width="14" customWidth="1"/>
    <col min="7" max="11" width="10" customWidth="1"/>
    <col min="12" max="12" width="8" customWidth="1"/>
    <col min="13" max="13" width="12" customWidth="1"/>
    <col min="14" max="15" width="10" customWidth="1"/>
    <col min="16" max="17" width="12" customWidth="1"/>
    <col min="18" max="21" width="14" customWidth="1"/>
    <col min="22" max="22" width="12" customWidth="1"/>
    <col min="23" max="23" width="16" customWidth="1"/>
    <col min="24" max="24" width="12" customWidth="1"/>
    <col min="25" max="25" width="14" customWidth="1"/>
    <col min="26" max="26" width="12" customWidth="1"/>
  </cols>
  <sheetData>
    <row r="1" spans="1:26" ht="24" customHeight="1" x14ac:dyDescent="0.35">
      <c r="A1" s="94" t="s">
        <v>79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</row>
    <row r="2" spans="1:26" ht="15.5" x14ac:dyDescent="0.35">
      <c r="U2" s="40" t="s">
        <v>80</v>
      </c>
      <c r="V2" s="41">
        <v>0.15</v>
      </c>
    </row>
    <row r="3" spans="1:26" ht="18.649999999999999" customHeight="1" x14ac:dyDescent="0.35">
      <c r="A3" s="26" t="s">
        <v>81</v>
      </c>
      <c r="B3" s="26" t="s">
        <v>82</v>
      </c>
      <c r="C3" s="26" t="s">
        <v>83</v>
      </c>
      <c r="D3" s="26" t="s">
        <v>84</v>
      </c>
      <c r="E3" s="26" t="s">
        <v>85</v>
      </c>
      <c r="F3" s="26" t="s">
        <v>86</v>
      </c>
      <c r="G3" s="26" t="s">
        <v>87</v>
      </c>
      <c r="H3" s="26" t="s">
        <v>88</v>
      </c>
      <c r="I3" s="26" t="s">
        <v>89</v>
      </c>
      <c r="J3" s="26" t="s">
        <v>90</v>
      </c>
      <c r="K3" s="26" t="s">
        <v>91</v>
      </c>
      <c r="L3" s="26" t="s">
        <v>92</v>
      </c>
      <c r="M3" s="26" t="s">
        <v>93</v>
      </c>
      <c r="N3" s="26" t="s">
        <v>94</v>
      </c>
      <c r="O3" s="26" t="s">
        <v>95</v>
      </c>
      <c r="P3" s="26" t="s">
        <v>96</v>
      </c>
      <c r="Q3" s="26" t="s">
        <v>97</v>
      </c>
      <c r="R3" s="26" t="s">
        <v>98</v>
      </c>
      <c r="S3" s="26" t="s">
        <v>99</v>
      </c>
      <c r="T3" s="26" t="s">
        <v>30</v>
      </c>
      <c r="U3" s="26" t="s">
        <v>41</v>
      </c>
      <c r="V3" s="26" t="s">
        <v>39</v>
      </c>
      <c r="W3" s="26" t="s">
        <v>100</v>
      </c>
      <c r="X3" s="26" t="s">
        <v>101</v>
      </c>
      <c r="Y3" s="26" t="s">
        <v>102</v>
      </c>
      <c r="Z3" s="26" t="s">
        <v>103</v>
      </c>
    </row>
    <row r="4" spans="1:26" x14ac:dyDescent="0.35">
      <c r="A4" s="42" t="s">
        <v>42</v>
      </c>
      <c r="B4" s="43">
        <v>5</v>
      </c>
      <c r="C4" s="43">
        <v>30</v>
      </c>
      <c r="D4" s="34" t="s">
        <v>36</v>
      </c>
      <c r="E4" s="34" t="str">
        <f>IFERROR(VLOOKUP(F4,_Products!$A$1:$G$23,2,FALSE),"")</f>
        <v>Yaham</v>
      </c>
      <c r="F4" s="34" t="s">
        <v>398</v>
      </c>
      <c r="G4" s="44">
        <f>IFERROR(VLOOKUP(F4,_Products!$A$1:$G$23,3,FALSE),0)</f>
        <v>3.91</v>
      </c>
      <c r="H4" s="43">
        <v>5</v>
      </c>
      <c r="I4" s="43">
        <v>30</v>
      </c>
      <c r="J4" s="45">
        <f>IFERROR(ROUND(H4*304.8/G4,0),0)</f>
        <v>390</v>
      </c>
      <c r="K4" s="45">
        <f>IFERROR(ROUND(I4*304.8/G4,0),0)</f>
        <v>2339</v>
      </c>
      <c r="L4" s="46">
        <v>1</v>
      </c>
      <c r="M4" s="47">
        <f>H4*I4*L4</f>
        <v>150</v>
      </c>
      <c r="N4" s="48">
        <f>IFERROR(VLOOKUP(F4,_Products!$A$1:$G$23,5,FALSE),0)</f>
        <v>7000</v>
      </c>
      <c r="O4" s="48" t="s">
        <v>105</v>
      </c>
      <c r="P4" s="35">
        <f>IFERROR(VLOOKUP(F4,_Products!$A$1:$G$23,4,FALSE),0)</f>
        <v>244.17</v>
      </c>
      <c r="Q4" s="35">
        <f>P4*M4</f>
        <v>36625.5</v>
      </c>
      <c r="R4" s="35">
        <f>SUM('Bundle Equipment'!E11:E11)</f>
        <v>3040</v>
      </c>
      <c r="S4" s="35">
        <f>MAX(M4*10,500)</f>
        <v>1500</v>
      </c>
      <c r="T4" s="49">
        <f>Q4+R4+S4</f>
        <v>41165.5</v>
      </c>
      <c r="U4" s="36">
        <f>V$2</f>
        <v>0.15</v>
      </c>
      <c r="V4" s="49">
        <f>IFERROR(T4/(1-U4),0)</f>
        <v>48430</v>
      </c>
      <c r="W4" s="35">
        <f>V4-T4</f>
        <v>7264.5</v>
      </c>
      <c r="X4" s="47">
        <f>IFERROR(ROUND(M4*0.092903*VLOOKUP(F4,_Products!$A$1:$G$23,6,FALSE),0),0)</f>
        <v>952</v>
      </c>
      <c r="Y4" s="47">
        <f>IFERROR(ROUND(M4*0.092903*VLOOKUP(F4,_Products!$A$1:$G$23,7,FALSE),0),0)</f>
        <v>9058</v>
      </c>
      <c r="Z4" s="47">
        <f>Y4*3.412</f>
        <v>30905.896000000001</v>
      </c>
    </row>
    <row r="6" spans="1:26" x14ac:dyDescent="0.35">
      <c r="A6" s="50" t="s">
        <v>106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1">
        <f>SUM(L4:L4)</f>
        <v>1</v>
      </c>
      <c r="M6" s="52">
        <f>SUM(M4:M4)</f>
        <v>150</v>
      </c>
      <c r="N6" s="50"/>
      <c r="O6" s="50"/>
      <c r="P6" s="50"/>
      <c r="Q6" s="53">
        <f>SUM(Q4:Q4)</f>
        <v>36625.5</v>
      </c>
      <c r="R6" s="53">
        <f>SUM(R4:R4)</f>
        <v>3040</v>
      </c>
      <c r="S6" s="53">
        <f>SUM(S4:S4)</f>
        <v>1500</v>
      </c>
      <c r="T6" s="53">
        <f>SUM(T4:T4)</f>
        <v>41165.5</v>
      </c>
      <c r="U6" s="54">
        <f>IFERROR(1-T6/V6,0)</f>
        <v>0.15000000000000002</v>
      </c>
      <c r="V6" s="53">
        <f>SUM(V4:V4)</f>
        <v>48430</v>
      </c>
      <c r="W6" s="53">
        <f>SUM(W4:W4)</f>
        <v>7264.5</v>
      </c>
      <c r="X6" s="52">
        <f>SUM(X4:X4)</f>
        <v>952</v>
      </c>
      <c r="Y6" s="52">
        <f>SUM(Y4:Y4)</f>
        <v>9058</v>
      </c>
      <c r="Z6" s="52">
        <f>SUM(Z4:Z4)</f>
        <v>30905.896000000001</v>
      </c>
    </row>
    <row r="8" spans="1:26" x14ac:dyDescent="0.35">
      <c r="A8" s="55" t="s">
        <v>107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6" ht="58" x14ac:dyDescent="0.35">
      <c r="A9" s="57" t="s">
        <v>108</v>
      </c>
      <c r="B9" s="58"/>
      <c r="C9" s="58"/>
      <c r="D9" s="58"/>
      <c r="E9" s="58"/>
      <c r="F9" s="58"/>
      <c r="G9" s="59" t="s">
        <v>109</v>
      </c>
      <c r="H9" s="60">
        <v>5</v>
      </c>
      <c r="I9" s="60">
        <v>30</v>
      </c>
      <c r="J9" s="58"/>
      <c r="K9" s="58"/>
      <c r="L9" s="59">
        <v>1</v>
      </c>
      <c r="M9" s="61">
        <v>150</v>
      </c>
      <c r="N9" s="59" t="s">
        <v>110</v>
      </c>
      <c r="O9" s="58"/>
      <c r="P9" s="58"/>
      <c r="Q9" s="58"/>
      <c r="R9" s="58"/>
      <c r="S9" s="58"/>
      <c r="T9" s="62">
        <v>141427.41</v>
      </c>
      <c r="U9" s="58"/>
      <c r="V9" s="62">
        <v>164620.49</v>
      </c>
      <c r="W9" s="58"/>
      <c r="X9" s="58"/>
      <c r="Y9" s="58"/>
      <c r="Z9" s="63" t="s">
        <v>111</v>
      </c>
    </row>
  </sheetData>
  <mergeCells count="1">
    <mergeCell ref="A1:W1"/>
  </mergeCell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roduct" error="Select a product from the dropdown list" xr:uid="{00000000-0002-0000-0300-000000000000}">
          <x14:formula1>
            <xm:f>_Products!$A$1:$A$23</xm:f>
          </x14:formula1>
          <xm:sqref>F4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EE2E6"/>
  </sheetPr>
  <dimension ref="A1:O5"/>
  <sheetViews>
    <sheetView workbookViewId="0">
      <selection sqref="A1:O1"/>
    </sheetView>
  </sheetViews>
  <sheetFormatPr defaultRowHeight="14.5" x14ac:dyDescent="0.35"/>
  <cols>
    <col min="1" max="1" width="36" customWidth="1"/>
    <col min="2" max="2" width="8" customWidth="1"/>
    <col min="3" max="7" width="12" customWidth="1"/>
    <col min="8" max="8" width="10" customWidth="1"/>
    <col min="9" max="9" width="12" customWidth="1"/>
    <col min="10" max="11" width="10" customWidth="1"/>
    <col min="12" max="12" width="12" customWidth="1"/>
    <col min="13" max="14" width="14" customWidth="1"/>
    <col min="15" max="15" width="12" customWidth="1"/>
  </cols>
  <sheetData>
    <row r="1" spans="1:15" ht="24" customHeight="1" x14ac:dyDescent="0.35">
      <c r="A1" s="94" t="s">
        <v>112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</row>
    <row r="2" spans="1:15" x14ac:dyDescent="0.35">
      <c r="A2" s="95" t="s">
        <v>113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</row>
    <row r="4" spans="1:15" ht="18.649999999999999" customHeight="1" x14ac:dyDescent="0.35">
      <c r="A4" s="64" t="s">
        <v>114</v>
      </c>
      <c r="B4" s="64" t="s">
        <v>92</v>
      </c>
      <c r="C4" s="64" t="s">
        <v>115</v>
      </c>
      <c r="D4" s="64" t="s">
        <v>116</v>
      </c>
      <c r="E4" s="64" t="s">
        <v>117</v>
      </c>
      <c r="F4" s="64" t="s">
        <v>118</v>
      </c>
      <c r="G4" s="64" t="s">
        <v>119</v>
      </c>
      <c r="H4" s="64" t="s">
        <v>120</v>
      </c>
      <c r="I4" s="64" t="s">
        <v>121</v>
      </c>
      <c r="J4" s="64" t="s">
        <v>95</v>
      </c>
      <c r="K4" s="64" t="s">
        <v>13</v>
      </c>
      <c r="L4" s="64" t="s">
        <v>101</v>
      </c>
      <c r="M4" s="64" t="s">
        <v>102</v>
      </c>
      <c r="N4" s="64" t="s">
        <v>122</v>
      </c>
      <c r="O4" s="64" t="s">
        <v>103</v>
      </c>
    </row>
    <row r="5" spans="1:15" x14ac:dyDescent="0.35">
      <c r="A5" s="34" t="str">
        <f>'LED Cost Sheet'!A4</f>
        <v>Main Scoreboard — scoreboard</v>
      </c>
      <c r="B5" s="34">
        <f>'LED Cost Sheet'!L4</f>
        <v>1</v>
      </c>
      <c r="C5" s="34">
        <f>'LED Cost Sheet'!G4</f>
        <v>3.91</v>
      </c>
      <c r="D5" s="34">
        <f>'LED Cost Sheet'!H4</f>
        <v>5</v>
      </c>
      <c r="E5" s="34">
        <f>'LED Cost Sheet'!I4</f>
        <v>30</v>
      </c>
      <c r="F5" s="34">
        <f>'LED Cost Sheet'!J4</f>
        <v>390</v>
      </c>
      <c r="G5" s="34">
        <f>'LED Cost Sheet'!K4</f>
        <v>2339</v>
      </c>
      <c r="H5" s="47">
        <f>D5*E5*B5</f>
        <v>150</v>
      </c>
      <c r="I5" s="34">
        <f>'LED Cost Sheet'!N4</f>
        <v>7000</v>
      </c>
      <c r="J5" s="34" t="str">
        <f>'LED Cost Sheet'!O4</f>
        <v>Front/Rear</v>
      </c>
      <c r="K5" s="34" t="s">
        <v>110</v>
      </c>
      <c r="L5" s="47">
        <f>'LED Cost Sheet'!X4</f>
        <v>952</v>
      </c>
      <c r="M5" s="47">
        <f>'LED Cost Sheet'!Y4</f>
        <v>9058</v>
      </c>
      <c r="N5" s="65">
        <f>IFERROR((F5*G5*B5)/400000,0)</f>
        <v>2.2805249999999999</v>
      </c>
      <c r="O5" s="47">
        <f>'LED Cost Sheet'!Z4</f>
        <v>30905.896000000001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8A745"/>
  </sheetPr>
  <dimension ref="A3:K54"/>
  <sheetViews>
    <sheetView topLeftCell="A36" workbookViewId="0"/>
  </sheetViews>
  <sheetFormatPr defaultRowHeight="14.5" x14ac:dyDescent="0.3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5" x14ac:dyDescent="0.35">
      <c r="A3" s="66" t="s">
        <v>123</v>
      </c>
    </row>
    <row r="4" spans="1:5" x14ac:dyDescent="0.35">
      <c r="A4" s="13" t="s">
        <v>10</v>
      </c>
    </row>
    <row r="5" spans="1:5" x14ac:dyDescent="0.35">
      <c r="A5" s="13" t="s">
        <v>124</v>
      </c>
    </row>
    <row r="7" spans="1:5" x14ac:dyDescent="0.35">
      <c r="C7" s="27" t="s">
        <v>125</v>
      </c>
    </row>
    <row r="8" spans="1:5" x14ac:dyDescent="0.35">
      <c r="C8" t="s">
        <v>126</v>
      </c>
      <c r="D8" s="19">
        <v>0.2</v>
      </c>
    </row>
    <row r="9" spans="1:5" x14ac:dyDescent="0.35">
      <c r="C9" t="s">
        <v>127</v>
      </c>
      <c r="D9" s="19">
        <v>0.2</v>
      </c>
    </row>
    <row r="10" spans="1:5" x14ac:dyDescent="0.35">
      <c r="C10" t="s">
        <v>100</v>
      </c>
      <c r="D10" s="19">
        <v>0.2</v>
      </c>
    </row>
    <row r="11" spans="1:5" x14ac:dyDescent="0.35">
      <c r="C11" t="s">
        <v>128</v>
      </c>
      <c r="D11" s="19">
        <v>0.2</v>
      </c>
    </row>
    <row r="15" spans="1:5" ht="15.5" x14ac:dyDescent="0.35">
      <c r="B15" s="67" t="s">
        <v>129</v>
      </c>
    </row>
    <row r="16" spans="1:5" x14ac:dyDescent="0.35">
      <c r="B16" s="2" t="s">
        <v>130</v>
      </c>
      <c r="C16" s="2" t="s">
        <v>131</v>
      </c>
      <c r="D16" s="2" t="s">
        <v>132</v>
      </c>
      <c r="E16" s="2" t="s">
        <v>133</v>
      </c>
    </row>
    <row r="17" spans="1:11" x14ac:dyDescent="0.35">
      <c r="B17" s="68">
        <v>5</v>
      </c>
      <c r="C17" s="68">
        <v>30</v>
      </c>
      <c r="D17" s="69">
        <v>150</v>
      </c>
      <c r="E17">
        <v>1</v>
      </c>
    </row>
    <row r="19" spans="1:11" ht="16" customHeight="1" x14ac:dyDescent="0.35">
      <c r="A19" s="26" t="s">
        <v>36</v>
      </c>
      <c r="B19" s="26" t="s">
        <v>134</v>
      </c>
      <c r="C19" s="26" t="s">
        <v>135</v>
      </c>
      <c r="D19" s="26" t="s">
        <v>136</v>
      </c>
      <c r="E19" s="26" t="s">
        <v>137</v>
      </c>
      <c r="F19" s="26" t="s">
        <v>138</v>
      </c>
      <c r="G19" s="26" t="s">
        <v>139</v>
      </c>
      <c r="H19" s="26" t="s">
        <v>36</v>
      </c>
      <c r="I19" s="26" t="s">
        <v>30</v>
      </c>
      <c r="J19" s="26" t="s">
        <v>126</v>
      </c>
      <c r="K19" s="26" t="s">
        <v>39</v>
      </c>
    </row>
    <row r="20" spans="1:11" x14ac:dyDescent="0.35">
      <c r="A20" s="34"/>
      <c r="B20" s="34" t="s">
        <v>140</v>
      </c>
      <c r="C20" s="70">
        <v>0</v>
      </c>
      <c r="D20" s="70">
        <v>0</v>
      </c>
      <c r="E20" s="70">
        <v>0</v>
      </c>
      <c r="F20" s="35">
        <v>0</v>
      </c>
      <c r="G20" s="70">
        <v>0</v>
      </c>
      <c r="H20" s="34"/>
      <c r="I20" s="35">
        <f t="shared" ref="I20:I25" si="0">SUM(C20:G20)</f>
        <v>0</v>
      </c>
      <c r="J20" s="36">
        <f t="shared" ref="J20:J25" si="1">$D$8</f>
        <v>0.2</v>
      </c>
      <c r="K20" s="35">
        <f t="shared" ref="K20:K25" si="2">I20/(1-J20)</f>
        <v>0</v>
      </c>
    </row>
    <row r="21" spans="1:11" x14ac:dyDescent="0.35">
      <c r="B21" t="s">
        <v>141</v>
      </c>
      <c r="C21" s="71">
        <v>0</v>
      </c>
      <c r="D21" s="71">
        <v>0</v>
      </c>
      <c r="E21" s="71">
        <v>0</v>
      </c>
      <c r="F21" s="18">
        <v>0</v>
      </c>
      <c r="G21" s="71">
        <v>0</v>
      </c>
      <c r="I21" s="18">
        <f t="shared" si="0"/>
        <v>0</v>
      </c>
      <c r="J21" s="28">
        <f t="shared" si="1"/>
        <v>0.2</v>
      </c>
      <c r="K21" s="18">
        <f t="shared" si="2"/>
        <v>0</v>
      </c>
    </row>
    <row r="22" spans="1:11" x14ac:dyDescent="0.35">
      <c r="A22" s="34"/>
      <c r="B22" s="34" t="s">
        <v>142</v>
      </c>
      <c r="C22" s="70">
        <v>8250</v>
      </c>
      <c r="D22" s="70">
        <v>0</v>
      </c>
      <c r="E22" s="70">
        <v>0</v>
      </c>
      <c r="F22" s="35">
        <v>0</v>
      </c>
      <c r="G22" s="70">
        <v>0</v>
      </c>
      <c r="H22" s="34"/>
      <c r="I22" s="35">
        <f t="shared" si="0"/>
        <v>8250</v>
      </c>
      <c r="J22" s="36">
        <f t="shared" si="1"/>
        <v>0.2</v>
      </c>
      <c r="K22" s="35">
        <f t="shared" si="2"/>
        <v>10312.5</v>
      </c>
    </row>
    <row r="23" spans="1:11" x14ac:dyDescent="0.35">
      <c r="B23" t="s">
        <v>143</v>
      </c>
      <c r="C23" s="71">
        <v>0</v>
      </c>
      <c r="D23" s="71">
        <v>0</v>
      </c>
      <c r="E23" s="71">
        <v>0</v>
      </c>
      <c r="F23" s="18">
        <v>0</v>
      </c>
      <c r="G23" s="71">
        <v>0</v>
      </c>
      <c r="I23" s="18">
        <f t="shared" si="0"/>
        <v>0</v>
      </c>
      <c r="J23" s="28">
        <f t="shared" si="1"/>
        <v>0.2</v>
      </c>
      <c r="K23" s="18">
        <f t="shared" si="2"/>
        <v>0</v>
      </c>
    </row>
    <row r="24" spans="1:11" x14ac:dyDescent="0.35">
      <c r="A24" s="34"/>
      <c r="B24" s="34" t="s">
        <v>144</v>
      </c>
      <c r="C24" s="70">
        <v>0</v>
      </c>
      <c r="D24" s="70">
        <v>0</v>
      </c>
      <c r="E24" s="70">
        <v>0</v>
      </c>
      <c r="F24" s="35">
        <v>0</v>
      </c>
      <c r="G24" s="70">
        <v>0</v>
      </c>
      <c r="H24" s="34"/>
      <c r="I24" s="35">
        <f t="shared" si="0"/>
        <v>0</v>
      </c>
      <c r="J24" s="36">
        <f t="shared" si="1"/>
        <v>0.2</v>
      </c>
      <c r="K24" s="35">
        <f t="shared" si="2"/>
        <v>0</v>
      </c>
    </row>
    <row r="25" spans="1:11" x14ac:dyDescent="0.35">
      <c r="B25" t="s">
        <v>144</v>
      </c>
      <c r="C25" s="71">
        <v>0</v>
      </c>
      <c r="D25" s="71">
        <v>0</v>
      </c>
      <c r="E25" s="71">
        <v>0</v>
      </c>
      <c r="F25" s="18">
        <v>0</v>
      </c>
      <c r="G25" s="71">
        <v>0</v>
      </c>
      <c r="I25" s="18">
        <f t="shared" si="0"/>
        <v>0</v>
      </c>
      <c r="J25" s="28">
        <f t="shared" si="1"/>
        <v>0.2</v>
      </c>
      <c r="K25" s="18">
        <f t="shared" si="2"/>
        <v>0</v>
      </c>
    </row>
    <row r="26" spans="1:11" x14ac:dyDescent="0.35">
      <c r="A26" s="72"/>
      <c r="B26" s="72" t="s">
        <v>75</v>
      </c>
      <c r="C26" s="72"/>
      <c r="D26" s="72"/>
      <c r="E26" s="72"/>
      <c r="F26" s="72"/>
      <c r="G26" s="72"/>
      <c r="H26" s="72"/>
      <c r="I26" s="73">
        <f>SUM(I20:I25)</f>
        <v>8250</v>
      </c>
      <c r="J26" s="72"/>
      <c r="K26" s="73">
        <f>SUM(K20:K25)</f>
        <v>10312.5</v>
      </c>
    </row>
    <row r="28" spans="1:11" ht="16" customHeight="1" x14ac:dyDescent="0.35">
      <c r="A28" s="26" t="s">
        <v>36</v>
      </c>
      <c r="B28" s="26" t="s">
        <v>145</v>
      </c>
      <c r="C28" s="26" t="s">
        <v>135</v>
      </c>
      <c r="D28" s="26" t="s">
        <v>136</v>
      </c>
      <c r="E28" s="26" t="s">
        <v>137</v>
      </c>
      <c r="F28" s="26" t="s">
        <v>138</v>
      </c>
      <c r="G28" s="26" t="s">
        <v>139</v>
      </c>
      <c r="H28" s="26" t="s">
        <v>36</v>
      </c>
      <c r="I28" s="26" t="s">
        <v>30</v>
      </c>
      <c r="J28" s="26" t="s">
        <v>126</v>
      </c>
      <c r="K28" s="26" t="s">
        <v>39</v>
      </c>
    </row>
    <row r="29" spans="1:11" x14ac:dyDescent="0.35">
      <c r="A29" s="34"/>
      <c r="B29" s="34" t="s">
        <v>146</v>
      </c>
      <c r="C29" s="70">
        <v>0</v>
      </c>
      <c r="D29" s="70">
        <v>0</v>
      </c>
      <c r="E29" s="70">
        <v>0</v>
      </c>
      <c r="F29" s="35">
        <v>0</v>
      </c>
      <c r="G29" s="70">
        <v>0</v>
      </c>
      <c r="H29" s="34"/>
      <c r="I29" s="35">
        <f t="shared" ref="I29:I34" si="3">SUM(C29:G29)</f>
        <v>0</v>
      </c>
      <c r="J29" s="36">
        <f t="shared" ref="J29:J34" si="4">$D$8</f>
        <v>0.2</v>
      </c>
      <c r="K29" s="35">
        <f t="shared" ref="K29:K34" si="5">I29/(1-J29)</f>
        <v>0</v>
      </c>
    </row>
    <row r="30" spans="1:11" x14ac:dyDescent="0.35">
      <c r="B30" t="s">
        <v>147</v>
      </c>
      <c r="C30" s="71">
        <v>0</v>
      </c>
      <c r="D30" s="71">
        <v>0</v>
      </c>
      <c r="E30" s="71">
        <v>0</v>
      </c>
      <c r="F30" s="18">
        <v>0</v>
      </c>
      <c r="G30" s="71">
        <v>0</v>
      </c>
      <c r="I30" s="18">
        <f t="shared" si="3"/>
        <v>0</v>
      </c>
      <c r="J30" s="28">
        <f t="shared" si="4"/>
        <v>0.2</v>
      </c>
      <c r="K30" s="18">
        <f t="shared" si="5"/>
        <v>0</v>
      </c>
    </row>
    <row r="31" spans="1:11" x14ac:dyDescent="0.35">
      <c r="A31" s="34"/>
      <c r="B31" s="34" t="s">
        <v>148</v>
      </c>
      <c r="C31" s="70">
        <v>56250</v>
      </c>
      <c r="D31" s="70">
        <v>0</v>
      </c>
      <c r="E31" s="70">
        <v>0</v>
      </c>
      <c r="F31" s="35">
        <v>0</v>
      </c>
      <c r="G31" s="70">
        <v>0</v>
      </c>
      <c r="H31" s="34"/>
      <c r="I31" s="35">
        <f t="shared" si="3"/>
        <v>56250</v>
      </c>
      <c r="J31" s="36">
        <f t="shared" si="4"/>
        <v>0.2</v>
      </c>
      <c r="K31" s="35">
        <f t="shared" si="5"/>
        <v>70312.5</v>
      </c>
    </row>
    <row r="32" spans="1:11" x14ac:dyDescent="0.35">
      <c r="B32" t="s">
        <v>149</v>
      </c>
      <c r="C32" s="71">
        <v>0</v>
      </c>
      <c r="D32" s="71">
        <v>0</v>
      </c>
      <c r="E32" s="71">
        <v>0</v>
      </c>
      <c r="F32" s="18">
        <v>0</v>
      </c>
      <c r="G32" s="71">
        <v>0</v>
      </c>
      <c r="I32" s="18">
        <f t="shared" si="3"/>
        <v>0</v>
      </c>
      <c r="J32" s="28">
        <f t="shared" si="4"/>
        <v>0.2</v>
      </c>
      <c r="K32" s="18">
        <f t="shared" si="5"/>
        <v>0</v>
      </c>
    </row>
    <row r="33" spans="1:11" x14ac:dyDescent="0.35">
      <c r="A33" s="34"/>
      <c r="B33" s="34" t="s">
        <v>150</v>
      </c>
      <c r="C33" s="70">
        <v>0</v>
      </c>
      <c r="D33" s="70">
        <v>0</v>
      </c>
      <c r="E33" s="70">
        <v>0</v>
      </c>
      <c r="F33" s="35">
        <v>0</v>
      </c>
      <c r="G33" s="70">
        <v>0</v>
      </c>
      <c r="H33" s="34"/>
      <c r="I33" s="35">
        <f t="shared" si="3"/>
        <v>0</v>
      </c>
      <c r="J33" s="36">
        <f t="shared" si="4"/>
        <v>0.2</v>
      </c>
      <c r="K33" s="35">
        <f t="shared" si="5"/>
        <v>0</v>
      </c>
    </row>
    <row r="34" spans="1:11" x14ac:dyDescent="0.35">
      <c r="B34" t="s">
        <v>151</v>
      </c>
      <c r="C34" s="71">
        <v>20882.349999999999</v>
      </c>
      <c r="D34" s="71">
        <v>0</v>
      </c>
      <c r="E34" s="71">
        <v>0</v>
      </c>
      <c r="F34" s="18">
        <v>0</v>
      </c>
      <c r="G34" s="71">
        <v>0</v>
      </c>
      <c r="I34" s="18">
        <f t="shared" si="3"/>
        <v>20882.349999999999</v>
      </c>
      <c r="J34" s="28">
        <f t="shared" si="4"/>
        <v>0.2</v>
      </c>
      <c r="K34" s="18">
        <f t="shared" si="5"/>
        <v>26102.937499999996</v>
      </c>
    </row>
    <row r="35" spans="1:11" x14ac:dyDescent="0.35">
      <c r="A35" s="72"/>
      <c r="B35" s="72" t="s">
        <v>75</v>
      </c>
      <c r="C35" s="72"/>
      <c r="D35" s="72"/>
      <c r="E35" s="72"/>
      <c r="F35" s="72"/>
      <c r="G35" s="72"/>
      <c r="H35" s="72"/>
      <c r="I35" s="73">
        <f>SUM(I29:I34)</f>
        <v>77132.350000000006</v>
      </c>
      <c r="J35" s="72"/>
      <c r="K35" s="73">
        <f>SUM(K29:K34)</f>
        <v>96415.4375</v>
      </c>
    </row>
    <row r="37" spans="1:11" ht="16" customHeight="1" x14ac:dyDescent="0.35">
      <c r="A37" s="26" t="s">
        <v>36</v>
      </c>
      <c r="B37" s="26" t="s">
        <v>152</v>
      </c>
      <c r="C37" s="26" t="s">
        <v>135</v>
      </c>
      <c r="D37" s="26" t="s">
        <v>136</v>
      </c>
      <c r="E37" s="26" t="s">
        <v>137</v>
      </c>
      <c r="F37" s="26" t="s">
        <v>138</v>
      </c>
      <c r="G37" s="26" t="s">
        <v>139</v>
      </c>
      <c r="H37" s="26" t="s">
        <v>36</v>
      </c>
      <c r="I37" s="26" t="s">
        <v>30</v>
      </c>
      <c r="J37" s="26" t="s">
        <v>126</v>
      </c>
      <c r="K37" s="26" t="s">
        <v>39</v>
      </c>
    </row>
    <row r="38" spans="1:11" x14ac:dyDescent="0.35">
      <c r="A38" s="34"/>
      <c r="B38" s="34" t="s">
        <v>153</v>
      </c>
      <c r="C38" s="70">
        <v>18750</v>
      </c>
      <c r="D38" s="70">
        <v>0</v>
      </c>
      <c r="E38" s="70">
        <v>0</v>
      </c>
      <c r="F38" s="35">
        <v>0</v>
      </c>
      <c r="G38" s="70">
        <v>0</v>
      </c>
      <c r="H38" s="34"/>
      <c r="I38" s="35">
        <f t="shared" ref="I38:I43" si="6">SUM(C38:G38)</f>
        <v>18750</v>
      </c>
      <c r="J38" s="36">
        <f t="shared" ref="J38:J43" si="7">$D$9</f>
        <v>0.2</v>
      </c>
      <c r="K38" s="35">
        <f t="shared" ref="K38:K43" si="8">I38/(1-J38)</f>
        <v>23437.5</v>
      </c>
    </row>
    <row r="39" spans="1:11" x14ac:dyDescent="0.35">
      <c r="B39" t="s">
        <v>154</v>
      </c>
      <c r="C39" s="71">
        <v>0</v>
      </c>
      <c r="D39" s="71">
        <v>0</v>
      </c>
      <c r="E39" s="71">
        <v>0</v>
      </c>
      <c r="F39" s="18">
        <v>0</v>
      </c>
      <c r="G39" s="71">
        <v>0</v>
      </c>
      <c r="I39" s="18">
        <f t="shared" si="6"/>
        <v>0</v>
      </c>
      <c r="J39" s="28">
        <f t="shared" si="7"/>
        <v>0.2</v>
      </c>
      <c r="K39" s="18">
        <f t="shared" si="8"/>
        <v>0</v>
      </c>
    </row>
    <row r="40" spans="1:11" x14ac:dyDescent="0.35">
      <c r="A40" s="34"/>
      <c r="B40" s="34" t="s">
        <v>155</v>
      </c>
      <c r="C40" s="70">
        <v>0</v>
      </c>
      <c r="D40" s="70">
        <v>0</v>
      </c>
      <c r="E40" s="70">
        <v>0</v>
      </c>
      <c r="F40" s="35">
        <v>0</v>
      </c>
      <c r="G40" s="70">
        <v>0</v>
      </c>
      <c r="H40" s="34"/>
      <c r="I40" s="35">
        <f t="shared" si="6"/>
        <v>0</v>
      </c>
      <c r="J40" s="36">
        <f t="shared" si="7"/>
        <v>0.2</v>
      </c>
      <c r="K40" s="35">
        <f t="shared" si="8"/>
        <v>0</v>
      </c>
    </row>
    <row r="41" spans="1:11" x14ac:dyDescent="0.35">
      <c r="B41" t="s">
        <v>156</v>
      </c>
      <c r="C41" s="71">
        <v>0</v>
      </c>
      <c r="D41" s="71">
        <v>0</v>
      </c>
      <c r="E41" s="71">
        <v>0</v>
      </c>
      <c r="F41" s="18">
        <v>0</v>
      </c>
      <c r="G41" s="71">
        <v>0</v>
      </c>
      <c r="I41" s="18">
        <f t="shared" si="6"/>
        <v>0</v>
      </c>
      <c r="J41" s="28">
        <f t="shared" si="7"/>
        <v>0.2</v>
      </c>
      <c r="K41" s="18">
        <f t="shared" si="8"/>
        <v>0</v>
      </c>
    </row>
    <row r="42" spans="1:11" x14ac:dyDescent="0.35">
      <c r="A42" s="34"/>
      <c r="B42" s="34" t="s">
        <v>157</v>
      </c>
      <c r="C42" s="70">
        <v>0</v>
      </c>
      <c r="D42" s="70">
        <v>0</v>
      </c>
      <c r="E42" s="70">
        <v>0</v>
      </c>
      <c r="F42" s="35">
        <v>0</v>
      </c>
      <c r="G42" s="70">
        <v>0</v>
      </c>
      <c r="H42" s="34"/>
      <c r="I42" s="35">
        <f t="shared" si="6"/>
        <v>0</v>
      </c>
      <c r="J42" s="36">
        <f t="shared" si="7"/>
        <v>0.2</v>
      </c>
      <c r="K42" s="35">
        <f t="shared" si="8"/>
        <v>0</v>
      </c>
    </row>
    <row r="43" spans="1:11" x14ac:dyDescent="0.35">
      <c r="B43" t="s">
        <v>158</v>
      </c>
      <c r="C43" s="71">
        <v>0</v>
      </c>
      <c r="D43" s="71">
        <v>0</v>
      </c>
      <c r="E43" s="71">
        <v>0</v>
      </c>
      <c r="F43" s="18">
        <v>0</v>
      </c>
      <c r="G43" s="71">
        <v>0</v>
      </c>
      <c r="I43" s="18">
        <f t="shared" si="6"/>
        <v>0</v>
      </c>
      <c r="J43" s="28">
        <f t="shared" si="7"/>
        <v>0.2</v>
      </c>
      <c r="K43" s="18">
        <f t="shared" si="8"/>
        <v>0</v>
      </c>
    </row>
    <row r="44" spans="1:11" x14ac:dyDescent="0.35">
      <c r="A44" s="72"/>
      <c r="B44" s="72" t="s">
        <v>75</v>
      </c>
      <c r="C44" s="72"/>
      <c r="D44" s="72"/>
      <c r="E44" s="72"/>
      <c r="F44" s="72"/>
      <c r="G44" s="72"/>
      <c r="H44" s="72"/>
      <c r="I44" s="73">
        <f>SUM(I38:I43)</f>
        <v>18750</v>
      </c>
      <c r="J44" s="72"/>
      <c r="K44" s="73">
        <f>SUM(K38:K43)</f>
        <v>23437.5</v>
      </c>
    </row>
    <row r="46" spans="1:11" ht="16" customHeight="1" x14ac:dyDescent="0.35">
      <c r="A46" s="26" t="s">
        <v>36</v>
      </c>
      <c r="B46" s="26" t="s">
        <v>159</v>
      </c>
      <c r="C46" s="26" t="s">
        <v>135</v>
      </c>
      <c r="D46" s="26" t="s">
        <v>136</v>
      </c>
      <c r="E46" s="26" t="s">
        <v>137</v>
      </c>
      <c r="F46" s="26" t="s">
        <v>138</v>
      </c>
      <c r="G46" s="26" t="s">
        <v>139</v>
      </c>
      <c r="H46" s="26" t="s">
        <v>36</v>
      </c>
      <c r="I46" s="26" t="s">
        <v>30</v>
      </c>
      <c r="J46" s="26" t="s">
        <v>126</v>
      </c>
      <c r="K46" s="26" t="s">
        <v>39</v>
      </c>
    </row>
    <row r="47" spans="1:11" x14ac:dyDescent="0.35">
      <c r="A47" s="34"/>
      <c r="B47" s="34" t="s">
        <v>160</v>
      </c>
      <c r="C47" s="70">
        <v>4705.88</v>
      </c>
      <c r="D47" s="70">
        <v>0</v>
      </c>
      <c r="E47" s="70">
        <v>0</v>
      </c>
      <c r="F47" s="35">
        <v>0</v>
      </c>
      <c r="G47" s="70">
        <v>0</v>
      </c>
      <c r="H47" s="34"/>
      <c r="I47" s="35">
        <f>SUM(C47:G47)</f>
        <v>4705.88</v>
      </c>
      <c r="J47" s="36">
        <f>$D$11</f>
        <v>0.2</v>
      </c>
      <c r="K47" s="35">
        <f>I47/(1-J47)</f>
        <v>5882.3499999999995</v>
      </c>
    </row>
    <row r="48" spans="1:11" x14ac:dyDescent="0.35">
      <c r="B48" t="s">
        <v>161</v>
      </c>
      <c r="C48" s="71">
        <v>0</v>
      </c>
      <c r="D48" s="71">
        <v>0</v>
      </c>
      <c r="E48" s="71">
        <v>0</v>
      </c>
      <c r="F48" s="18">
        <v>0</v>
      </c>
      <c r="G48" s="71">
        <v>0</v>
      </c>
      <c r="I48" s="18">
        <f>SUM(C48:G48)</f>
        <v>0</v>
      </c>
      <c r="J48" s="28">
        <f>$D$11</f>
        <v>0.2</v>
      </c>
      <c r="K48" s="18">
        <f>I48/(1-J48)</f>
        <v>0</v>
      </c>
    </row>
    <row r="49" spans="1:11" x14ac:dyDescent="0.35">
      <c r="A49" s="34"/>
      <c r="B49" s="34" t="s">
        <v>162</v>
      </c>
      <c r="C49" s="70">
        <v>0</v>
      </c>
      <c r="D49" s="70">
        <v>0</v>
      </c>
      <c r="E49" s="70">
        <v>0</v>
      </c>
      <c r="F49" s="35">
        <v>0</v>
      </c>
      <c r="G49" s="70">
        <v>0</v>
      </c>
      <c r="H49" s="34"/>
      <c r="I49" s="35">
        <f>SUM(C49:G49)</f>
        <v>0</v>
      </c>
      <c r="J49" s="36">
        <f>$D$11</f>
        <v>0.2</v>
      </c>
      <c r="K49" s="35">
        <f>I49/(1-J49)</f>
        <v>0</v>
      </c>
    </row>
    <row r="50" spans="1:11" x14ac:dyDescent="0.35">
      <c r="B50" t="s">
        <v>163</v>
      </c>
      <c r="C50" s="71">
        <v>0</v>
      </c>
      <c r="D50" s="71">
        <v>0</v>
      </c>
      <c r="E50" s="71">
        <v>0</v>
      </c>
      <c r="F50" s="18">
        <v>0</v>
      </c>
      <c r="G50" s="71">
        <v>0</v>
      </c>
      <c r="I50" s="18">
        <f>SUM(C50:G50)</f>
        <v>0</v>
      </c>
      <c r="J50" s="28">
        <f>$D$11</f>
        <v>0.2</v>
      </c>
      <c r="K50" s="18">
        <f>I50/(1-J50)</f>
        <v>0</v>
      </c>
    </row>
    <row r="51" spans="1:11" x14ac:dyDescent="0.35">
      <c r="A51" s="34"/>
      <c r="B51" s="34" t="s">
        <v>164</v>
      </c>
      <c r="C51" s="70">
        <v>0</v>
      </c>
      <c r="D51" s="70">
        <v>0</v>
      </c>
      <c r="E51" s="70">
        <v>0</v>
      </c>
      <c r="F51" s="35">
        <v>0</v>
      </c>
      <c r="G51" s="70">
        <v>0</v>
      </c>
      <c r="H51" s="34"/>
      <c r="I51" s="35">
        <f>SUM(C51:G51)</f>
        <v>0</v>
      </c>
      <c r="J51" s="36">
        <f>$D$11</f>
        <v>0.2</v>
      </c>
      <c r="K51" s="35">
        <f>I51/(1-J51)</f>
        <v>0</v>
      </c>
    </row>
    <row r="52" spans="1:11" x14ac:dyDescent="0.35">
      <c r="A52" s="72"/>
      <c r="B52" s="72" t="s">
        <v>75</v>
      </c>
      <c r="C52" s="72"/>
      <c r="D52" s="72"/>
      <c r="E52" s="72"/>
      <c r="F52" s="72"/>
      <c r="G52" s="72"/>
      <c r="H52" s="72"/>
      <c r="I52" s="73">
        <f>SUM(I47:I51)</f>
        <v>4705.88</v>
      </c>
      <c r="J52" s="72"/>
      <c r="K52" s="73">
        <f>SUM(K47:K51)</f>
        <v>5882.3499999999995</v>
      </c>
    </row>
    <row r="54" spans="1:11" ht="15.5" x14ac:dyDescent="0.35">
      <c r="A54" s="29"/>
      <c r="B54" s="30" t="s">
        <v>165</v>
      </c>
      <c r="C54" s="29"/>
      <c r="D54" s="29"/>
      <c r="E54" s="29"/>
      <c r="F54" s="29"/>
      <c r="G54" s="29"/>
      <c r="H54" s="29"/>
      <c r="I54" s="31">
        <f>I26+I35+I44+I52</f>
        <v>108838.23000000001</v>
      </c>
      <c r="J54" s="29"/>
      <c r="K54" s="31">
        <f>K26+K35+K44+K52</f>
        <v>136047.78750000001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8A745"/>
  </sheetPr>
  <dimension ref="A1:I13"/>
  <sheetViews>
    <sheetView workbookViewId="0">
      <selection sqref="A1:I1"/>
    </sheetView>
  </sheetViews>
  <sheetFormatPr defaultRowHeight="14.5" x14ac:dyDescent="0.35"/>
  <cols>
    <col min="1" max="1" width="4" customWidth="1"/>
    <col min="2" max="2" width="36" customWidth="1"/>
    <col min="3" max="4" width="12" customWidth="1"/>
    <col min="5" max="5" width="10" customWidth="1"/>
    <col min="6" max="6" width="12" customWidth="1"/>
    <col min="7" max="9" width="14" customWidth="1"/>
  </cols>
  <sheetData>
    <row r="1" spans="1:9" ht="24" customHeight="1" x14ac:dyDescent="0.35">
      <c r="A1" s="94" t="s">
        <v>166</v>
      </c>
      <c r="B1" s="94"/>
      <c r="C1" s="94"/>
      <c r="D1" s="94"/>
      <c r="E1" s="94"/>
      <c r="F1" s="94"/>
      <c r="G1" s="94"/>
      <c r="H1" s="94"/>
      <c r="I1" s="94"/>
    </row>
    <row r="4" spans="1:9" ht="18.649999999999999" customHeight="1" x14ac:dyDescent="0.35">
      <c r="A4" s="26" t="s">
        <v>36</v>
      </c>
      <c r="B4" s="26" t="s">
        <v>81</v>
      </c>
      <c r="C4" s="26" t="s">
        <v>167</v>
      </c>
      <c r="D4" s="26" t="s">
        <v>168</v>
      </c>
      <c r="E4" s="26" t="s">
        <v>169</v>
      </c>
      <c r="F4" s="26" t="s">
        <v>170</v>
      </c>
      <c r="G4" s="26" t="s">
        <v>171</v>
      </c>
      <c r="H4" s="26" t="s">
        <v>172</v>
      </c>
      <c r="I4" s="26" t="s">
        <v>173</v>
      </c>
    </row>
    <row r="5" spans="1:9" x14ac:dyDescent="0.35">
      <c r="A5" s="34"/>
      <c r="B5" s="42" t="s">
        <v>174</v>
      </c>
      <c r="C5" s="47">
        <v>1920</v>
      </c>
      <c r="D5" s="47">
        <v>1080</v>
      </c>
      <c r="E5" s="34">
        <v>8</v>
      </c>
      <c r="F5" s="34"/>
      <c r="G5" s="47">
        <v>650000</v>
      </c>
      <c r="H5" s="47">
        <v>455000</v>
      </c>
      <c r="I5" s="47">
        <v>320000</v>
      </c>
    </row>
    <row r="6" spans="1:9" x14ac:dyDescent="0.35">
      <c r="B6" s="27" t="s">
        <v>175</v>
      </c>
      <c r="C6" s="74">
        <v>3840</v>
      </c>
      <c r="D6" s="74">
        <v>2160</v>
      </c>
      <c r="E6">
        <v>16</v>
      </c>
      <c r="G6" s="74">
        <v>650000</v>
      </c>
      <c r="H6" s="74">
        <v>455000</v>
      </c>
      <c r="I6" s="74">
        <v>320000</v>
      </c>
    </row>
    <row r="7" spans="1:9" x14ac:dyDescent="0.35">
      <c r="A7" s="34"/>
      <c r="B7" s="42" t="s">
        <v>176</v>
      </c>
      <c r="C7" s="47">
        <v>7680</v>
      </c>
      <c r="D7" s="47">
        <v>4320</v>
      </c>
      <c r="E7" s="34">
        <v>20</v>
      </c>
      <c r="F7" s="34"/>
      <c r="G7" s="47">
        <v>1200000</v>
      </c>
      <c r="H7" s="47">
        <v>960000</v>
      </c>
      <c r="I7" s="47">
        <v>650000</v>
      </c>
    </row>
    <row r="10" spans="1:9" ht="15.5" x14ac:dyDescent="0.35">
      <c r="B10" s="67" t="s">
        <v>177</v>
      </c>
    </row>
    <row r="11" spans="1:9" ht="18.649999999999999" customHeight="1" x14ac:dyDescent="0.35">
      <c r="A11" s="1" t="s">
        <v>36</v>
      </c>
      <c r="B11" s="1" t="s">
        <v>81</v>
      </c>
      <c r="C11" s="1" t="s">
        <v>167</v>
      </c>
      <c r="D11" s="1" t="s">
        <v>168</v>
      </c>
      <c r="E11" s="1" t="s">
        <v>92</v>
      </c>
      <c r="F11" s="1" t="s">
        <v>178</v>
      </c>
      <c r="G11" s="1" t="s">
        <v>179</v>
      </c>
      <c r="H11" s="1" t="s">
        <v>180</v>
      </c>
      <c r="I11" s="1" t="s">
        <v>181</v>
      </c>
    </row>
    <row r="12" spans="1:9" x14ac:dyDescent="0.35">
      <c r="A12" s="34"/>
      <c r="B12" s="34" t="str">
        <f>'LED Cost Sheet'!A4</f>
        <v>Main Scoreboard — scoreboard</v>
      </c>
      <c r="C12" s="47">
        <f>'LED Cost Sheet'!K4</f>
        <v>2339</v>
      </c>
      <c r="D12" s="47">
        <f>'LED Cost Sheet'!J4</f>
        <v>390</v>
      </c>
      <c r="E12" s="34">
        <f>'LED Cost Sheet'!L4</f>
        <v>1</v>
      </c>
      <c r="F12" s="47">
        <f>C12*D12*E12</f>
        <v>912210</v>
      </c>
      <c r="G12" s="34">
        <f>IFERROR(CEILING(F12/650000,1),0)</f>
        <v>2</v>
      </c>
      <c r="H12" s="34" t="str">
        <f>IF(G12&gt;8,"MCTRL4K","660 Pro")</f>
        <v>660 Pro</v>
      </c>
      <c r="I12" s="34">
        <f>IFERROR(CEILING(G12/IF(G12&gt;8,16,8),1),0)</f>
        <v>1</v>
      </c>
    </row>
    <row r="13" spans="1:9" x14ac:dyDescent="0.35">
      <c r="A13" s="50"/>
      <c r="B13" s="50" t="s">
        <v>182</v>
      </c>
      <c r="C13" s="50"/>
      <c r="D13" s="50"/>
      <c r="E13" s="50"/>
      <c r="F13" s="52">
        <f>SUM(F12:F12)</f>
        <v>912210</v>
      </c>
      <c r="G13" s="50">
        <f>SUM(G12:G12)</f>
        <v>2</v>
      </c>
      <c r="H13" s="50"/>
      <c r="I13" s="50">
        <f>SUM(I12:I12)</f>
        <v>1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8A745"/>
  </sheetPr>
  <dimension ref="A1:H13"/>
  <sheetViews>
    <sheetView workbookViewId="0">
      <selection sqref="A1:D1"/>
    </sheetView>
  </sheetViews>
  <sheetFormatPr defaultRowHeight="14.5" x14ac:dyDescent="0.35"/>
  <cols>
    <col min="1" max="1" width="18" customWidth="1"/>
    <col min="2" max="2" width="30" customWidth="1"/>
    <col min="3" max="3" width="14" customWidth="1"/>
    <col min="4" max="4" width="12" customWidth="1"/>
    <col min="5" max="5" width="14" customWidth="1"/>
    <col min="6" max="6" width="12" customWidth="1"/>
    <col min="7" max="8" width="14" customWidth="1"/>
  </cols>
  <sheetData>
    <row r="1" spans="1:8" ht="24" customHeight="1" x14ac:dyDescent="0.35">
      <c r="A1" s="94" t="s">
        <v>183</v>
      </c>
      <c r="B1" s="94"/>
      <c r="C1" s="94"/>
      <c r="D1" s="94"/>
    </row>
    <row r="2" spans="1:8" x14ac:dyDescent="0.35">
      <c r="A2" s="95" t="s">
        <v>184</v>
      </c>
      <c r="B2" s="95"/>
      <c r="C2" s="95"/>
      <c r="D2" s="95"/>
    </row>
    <row r="6" spans="1:8" ht="18.649999999999999" customHeight="1" x14ac:dyDescent="0.35">
      <c r="A6" s="26" t="s">
        <v>67</v>
      </c>
      <c r="B6" s="26" t="s">
        <v>185</v>
      </c>
      <c r="C6" s="26" t="s">
        <v>38</v>
      </c>
      <c r="D6" s="26" t="s">
        <v>92</v>
      </c>
      <c r="E6" s="26" t="s">
        <v>30</v>
      </c>
      <c r="F6" s="26" t="s">
        <v>186</v>
      </c>
      <c r="G6" s="26" t="s">
        <v>39</v>
      </c>
      <c r="H6" s="26" t="s">
        <v>40</v>
      </c>
    </row>
    <row r="7" spans="1:8" s="34" customFormat="1" x14ac:dyDescent="0.35">
      <c r="A7" s="42" t="s">
        <v>42</v>
      </c>
    </row>
    <row r="8" spans="1:8" x14ac:dyDescent="0.35">
      <c r="A8" s="34" t="s">
        <v>187</v>
      </c>
      <c r="B8" s="34" t="s">
        <v>188</v>
      </c>
      <c r="C8" s="70">
        <v>450</v>
      </c>
      <c r="D8" s="48">
        <v>1</v>
      </c>
      <c r="E8" s="35">
        <f>C8*D8</f>
        <v>450</v>
      </c>
      <c r="F8" s="75">
        <v>0.15</v>
      </c>
      <c r="G8" s="35">
        <f>IFERROR(E8/(1-F8),0)</f>
        <v>529.41176470588232</v>
      </c>
      <c r="H8" s="35">
        <f>IFERROR(G8-E8,0)</f>
        <v>79.41176470588232</v>
      </c>
    </row>
    <row r="9" spans="1:8" x14ac:dyDescent="0.35">
      <c r="A9" t="s">
        <v>187</v>
      </c>
      <c r="B9" t="s">
        <v>189</v>
      </c>
      <c r="C9" s="71">
        <v>90</v>
      </c>
      <c r="D9" s="76">
        <v>1</v>
      </c>
      <c r="E9" s="18">
        <f>C9*D9</f>
        <v>90</v>
      </c>
      <c r="F9" s="19">
        <v>0.15</v>
      </c>
      <c r="G9" s="18">
        <f>IFERROR(E9/(1-F9),0)</f>
        <v>105.88235294117648</v>
      </c>
      <c r="H9" s="18">
        <f>IFERROR(G9-E9,0)</f>
        <v>15.882352941176478</v>
      </c>
    </row>
    <row r="10" spans="1:8" x14ac:dyDescent="0.35">
      <c r="A10" s="34" t="s">
        <v>187</v>
      </c>
      <c r="B10" s="34" t="s">
        <v>190</v>
      </c>
      <c r="C10" s="70">
        <v>2500</v>
      </c>
      <c r="D10" s="48">
        <v>1</v>
      </c>
      <c r="E10" s="35">
        <f>C10*D10</f>
        <v>2500</v>
      </c>
      <c r="F10" s="75">
        <v>0.15</v>
      </c>
      <c r="G10" s="35">
        <f>IFERROR(E10/(1-F10),0)</f>
        <v>2941.1764705882356</v>
      </c>
      <c r="H10" s="35">
        <f>IFERROR(G10-E10,0)</f>
        <v>441.17647058823559</v>
      </c>
    </row>
    <row r="11" spans="1:8" x14ac:dyDescent="0.35">
      <c r="B11" s="27" t="s">
        <v>191</v>
      </c>
      <c r="E11" s="77">
        <f>SUM(E8:E10)</f>
        <v>3040</v>
      </c>
      <c r="G11" s="18">
        <f>SUM(G8:G10)</f>
        <v>3576.4705882352946</v>
      </c>
      <c r="H11" s="18">
        <f>IFERROR(G11-E11,0)</f>
        <v>536.4705882352946</v>
      </c>
    </row>
    <row r="13" spans="1:8" x14ac:dyDescent="0.35">
      <c r="A13" s="29" t="s">
        <v>192</v>
      </c>
      <c r="B13" s="29"/>
      <c r="C13" s="29"/>
      <c r="D13" s="29"/>
      <c r="E13" s="78">
        <f>E11</f>
        <v>3040</v>
      </c>
      <c r="F13" s="29"/>
      <c r="G13" s="78">
        <f>G11</f>
        <v>3576.4705882352946</v>
      </c>
      <c r="H13" s="78">
        <f>IFERROR(G13-E13,0)</f>
        <v>536.4705882352946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107"/>
  </sheetPr>
  <dimension ref="A1:G30"/>
  <sheetViews>
    <sheetView workbookViewId="0"/>
  </sheetViews>
  <sheetFormatPr defaultRowHeight="14.5" x14ac:dyDescent="0.35"/>
  <cols>
    <col min="1" max="1" width="4" customWidth="1"/>
    <col min="2" max="2" width="30" customWidth="1"/>
    <col min="3" max="3" width="14" customWidth="1"/>
    <col min="4" max="4" width="12" customWidth="1"/>
    <col min="5" max="5" width="14" customWidth="1"/>
    <col min="6" max="6" width="4" customWidth="1"/>
    <col min="7" max="7" width="24" customWidth="1"/>
  </cols>
  <sheetData>
    <row r="1" spans="1:7" ht="24" customHeight="1" x14ac:dyDescent="0.35">
      <c r="A1" s="94" t="s">
        <v>193</v>
      </c>
      <c r="B1" s="94"/>
      <c r="C1" s="94"/>
      <c r="D1" s="94"/>
      <c r="E1" s="94"/>
      <c r="F1" s="94"/>
      <c r="G1" s="94"/>
    </row>
    <row r="4" spans="1:7" ht="16" customHeight="1" x14ac:dyDescent="0.35">
      <c r="A4" s="1" t="s">
        <v>36</v>
      </c>
      <c r="B4" s="1" t="s">
        <v>194</v>
      </c>
      <c r="C4" s="1" t="s">
        <v>38</v>
      </c>
      <c r="D4" s="1" t="s">
        <v>195</v>
      </c>
      <c r="E4" s="1" t="s">
        <v>30</v>
      </c>
    </row>
    <row r="5" spans="1:7" x14ac:dyDescent="0.35">
      <c r="A5" s="34"/>
      <c r="B5" s="34" t="s">
        <v>196</v>
      </c>
      <c r="C5" s="35">
        <v>300</v>
      </c>
      <c r="D5" s="79">
        <v>0</v>
      </c>
      <c r="E5" s="35">
        <v>0</v>
      </c>
      <c r="G5" s="80" t="s">
        <v>36</v>
      </c>
    </row>
    <row r="6" spans="1:7" x14ac:dyDescent="0.35">
      <c r="B6" t="s">
        <v>197</v>
      </c>
      <c r="C6" s="18">
        <v>1000</v>
      </c>
      <c r="D6" s="81">
        <v>0</v>
      </c>
      <c r="E6" s="18">
        <v>0</v>
      </c>
      <c r="G6" s="80" t="s">
        <v>36</v>
      </c>
    </row>
    <row r="7" spans="1:7" x14ac:dyDescent="0.35">
      <c r="A7" s="34"/>
      <c r="B7" s="34" t="s">
        <v>198</v>
      </c>
      <c r="C7" s="35">
        <v>125</v>
      </c>
      <c r="D7" s="79">
        <v>0</v>
      </c>
      <c r="E7" s="35">
        <v>0</v>
      </c>
      <c r="G7" s="80" t="s">
        <v>36</v>
      </c>
    </row>
    <row r="8" spans="1:7" x14ac:dyDescent="0.35">
      <c r="B8" t="s">
        <v>199</v>
      </c>
      <c r="C8" s="18">
        <v>100</v>
      </c>
      <c r="D8" s="81">
        <v>0</v>
      </c>
      <c r="E8" s="18">
        <v>0</v>
      </c>
      <c r="G8" s="80" t="s">
        <v>36</v>
      </c>
    </row>
    <row r="9" spans="1:7" x14ac:dyDescent="0.35">
      <c r="A9" s="34"/>
      <c r="B9" s="34" t="s">
        <v>200</v>
      </c>
      <c r="C9" s="35">
        <v>10000</v>
      </c>
      <c r="D9" s="79">
        <v>0</v>
      </c>
      <c r="E9" s="35">
        <v>0</v>
      </c>
      <c r="G9" s="80" t="s">
        <v>201</v>
      </c>
    </row>
    <row r="10" spans="1:7" x14ac:dyDescent="0.35">
      <c r="A10" s="72"/>
      <c r="B10" s="72" t="s">
        <v>202</v>
      </c>
      <c r="C10" s="72"/>
      <c r="D10" s="72"/>
      <c r="E10" s="73">
        <v>0</v>
      </c>
    </row>
    <row r="11" spans="1:7" x14ac:dyDescent="0.35">
      <c r="A11" s="37"/>
      <c r="B11" s="37" t="s">
        <v>182</v>
      </c>
      <c r="C11" s="37" t="s">
        <v>203</v>
      </c>
      <c r="D11" s="37"/>
      <c r="E11" s="38">
        <v>0</v>
      </c>
    </row>
    <row r="13" spans="1:7" ht="16" customHeight="1" x14ac:dyDescent="0.35">
      <c r="A13" s="1" t="s">
        <v>36</v>
      </c>
      <c r="B13" s="1" t="s">
        <v>204</v>
      </c>
      <c r="C13" s="1" t="s">
        <v>38</v>
      </c>
      <c r="D13" s="1" t="s">
        <v>195</v>
      </c>
      <c r="E13" s="1" t="s">
        <v>30</v>
      </c>
    </row>
    <row r="14" spans="1:7" x14ac:dyDescent="0.35">
      <c r="A14" s="34"/>
      <c r="B14" s="34" t="s">
        <v>196</v>
      </c>
      <c r="C14" s="35">
        <v>300</v>
      </c>
      <c r="D14" s="79">
        <v>0</v>
      </c>
      <c r="E14" s="35">
        <v>0</v>
      </c>
      <c r="G14" s="80" t="s">
        <v>36</v>
      </c>
    </row>
    <row r="15" spans="1:7" x14ac:dyDescent="0.35">
      <c r="B15" t="s">
        <v>197</v>
      </c>
      <c r="C15" s="18">
        <v>1000</v>
      </c>
      <c r="D15" s="81">
        <v>0</v>
      </c>
      <c r="E15" s="18">
        <v>0</v>
      </c>
      <c r="G15" s="80" t="s">
        <v>36</v>
      </c>
    </row>
    <row r="16" spans="1:7" x14ac:dyDescent="0.35">
      <c r="A16" s="34"/>
      <c r="B16" s="34" t="s">
        <v>198</v>
      </c>
      <c r="C16" s="35">
        <v>125</v>
      </c>
      <c r="D16" s="79">
        <v>0</v>
      </c>
      <c r="E16" s="35">
        <v>0</v>
      </c>
      <c r="G16" s="80" t="s">
        <v>36</v>
      </c>
    </row>
    <row r="17" spans="1:7" x14ac:dyDescent="0.35">
      <c r="B17" t="s">
        <v>199</v>
      </c>
      <c r="C17" s="18">
        <v>100</v>
      </c>
      <c r="D17" s="81">
        <v>0</v>
      </c>
      <c r="E17" s="18">
        <v>0</v>
      </c>
      <c r="G17" s="80" t="s">
        <v>36</v>
      </c>
    </row>
    <row r="18" spans="1:7" x14ac:dyDescent="0.35">
      <c r="A18" s="34"/>
      <c r="B18" s="34" t="s">
        <v>200</v>
      </c>
      <c r="C18" s="35">
        <v>10000</v>
      </c>
      <c r="D18" s="79">
        <v>0</v>
      </c>
      <c r="E18" s="35">
        <v>0</v>
      </c>
      <c r="G18" s="80" t="s">
        <v>201</v>
      </c>
    </row>
    <row r="19" spans="1:7" x14ac:dyDescent="0.35">
      <c r="A19" s="72"/>
      <c r="B19" s="72" t="s">
        <v>202</v>
      </c>
      <c r="C19" s="72"/>
      <c r="D19" s="72"/>
      <c r="E19" s="73">
        <v>0</v>
      </c>
    </row>
    <row r="20" spans="1:7" x14ac:dyDescent="0.35">
      <c r="A20" s="37"/>
      <c r="B20" s="37" t="s">
        <v>182</v>
      </c>
      <c r="C20" s="37" t="s">
        <v>203</v>
      </c>
      <c r="D20" s="37"/>
      <c r="E20" s="38">
        <v>0</v>
      </c>
    </row>
    <row r="22" spans="1:7" ht="16" customHeight="1" x14ac:dyDescent="0.35">
      <c r="A22" s="1" t="s">
        <v>36</v>
      </c>
      <c r="B22" s="1" t="s">
        <v>205</v>
      </c>
      <c r="C22" s="1" t="s">
        <v>38</v>
      </c>
      <c r="D22" s="1" t="s">
        <v>195</v>
      </c>
      <c r="E22" s="1" t="s">
        <v>30</v>
      </c>
    </row>
    <row r="23" spans="1:7" x14ac:dyDescent="0.35">
      <c r="A23" s="34"/>
      <c r="B23" s="34" t="s">
        <v>196</v>
      </c>
      <c r="C23" s="35">
        <v>300</v>
      </c>
      <c r="D23" s="79">
        <v>0</v>
      </c>
      <c r="E23" s="35">
        <v>0</v>
      </c>
      <c r="G23" s="80" t="s">
        <v>36</v>
      </c>
    </row>
    <row r="24" spans="1:7" x14ac:dyDescent="0.35">
      <c r="B24" t="s">
        <v>197</v>
      </c>
      <c r="C24" s="18">
        <v>1000</v>
      </c>
      <c r="D24" s="81">
        <v>0</v>
      </c>
      <c r="E24" s="18">
        <v>0</v>
      </c>
      <c r="G24" s="80" t="s">
        <v>36</v>
      </c>
    </row>
    <row r="25" spans="1:7" x14ac:dyDescent="0.35">
      <c r="A25" s="34"/>
      <c r="B25" s="34" t="s">
        <v>198</v>
      </c>
      <c r="C25" s="35">
        <v>125</v>
      </c>
      <c r="D25" s="79">
        <v>0</v>
      </c>
      <c r="E25" s="35">
        <v>0</v>
      </c>
      <c r="G25" s="80" t="s">
        <v>36</v>
      </c>
    </row>
    <row r="26" spans="1:7" x14ac:dyDescent="0.35">
      <c r="B26" t="s">
        <v>199</v>
      </c>
      <c r="C26" s="18">
        <v>100</v>
      </c>
      <c r="D26" s="81">
        <v>0</v>
      </c>
      <c r="E26" s="18">
        <v>0</v>
      </c>
      <c r="G26" s="80" t="s">
        <v>36</v>
      </c>
    </row>
    <row r="27" spans="1:7" x14ac:dyDescent="0.35">
      <c r="A27" s="34"/>
      <c r="B27" s="34" t="s">
        <v>200</v>
      </c>
      <c r="C27" s="35">
        <v>10000</v>
      </c>
      <c r="D27" s="79">
        <v>0</v>
      </c>
      <c r="E27" s="35">
        <v>0</v>
      </c>
      <c r="G27" s="80" t="s">
        <v>201</v>
      </c>
    </row>
    <row r="28" spans="1:7" x14ac:dyDescent="0.35">
      <c r="B28" t="s">
        <v>206</v>
      </c>
      <c r="C28" s="18">
        <v>1500</v>
      </c>
      <c r="D28" s="81">
        <v>0</v>
      </c>
      <c r="E28" s="18">
        <v>0</v>
      </c>
      <c r="G28" s="80" t="s">
        <v>36</v>
      </c>
    </row>
    <row r="29" spans="1:7" x14ac:dyDescent="0.35">
      <c r="A29" s="72"/>
      <c r="B29" s="72" t="s">
        <v>202</v>
      </c>
      <c r="C29" s="72"/>
      <c r="D29" s="72"/>
      <c r="E29" s="73">
        <v>0</v>
      </c>
    </row>
    <row r="30" spans="1:7" x14ac:dyDescent="0.35">
      <c r="A30" s="37"/>
      <c r="B30" s="37" t="s">
        <v>182</v>
      </c>
      <c r="C30" s="37" t="s">
        <v>203</v>
      </c>
      <c r="D30" s="37"/>
      <c r="E30" s="38"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8A745"/>
  </sheetPr>
  <dimension ref="A1:I26"/>
  <sheetViews>
    <sheetView workbookViewId="0"/>
  </sheetViews>
  <sheetFormatPr defaultRowHeight="14.5" x14ac:dyDescent="0.3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spans="1:9" ht="24" customHeight="1" x14ac:dyDescent="0.35">
      <c r="A1" s="94" t="s">
        <v>207</v>
      </c>
      <c r="B1" s="94"/>
      <c r="C1" s="94"/>
      <c r="D1" s="94"/>
      <c r="E1" s="94"/>
      <c r="F1" s="94"/>
      <c r="G1" s="94"/>
    </row>
    <row r="4" spans="1:9" ht="15.5" x14ac:dyDescent="0.35">
      <c r="B4" s="67" t="s">
        <v>208</v>
      </c>
    </row>
    <row r="5" spans="1:9" x14ac:dyDescent="0.35">
      <c r="B5" s="82" t="s">
        <v>209</v>
      </c>
    </row>
    <row r="6" spans="1:9" ht="16" customHeight="1" x14ac:dyDescent="0.35">
      <c r="A6" s="26" t="s">
        <v>36</v>
      </c>
      <c r="B6" s="26" t="s">
        <v>67</v>
      </c>
      <c r="C6" s="26" t="s">
        <v>210</v>
      </c>
      <c r="D6" s="26" t="s">
        <v>38</v>
      </c>
      <c r="E6" s="26" t="s">
        <v>195</v>
      </c>
      <c r="F6" s="26" t="s">
        <v>30</v>
      </c>
      <c r="G6" s="26" t="s">
        <v>186</v>
      </c>
      <c r="H6" s="26" t="s">
        <v>39</v>
      </c>
      <c r="I6" s="26" t="s">
        <v>40</v>
      </c>
    </row>
    <row r="7" spans="1:9" x14ac:dyDescent="0.35">
      <c r="A7" s="34"/>
      <c r="B7" s="4" t="s">
        <v>211</v>
      </c>
      <c r="C7" s="34" t="s">
        <v>212</v>
      </c>
      <c r="D7" s="70">
        <v>0</v>
      </c>
      <c r="E7" s="79">
        <v>0</v>
      </c>
      <c r="F7" s="35">
        <f t="shared" ref="F7:F20" si="0">D7*E7</f>
        <v>0</v>
      </c>
      <c r="G7" s="36">
        <v>0.1</v>
      </c>
      <c r="H7" s="35">
        <f t="shared" ref="H7:H20" si="1">IFERROR(F7/(1-G7),0)</f>
        <v>0</v>
      </c>
      <c r="I7" s="35">
        <f t="shared" ref="I7:I20" si="2">IFERROR(H7-F7,0)</f>
        <v>0</v>
      </c>
    </row>
    <row r="8" spans="1:9" x14ac:dyDescent="0.35">
      <c r="B8" s="2" t="s">
        <v>211</v>
      </c>
      <c r="C8" t="s">
        <v>213</v>
      </c>
      <c r="D8" s="71">
        <v>0</v>
      </c>
      <c r="E8" s="81">
        <v>0</v>
      </c>
      <c r="F8" s="18">
        <f t="shared" si="0"/>
        <v>0</v>
      </c>
      <c r="G8" s="28">
        <v>0.1</v>
      </c>
      <c r="H8" s="18">
        <f t="shared" si="1"/>
        <v>0</v>
      </c>
      <c r="I8" s="18">
        <f t="shared" si="2"/>
        <v>0</v>
      </c>
    </row>
    <row r="9" spans="1:9" x14ac:dyDescent="0.35">
      <c r="A9" s="34"/>
      <c r="B9" s="4" t="s">
        <v>211</v>
      </c>
      <c r="C9" s="34" t="s">
        <v>214</v>
      </c>
      <c r="D9" s="70">
        <v>0</v>
      </c>
      <c r="E9" s="79">
        <v>0</v>
      </c>
      <c r="F9" s="35">
        <f t="shared" si="0"/>
        <v>0</v>
      </c>
      <c r="G9" s="36">
        <v>0.1</v>
      </c>
      <c r="H9" s="35">
        <f t="shared" si="1"/>
        <v>0</v>
      </c>
      <c r="I9" s="35">
        <f t="shared" si="2"/>
        <v>0</v>
      </c>
    </row>
    <row r="10" spans="1:9" x14ac:dyDescent="0.35">
      <c r="B10" s="2" t="s">
        <v>211</v>
      </c>
      <c r="C10" t="s">
        <v>215</v>
      </c>
      <c r="D10" s="71">
        <v>0</v>
      </c>
      <c r="E10" s="81">
        <v>0</v>
      </c>
      <c r="F10" s="18">
        <f t="shared" si="0"/>
        <v>0</v>
      </c>
      <c r="G10" s="28">
        <v>0.1</v>
      </c>
      <c r="H10" s="18">
        <f t="shared" si="1"/>
        <v>0</v>
      </c>
      <c r="I10" s="18">
        <f t="shared" si="2"/>
        <v>0</v>
      </c>
    </row>
    <row r="11" spans="1:9" x14ac:dyDescent="0.35">
      <c r="A11" s="34"/>
      <c r="B11" s="4" t="s">
        <v>216</v>
      </c>
      <c r="C11" s="34" t="s">
        <v>212</v>
      </c>
      <c r="D11" s="70">
        <v>0</v>
      </c>
      <c r="E11" s="79">
        <v>0</v>
      </c>
      <c r="F11" s="35">
        <f t="shared" si="0"/>
        <v>0</v>
      </c>
      <c r="G11" s="36">
        <v>0.1</v>
      </c>
      <c r="H11" s="35">
        <f t="shared" si="1"/>
        <v>0</v>
      </c>
      <c r="I11" s="35">
        <f t="shared" si="2"/>
        <v>0</v>
      </c>
    </row>
    <row r="12" spans="1:9" x14ac:dyDescent="0.35">
      <c r="B12" s="2" t="s">
        <v>216</v>
      </c>
      <c r="C12" t="s">
        <v>213</v>
      </c>
      <c r="D12" s="71">
        <v>0</v>
      </c>
      <c r="E12" s="81">
        <v>0</v>
      </c>
      <c r="F12" s="18">
        <f t="shared" si="0"/>
        <v>0</v>
      </c>
      <c r="G12" s="28">
        <v>0.1</v>
      </c>
      <c r="H12" s="18">
        <f t="shared" si="1"/>
        <v>0</v>
      </c>
      <c r="I12" s="18">
        <f t="shared" si="2"/>
        <v>0</v>
      </c>
    </row>
    <row r="13" spans="1:9" x14ac:dyDescent="0.35">
      <c r="A13" s="34"/>
      <c r="B13" s="4" t="s">
        <v>216</v>
      </c>
      <c r="C13" s="34" t="s">
        <v>214</v>
      </c>
      <c r="D13" s="70">
        <v>0</v>
      </c>
      <c r="E13" s="79">
        <v>0</v>
      </c>
      <c r="F13" s="35">
        <f t="shared" si="0"/>
        <v>0</v>
      </c>
      <c r="G13" s="36">
        <v>0.1</v>
      </c>
      <c r="H13" s="35">
        <f t="shared" si="1"/>
        <v>0</v>
      </c>
      <c r="I13" s="35">
        <f t="shared" si="2"/>
        <v>0</v>
      </c>
    </row>
    <row r="14" spans="1:9" x14ac:dyDescent="0.35">
      <c r="B14" s="2" t="s">
        <v>217</v>
      </c>
      <c r="C14" t="s">
        <v>218</v>
      </c>
      <c r="D14" s="71">
        <v>0</v>
      </c>
      <c r="E14" s="81">
        <v>0</v>
      </c>
      <c r="F14" s="18">
        <f t="shared" si="0"/>
        <v>0</v>
      </c>
      <c r="G14" s="28">
        <v>0.1</v>
      </c>
      <c r="H14" s="18">
        <f t="shared" si="1"/>
        <v>0</v>
      </c>
      <c r="I14" s="18">
        <f t="shared" si="2"/>
        <v>0</v>
      </c>
    </row>
    <row r="15" spans="1:9" x14ac:dyDescent="0.35">
      <c r="A15" s="34"/>
      <c r="B15" s="4" t="s">
        <v>217</v>
      </c>
      <c r="C15" s="34" t="s">
        <v>219</v>
      </c>
      <c r="D15" s="70">
        <v>0</v>
      </c>
      <c r="E15" s="79">
        <v>0</v>
      </c>
      <c r="F15" s="35">
        <f t="shared" si="0"/>
        <v>0</v>
      </c>
      <c r="G15" s="36">
        <v>0.1</v>
      </c>
      <c r="H15" s="35">
        <f t="shared" si="1"/>
        <v>0</v>
      </c>
      <c r="I15" s="35">
        <f t="shared" si="2"/>
        <v>0</v>
      </c>
    </row>
    <row r="16" spans="1:9" x14ac:dyDescent="0.35">
      <c r="B16" s="2" t="s">
        <v>217</v>
      </c>
      <c r="C16" t="s">
        <v>220</v>
      </c>
      <c r="D16" s="71">
        <v>0</v>
      </c>
      <c r="E16" s="81">
        <v>0</v>
      </c>
      <c r="F16" s="18">
        <f t="shared" si="0"/>
        <v>0</v>
      </c>
      <c r="G16" s="28">
        <v>0.1</v>
      </c>
      <c r="H16" s="18">
        <f t="shared" si="1"/>
        <v>0</v>
      </c>
      <c r="I16" s="18">
        <f t="shared" si="2"/>
        <v>0</v>
      </c>
    </row>
    <row r="17" spans="1:9" x14ac:dyDescent="0.35">
      <c r="A17" s="34"/>
      <c r="B17" s="5" t="s">
        <v>36</v>
      </c>
      <c r="C17" s="34" t="s">
        <v>221</v>
      </c>
      <c r="D17" s="70">
        <v>0</v>
      </c>
      <c r="E17" s="79">
        <v>0</v>
      </c>
      <c r="F17" s="35">
        <f t="shared" si="0"/>
        <v>0</v>
      </c>
      <c r="G17" s="36">
        <v>0.1</v>
      </c>
      <c r="H17" s="35">
        <f t="shared" si="1"/>
        <v>0</v>
      </c>
      <c r="I17" s="35">
        <f t="shared" si="2"/>
        <v>0</v>
      </c>
    </row>
    <row r="18" spans="1:9" x14ac:dyDescent="0.35">
      <c r="B18" s="3" t="s">
        <v>36</v>
      </c>
      <c r="C18" t="s">
        <v>222</v>
      </c>
      <c r="D18" s="71">
        <v>0</v>
      </c>
      <c r="E18" s="81">
        <v>0</v>
      </c>
      <c r="F18" s="18">
        <f t="shared" si="0"/>
        <v>0</v>
      </c>
      <c r="G18" s="28">
        <v>0.1</v>
      </c>
      <c r="H18" s="18">
        <f t="shared" si="1"/>
        <v>0</v>
      </c>
      <c r="I18" s="18">
        <f t="shared" si="2"/>
        <v>0</v>
      </c>
    </row>
    <row r="19" spans="1:9" x14ac:dyDescent="0.35">
      <c r="A19" s="34"/>
      <c r="B19" s="5" t="s">
        <v>36</v>
      </c>
      <c r="C19" s="34" t="s">
        <v>99</v>
      </c>
      <c r="D19" s="70">
        <v>0</v>
      </c>
      <c r="E19" s="79">
        <v>0</v>
      </c>
      <c r="F19" s="35">
        <f t="shared" si="0"/>
        <v>0</v>
      </c>
      <c r="G19" s="36">
        <v>0.1</v>
      </c>
      <c r="H19" s="35">
        <f t="shared" si="1"/>
        <v>0</v>
      </c>
      <c r="I19" s="35">
        <f t="shared" si="2"/>
        <v>0</v>
      </c>
    </row>
    <row r="20" spans="1:9" x14ac:dyDescent="0.35">
      <c r="B20" s="3" t="s">
        <v>36</v>
      </c>
      <c r="C20" t="s">
        <v>223</v>
      </c>
      <c r="D20" s="71">
        <v>0</v>
      </c>
      <c r="E20" s="81">
        <v>0</v>
      </c>
      <c r="F20" s="18">
        <f t="shared" si="0"/>
        <v>0</v>
      </c>
      <c r="G20" s="28">
        <v>0.1</v>
      </c>
      <c r="H20" s="18">
        <f t="shared" si="1"/>
        <v>0</v>
      </c>
      <c r="I20" s="18">
        <f t="shared" si="2"/>
        <v>0</v>
      </c>
    </row>
    <row r="22" spans="1:9" x14ac:dyDescent="0.35">
      <c r="A22" s="50"/>
      <c r="B22" s="50"/>
      <c r="C22" s="50" t="s">
        <v>224</v>
      </c>
      <c r="D22" s="50"/>
      <c r="E22" s="50"/>
      <c r="F22" s="53">
        <f>SUM(F7:F20)</f>
        <v>0</v>
      </c>
      <c r="G22" s="50"/>
      <c r="H22" s="53">
        <f>SUM(H7:H20)</f>
        <v>0</v>
      </c>
      <c r="I22" s="53">
        <f>IFERROR(H22-F22,0)</f>
        <v>0</v>
      </c>
    </row>
    <row r="24" spans="1:9" x14ac:dyDescent="0.35">
      <c r="B24" t="s">
        <v>76</v>
      </c>
      <c r="F24" s="71">
        <v>0</v>
      </c>
    </row>
    <row r="25" spans="1:9" x14ac:dyDescent="0.35">
      <c r="B25" t="s">
        <v>77</v>
      </c>
      <c r="F25" s="71">
        <v>0</v>
      </c>
    </row>
    <row r="26" spans="1:9" x14ac:dyDescent="0.35">
      <c r="A26" s="29"/>
      <c r="B26" s="83" t="s">
        <v>225</v>
      </c>
      <c r="C26" s="83" t="s">
        <v>203</v>
      </c>
      <c r="D26" s="29"/>
      <c r="E26" s="29"/>
      <c r="F26" s="84">
        <f>F22+F24+F25</f>
        <v>0</v>
      </c>
      <c r="G26" s="29"/>
      <c r="H26" s="84">
        <f>H22</f>
        <v>0</v>
      </c>
      <c r="I26" s="84">
        <f>IFERROR(H26-F26,0)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8A745"/>
  </sheetPr>
  <dimension ref="A1:I27"/>
  <sheetViews>
    <sheetView workbookViewId="0"/>
  </sheetViews>
  <sheetFormatPr defaultRowHeight="14.5" x14ac:dyDescent="0.3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spans="1:9" ht="24" customHeight="1" x14ac:dyDescent="0.35">
      <c r="A1" s="94" t="s">
        <v>226</v>
      </c>
      <c r="B1" s="94"/>
      <c r="C1" s="94"/>
      <c r="D1" s="94"/>
      <c r="E1" s="94"/>
      <c r="F1" s="94"/>
      <c r="G1" s="94"/>
    </row>
    <row r="4" spans="1:9" ht="15.5" x14ac:dyDescent="0.35">
      <c r="B4" s="67" t="s">
        <v>227</v>
      </c>
    </row>
    <row r="5" spans="1:9" x14ac:dyDescent="0.35">
      <c r="B5" s="82" t="s">
        <v>209</v>
      </c>
    </row>
    <row r="6" spans="1:9" ht="16" customHeight="1" x14ac:dyDescent="0.35">
      <c r="A6" s="26" t="s">
        <v>36</v>
      </c>
      <c r="B6" s="26" t="s">
        <v>67</v>
      </c>
      <c r="C6" s="26" t="s">
        <v>210</v>
      </c>
      <c r="D6" s="26" t="s">
        <v>38</v>
      </c>
      <c r="E6" s="26" t="s">
        <v>195</v>
      </c>
      <c r="F6" s="26" t="s">
        <v>30</v>
      </c>
      <c r="G6" s="26" t="s">
        <v>186</v>
      </c>
      <c r="H6" s="26" t="s">
        <v>39</v>
      </c>
      <c r="I6" s="26" t="s">
        <v>40</v>
      </c>
    </row>
    <row r="7" spans="1:9" x14ac:dyDescent="0.35">
      <c r="A7" s="34"/>
      <c r="B7" s="4" t="s">
        <v>228</v>
      </c>
      <c r="C7" s="34" t="s">
        <v>229</v>
      </c>
      <c r="D7" s="70">
        <v>0</v>
      </c>
      <c r="E7" s="79">
        <v>0</v>
      </c>
      <c r="F7" s="35">
        <f t="shared" ref="F7:F21" si="0">D7*E7</f>
        <v>0</v>
      </c>
      <c r="G7" s="36">
        <v>0.1</v>
      </c>
      <c r="H7" s="35">
        <f t="shared" ref="H7:H21" si="1">IFERROR(F7/(1-G7),0)</f>
        <v>0</v>
      </c>
      <c r="I7" s="35">
        <f t="shared" ref="I7:I21" si="2">IFERROR(H7-F7,0)</f>
        <v>0</v>
      </c>
    </row>
    <row r="8" spans="1:9" x14ac:dyDescent="0.35">
      <c r="B8" s="2" t="s">
        <v>228</v>
      </c>
      <c r="C8" t="s">
        <v>230</v>
      </c>
      <c r="D8" s="71">
        <v>0</v>
      </c>
      <c r="E8" s="81">
        <v>0</v>
      </c>
      <c r="F8" s="18">
        <f t="shared" si="0"/>
        <v>0</v>
      </c>
      <c r="G8" s="28">
        <v>0.1</v>
      </c>
      <c r="H8" s="18">
        <f t="shared" si="1"/>
        <v>0</v>
      </c>
      <c r="I8" s="18">
        <f t="shared" si="2"/>
        <v>0</v>
      </c>
    </row>
    <row r="9" spans="1:9" x14ac:dyDescent="0.35">
      <c r="A9" s="34"/>
      <c r="B9" s="4" t="s">
        <v>228</v>
      </c>
      <c r="C9" s="34" t="s">
        <v>231</v>
      </c>
      <c r="D9" s="70">
        <v>0</v>
      </c>
      <c r="E9" s="79">
        <v>0</v>
      </c>
      <c r="F9" s="35">
        <f t="shared" si="0"/>
        <v>0</v>
      </c>
      <c r="G9" s="36">
        <v>0.1</v>
      </c>
      <c r="H9" s="35">
        <f t="shared" si="1"/>
        <v>0</v>
      </c>
      <c r="I9" s="35">
        <f t="shared" si="2"/>
        <v>0</v>
      </c>
    </row>
    <row r="10" spans="1:9" x14ac:dyDescent="0.35">
      <c r="B10" s="2" t="s">
        <v>228</v>
      </c>
      <c r="C10" t="s">
        <v>232</v>
      </c>
      <c r="D10" s="71">
        <v>0</v>
      </c>
      <c r="E10" s="81">
        <v>0</v>
      </c>
      <c r="F10" s="18">
        <f t="shared" si="0"/>
        <v>0</v>
      </c>
      <c r="G10" s="28">
        <v>0.1</v>
      </c>
      <c r="H10" s="18">
        <f t="shared" si="1"/>
        <v>0</v>
      </c>
      <c r="I10" s="18">
        <f t="shared" si="2"/>
        <v>0</v>
      </c>
    </row>
    <row r="11" spans="1:9" x14ac:dyDescent="0.35">
      <c r="A11" s="34"/>
      <c r="B11" s="4" t="s">
        <v>228</v>
      </c>
      <c r="C11" s="34" t="s">
        <v>233</v>
      </c>
      <c r="D11" s="70">
        <v>0</v>
      </c>
      <c r="E11" s="79">
        <v>0</v>
      </c>
      <c r="F11" s="35">
        <f t="shared" si="0"/>
        <v>0</v>
      </c>
      <c r="G11" s="36">
        <v>0.1</v>
      </c>
      <c r="H11" s="35">
        <f t="shared" si="1"/>
        <v>0</v>
      </c>
      <c r="I11" s="35">
        <f t="shared" si="2"/>
        <v>0</v>
      </c>
    </row>
    <row r="12" spans="1:9" x14ac:dyDescent="0.35">
      <c r="B12" s="2" t="s">
        <v>234</v>
      </c>
      <c r="C12" t="s">
        <v>235</v>
      </c>
      <c r="D12" s="71">
        <v>0</v>
      </c>
      <c r="E12" s="81">
        <v>0</v>
      </c>
      <c r="F12" s="18">
        <f t="shared" si="0"/>
        <v>0</v>
      </c>
      <c r="G12" s="28">
        <v>0.1</v>
      </c>
      <c r="H12" s="18">
        <f t="shared" si="1"/>
        <v>0</v>
      </c>
      <c r="I12" s="18">
        <f t="shared" si="2"/>
        <v>0</v>
      </c>
    </row>
    <row r="13" spans="1:9" x14ac:dyDescent="0.35">
      <c r="A13" s="34"/>
      <c r="B13" s="4" t="s">
        <v>234</v>
      </c>
      <c r="C13" s="34" t="s">
        <v>236</v>
      </c>
      <c r="D13" s="70">
        <v>0</v>
      </c>
      <c r="E13" s="79">
        <v>0</v>
      </c>
      <c r="F13" s="35">
        <f t="shared" si="0"/>
        <v>0</v>
      </c>
      <c r="G13" s="36">
        <v>0.1</v>
      </c>
      <c r="H13" s="35">
        <f t="shared" si="1"/>
        <v>0</v>
      </c>
      <c r="I13" s="35">
        <f t="shared" si="2"/>
        <v>0</v>
      </c>
    </row>
    <row r="14" spans="1:9" x14ac:dyDescent="0.35">
      <c r="B14" s="2" t="s">
        <v>234</v>
      </c>
      <c r="C14" t="s">
        <v>237</v>
      </c>
      <c r="D14" s="71">
        <v>0</v>
      </c>
      <c r="E14" s="81">
        <v>0</v>
      </c>
      <c r="F14" s="18">
        <f t="shared" si="0"/>
        <v>0</v>
      </c>
      <c r="G14" s="28">
        <v>0.1</v>
      </c>
      <c r="H14" s="18">
        <f t="shared" si="1"/>
        <v>0</v>
      </c>
      <c r="I14" s="18">
        <f t="shared" si="2"/>
        <v>0</v>
      </c>
    </row>
    <row r="15" spans="1:9" x14ac:dyDescent="0.35">
      <c r="A15" s="34"/>
      <c r="B15" s="4" t="s">
        <v>238</v>
      </c>
      <c r="C15" s="34" t="s">
        <v>218</v>
      </c>
      <c r="D15" s="70">
        <v>0</v>
      </c>
      <c r="E15" s="79">
        <v>0</v>
      </c>
      <c r="F15" s="35">
        <f t="shared" si="0"/>
        <v>0</v>
      </c>
      <c r="G15" s="36">
        <v>0.1</v>
      </c>
      <c r="H15" s="35">
        <f t="shared" si="1"/>
        <v>0</v>
      </c>
      <c r="I15" s="35">
        <f t="shared" si="2"/>
        <v>0</v>
      </c>
    </row>
    <row r="16" spans="1:9" x14ac:dyDescent="0.35">
      <c r="B16" s="2" t="s">
        <v>238</v>
      </c>
      <c r="C16" t="s">
        <v>239</v>
      </c>
      <c r="D16" s="71">
        <v>0</v>
      </c>
      <c r="E16" s="81">
        <v>0</v>
      </c>
      <c r="F16" s="18">
        <f t="shared" si="0"/>
        <v>0</v>
      </c>
      <c r="G16" s="28">
        <v>0.1</v>
      </c>
      <c r="H16" s="18">
        <f t="shared" si="1"/>
        <v>0</v>
      </c>
      <c r="I16" s="18">
        <f t="shared" si="2"/>
        <v>0</v>
      </c>
    </row>
    <row r="17" spans="1:9" x14ac:dyDescent="0.35">
      <c r="A17" s="34"/>
      <c r="B17" s="4" t="s">
        <v>238</v>
      </c>
      <c r="C17" s="34" t="s">
        <v>220</v>
      </c>
      <c r="D17" s="70">
        <v>0</v>
      </c>
      <c r="E17" s="79">
        <v>0</v>
      </c>
      <c r="F17" s="35">
        <f t="shared" si="0"/>
        <v>0</v>
      </c>
      <c r="G17" s="36">
        <v>0.1</v>
      </c>
      <c r="H17" s="35">
        <f t="shared" si="1"/>
        <v>0</v>
      </c>
      <c r="I17" s="35">
        <f t="shared" si="2"/>
        <v>0</v>
      </c>
    </row>
    <row r="18" spans="1:9" x14ac:dyDescent="0.35">
      <c r="B18" s="3" t="s">
        <v>36</v>
      </c>
      <c r="C18" t="s">
        <v>221</v>
      </c>
      <c r="D18" s="71">
        <v>0</v>
      </c>
      <c r="E18" s="81">
        <v>0</v>
      </c>
      <c r="F18" s="18">
        <f t="shared" si="0"/>
        <v>0</v>
      </c>
      <c r="G18" s="28">
        <v>0.1</v>
      </c>
      <c r="H18" s="18">
        <f t="shared" si="1"/>
        <v>0</v>
      </c>
      <c r="I18" s="18">
        <f t="shared" si="2"/>
        <v>0</v>
      </c>
    </row>
    <row r="19" spans="1:9" x14ac:dyDescent="0.35">
      <c r="A19" s="34"/>
      <c r="B19" s="5" t="s">
        <v>36</v>
      </c>
      <c r="C19" s="34" t="s">
        <v>222</v>
      </c>
      <c r="D19" s="70">
        <v>0</v>
      </c>
      <c r="E19" s="79">
        <v>0</v>
      </c>
      <c r="F19" s="35">
        <f t="shared" si="0"/>
        <v>0</v>
      </c>
      <c r="G19" s="36">
        <v>0.1</v>
      </c>
      <c r="H19" s="35">
        <f t="shared" si="1"/>
        <v>0</v>
      </c>
      <c r="I19" s="35">
        <f t="shared" si="2"/>
        <v>0</v>
      </c>
    </row>
    <row r="20" spans="1:9" x14ac:dyDescent="0.35">
      <c r="B20" s="3" t="s">
        <v>36</v>
      </c>
      <c r="C20" t="s">
        <v>99</v>
      </c>
      <c r="D20" s="71">
        <v>0</v>
      </c>
      <c r="E20" s="81">
        <v>0</v>
      </c>
      <c r="F20" s="18">
        <f t="shared" si="0"/>
        <v>0</v>
      </c>
      <c r="G20" s="28">
        <v>0.1</v>
      </c>
      <c r="H20" s="18">
        <f t="shared" si="1"/>
        <v>0</v>
      </c>
      <c r="I20" s="18">
        <f t="shared" si="2"/>
        <v>0</v>
      </c>
    </row>
    <row r="21" spans="1:9" x14ac:dyDescent="0.35">
      <c r="A21" s="34"/>
      <c r="B21" s="5" t="s">
        <v>36</v>
      </c>
      <c r="C21" s="34" t="s">
        <v>223</v>
      </c>
      <c r="D21" s="70">
        <v>0</v>
      </c>
      <c r="E21" s="79">
        <v>0</v>
      </c>
      <c r="F21" s="35">
        <f t="shared" si="0"/>
        <v>0</v>
      </c>
      <c r="G21" s="36">
        <v>0.1</v>
      </c>
      <c r="H21" s="35">
        <f t="shared" si="1"/>
        <v>0</v>
      </c>
      <c r="I21" s="35">
        <f t="shared" si="2"/>
        <v>0</v>
      </c>
    </row>
    <row r="23" spans="1:9" x14ac:dyDescent="0.35">
      <c r="A23" s="50"/>
      <c r="B23" s="50"/>
      <c r="C23" s="50" t="s">
        <v>240</v>
      </c>
      <c r="D23" s="50"/>
      <c r="E23" s="50"/>
      <c r="F23" s="53">
        <f>SUM(F7:F21)</f>
        <v>0</v>
      </c>
      <c r="G23" s="50"/>
      <c r="H23" s="53">
        <f>SUM(H7:H21)</f>
        <v>0</v>
      </c>
      <c r="I23" s="53">
        <f>IFERROR(H23-F23,0)</f>
        <v>0</v>
      </c>
    </row>
    <row r="25" spans="1:9" x14ac:dyDescent="0.35">
      <c r="B25" t="s">
        <v>76</v>
      </c>
      <c r="F25" s="71">
        <v>0</v>
      </c>
    </row>
    <row r="26" spans="1:9" x14ac:dyDescent="0.35">
      <c r="B26" t="s">
        <v>77</v>
      </c>
      <c r="F26" s="71">
        <v>0</v>
      </c>
    </row>
    <row r="27" spans="1:9" x14ac:dyDescent="0.35">
      <c r="A27" s="29"/>
      <c r="B27" s="83" t="s">
        <v>225</v>
      </c>
      <c r="C27" s="83" t="s">
        <v>203</v>
      </c>
      <c r="D27" s="29"/>
      <c r="E27" s="29"/>
      <c r="F27" s="84">
        <f>F23+F25+F26</f>
        <v>0</v>
      </c>
      <c r="G27" s="29"/>
      <c r="H27" s="84">
        <f>H23</f>
        <v>0</v>
      </c>
      <c r="I27" s="84">
        <f>IFERROR(H27-F27,0)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F766E"/>
  </sheetPr>
  <dimension ref="A1:E17"/>
  <sheetViews>
    <sheetView workbookViewId="0"/>
  </sheetViews>
  <sheetFormatPr defaultRowHeight="14.5" x14ac:dyDescent="0.35"/>
  <cols>
    <col min="1" max="1" width="24" customWidth="1"/>
    <col min="2" max="2" width="18" customWidth="1"/>
    <col min="3" max="5" width="16" customWidth="1"/>
  </cols>
  <sheetData>
    <row r="1" spans="1:5" ht="24" customHeight="1" x14ac:dyDescent="0.35">
      <c r="A1" s="94" t="s">
        <v>241</v>
      </c>
      <c r="B1" s="94"/>
      <c r="C1" s="94"/>
      <c r="D1" s="94"/>
      <c r="E1" s="94"/>
    </row>
    <row r="2" spans="1:5" x14ac:dyDescent="0.35">
      <c r="A2" s="95" t="s">
        <v>242</v>
      </c>
      <c r="B2" s="95"/>
      <c r="C2" s="95"/>
      <c r="D2" s="95"/>
      <c r="E2" s="95"/>
    </row>
    <row r="4" spans="1:5" x14ac:dyDescent="0.35">
      <c r="A4" t="s">
        <v>243</v>
      </c>
      <c r="B4" s="81">
        <v>3</v>
      </c>
      <c r="C4" s="85" t="s">
        <v>244</v>
      </c>
    </row>
    <row r="5" spans="1:5" x14ac:dyDescent="0.35">
      <c r="A5" t="s">
        <v>245</v>
      </c>
      <c r="B5" s="71">
        <v>0</v>
      </c>
      <c r="C5" s="85" t="s">
        <v>246</v>
      </c>
    </row>
    <row r="6" spans="1:5" x14ac:dyDescent="0.35">
      <c r="A6" t="s">
        <v>247</v>
      </c>
      <c r="B6" s="19">
        <v>0.03</v>
      </c>
      <c r="C6" s="85" t="s">
        <v>248</v>
      </c>
    </row>
    <row r="7" spans="1:5" x14ac:dyDescent="0.35">
      <c r="A7" t="s">
        <v>41</v>
      </c>
      <c r="B7" s="19">
        <v>0.15</v>
      </c>
      <c r="C7" s="85" t="s">
        <v>249</v>
      </c>
    </row>
    <row r="10" spans="1:5" x14ac:dyDescent="0.35">
      <c r="A10" s="26" t="s">
        <v>250</v>
      </c>
      <c r="B10" s="26" t="s">
        <v>38</v>
      </c>
      <c r="C10" s="26" t="s">
        <v>39</v>
      </c>
      <c r="D10" s="26" t="s">
        <v>40</v>
      </c>
      <c r="E10" s="26" t="s">
        <v>251</v>
      </c>
    </row>
    <row r="11" spans="1:5" x14ac:dyDescent="0.35">
      <c r="A11" s="34" t="str">
        <f>IF($B$4&gt;=1,"Year 1","")</f>
        <v>Year 1</v>
      </c>
      <c r="B11" s="35">
        <f>$B$5</f>
        <v>0</v>
      </c>
      <c r="C11" s="35">
        <f>IF(A11="",0,IFERROR(B11/(1-$B$7),0))</f>
        <v>0</v>
      </c>
      <c r="D11" s="35">
        <f>IF(A11="",0,IFERROR(C11-B11,0))</f>
        <v>0</v>
      </c>
      <c r="E11" s="34" t="s">
        <v>252</v>
      </c>
    </row>
    <row r="12" spans="1:5" x14ac:dyDescent="0.35">
      <c r="A12" t="str">
        <f>IF($B$4&gt;=2,"Year 2","")</f>
        <v>Year 2</v>
      </c>
      <c r="B12" s="18">
        <f>IF(A12="",0,B11*(1+$B$6))</f>
        <v>0</v>
      </c>
      <c r="C12" s="18">
        <f>IF(A12="",0,IFERROR(B12/(1-$B$7),0))</f>
        <v>0</v>
      </c>
      <c r="D12" s="18">
        <f>IF(A12="",0,IFERROR(C12-B12,0))</f>
        <v>0</v>
      </c>
      <c r="E12" t="s">
        <v>252</v>
      </c>
    </row>
    <row r="13" spans="1:5" x14ac:dyDescent="0.35">
      <c r="A13" s="34" t="str">
        <f>IF($B$4&gt;=3,"Year 3","")</f>
        <v>Year 3</v>
      </c>
      <c r="B13" s="35">
        <f>IF(A13="",0,B12*(1+$B$6))</f>
        <v>0</v>
      </c>
      <c r="C13" s="35">
        <f>IF(A13="",0,IFERROR(B13/(1-$B$7),0))</f>
        <v>0</v>
      </c>
      <c r="D13" s="35">
        <f>IF(A13="",0,IFERROR(C13-B13,0))</f>
        <v>0</v>
      </c>
      <c r="E13" s="34" t="s">
        <v>252</v>
      </c>
    </row>
    <row r="14" spans="1:5" x14ac:dyDescent="0.35">
      <c r="A14" t="str">
        <f>IF($B$4&gt;=4,"Year 4","")</f>
        <v/>
      </c>
      <c r="B14" s="18">
        <f>IF(A14="",0,B13*(1+$B$6))</f>
        <v>0</v>
      </c>
      <c r="C14" s="18">
        <f>IF(A14="",0,IFERROR(B14/(1-$B$7),0))</f>
        <v>0</v>
      </c>
      <c r="D14" s="18">
        <f>IF(A14="",0,IFERROR(C14-B14,0))</f>
        <v>0</v>
      </c>
      <c r="E14" t="s">
        <v>36</v>
      </c>
    </row>
    <row r="15" spans="1:5" x14ac:dyDescent="0.35">
      <c r="A15" s="34" t="str">
        <f>IF($B$4&gt;=5,"Year 5","")</f>
        <v/>
      </c>
      <c r="B15" s="35">
        <f>IF(A15="",0,B14*(1+$B$6))</f>
        <v>0</v>
      </c>
      <c r="C15" s="35">
        <f>IF(A15="",0,IFERROR(B15/(1-$B$7),0))</f>
        <v>0</v>
      </c>
      <c r="D15" s="35">
        <f>IF(A15="",0,IFERROR(C15-B15,0))</f>
        <v>0</v>
      </c>
      <c r="E15" s="34" t="s">
        <v>36</v>
      </c>
    </row>
    <row r="17" spans="1:5" x14ac:dyDescent="0.35">
      <c r="A17" s="50" t="s">
        <v>253</v>
      </c>
      <c r="B17" s="53">
        <f>SUM(B11:B15)</f>
        <v>0</v>
      </c>
      <c r="C17" s="53">
        <f>SUM(C11:C15)</f>
        <v>0</v>
      </c>
      <c r="D17" s="53">
        <f>IFERROR(C17-B17,0)</f>
        <v>0</v>
      </c>
      <c r="E17" s="50"/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8A745"/>
  </sheetPr>
  <dimension ref="A1:I10"/>
  <sheetViews>
    <sheetView workbookViewId="0"/>
  </sheetViews>
  <sheetFormatPr defaultRowHeight="14.5" x14ac:dyDescent="0.35"/>
  <cols>
    <col min="1" max="1" width="4" customWidth="1"/>
    <col min="2" max="2" width="18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</cols>
  <sheetData>
    <row r="1" spans="1:9" ht="24" customHeight="1" x14ac:dyDescent="0.35">
      <c r="A1" s="94" t="s">
        <v>254</v>
      </c>
      <c r="B1" s="94"/>
      <c r="C1" s="94"/>
      <c r="D1" s="94"/>
      <c r="E1" s="94"/>
      <c r="F1" s="94"/>
      <c r="G1" s="94"/>
      <c r="H1" s="94"/>
    </row>
    <row r="4" spans="1:9" x14ac:dyDescent="0.35">
      <c r="A4" s="26" t="s">
        <v>36</v>
      </c>
      <c r="B4" s="26" t="s">
        <v>67</v>
      </c>
      <c r="C4" s="26" t="s">
        <v>210</v>
      </c>
      <c r="D4" s="26" t="s">
        <v>38</v>
      </c>
      <c r="E4" s="26" t="s">
        <v>195</v>
      </c>
      <c r="F4" s="26" t="s">
        <v>30</v>
      </c>
      <c r="G4" s="26" t="s">
        <v>186</v>
      </c>
      <c r="H4" s="26" t="s">
        <v>39</v>
      </c>
      <c r="I4" s="26" t="s">
        <v>40</v>
      </c>
    </row>
    <row r="5" spans="1:9" x14ac:dyDescent="0.35">
      <c r="A5" s="34"/>
      <c r="B5" s="34" t="s">
        <v>255</v>
      </c>
      <c r="C5" s="34" t="s">
        <v>256</v>
      </c>
      <c r="D5" s="70">
        <v>0</v>
      </c>
      <c r="E5" s="79">
        <v>1</v>
      </c>
      <c r="F5" s="35">
        <f>D5*E5</f>
        <v>0</v>
      </c>
      <c r="G5" s="75">
        <v>0.15</v>
      </c>
      <c r="H5" s="35">
        <f>IFERROR(F5/(1-G5),0)</f>
        <v>0</v>
      </c>
      <c r="I5" s="35">
        <f>IFERROR(H5-F5,0)</f>
        <v>0</v>
      </c>
    </row>
    <row r="6" spans="1:9" x14ac:dyDescent="0.35">
      <c r="B6" t="s">
        <v>257</v>
      </c>
      <c r="C6" t="s">
        <v>61</v>
      </c>
      <c r="D6" s="71">
        <v>0</v>
      </c>
      <c r="E6" s="81">
        <v>1</v>
      </c>
      <c r="F6" s="18">
        <f>D6*E6</f>
        <v>0</v>
      </c>
      <c r="G6" s="19">
        <v>0.15</v>
      </c>
      <c r="H6" s="18">
        <f>IFERROR(F6/(1-G6),0)</f>
        <v>0</v>
      </c>
      <c r="I6" s="18">
        <f>IFERROR(H6-F6,0)</f>
        <v>0</v>
      </c>
    </row>
    <row r="7" spans="1:9" x14ac:dyDescent="0.35">
      <c r="A7" s="34"/>
      <c r="B7" s="34" t="s">
        <v>258</v>
      </c>
      <c r="C7" s="34" t="s">
        <v>62</v>
      </c>
      <c r="D7" s="70">
        <v>0</v>
      </c>
      <c r="E7" s="79">
        <v>1</v>
      </c>
      <c r="F7" s="35">
        <f>D7*E7</f>
        <v>0</v>
      </c>
      <c r="G7" s="75">
        <v>0.15</v>
      </c>
      <c r="H7" s="35">
        <f>IFERROR(F7/(1-G7),0)</f>
        <v>0</v>
      </c>
      <c r="I7" s="35">
        <f>IFERROR(H7-F7,0)</f>
        <v>0</v>
      </c>
    </row>
    <row r="8" spans="1:9" x14ac:dyDescent="0.35">
      <c r="B8" t="s">
        <v>158</v>
      </c>
      <c r="C8" t="s">
        <v>63</v>
      </c>
      <c r="D8" s="71">
        <v>0</v>
      </c>
      <c r="E8" s="81">
        <v>1</v>
      </c>
      <c r="F8" s="18">
        <f>D8*E8</f>
        <v>0</v>
      </c>
      <c r="G8" s="19">
        <v>0.15</v>
      </c>
      <c r="H8" s="18">
        <f>IFERROR(F8/(1-G8),0)</f>
        <v>0</v>
      </c>
      <c r="I8" s="18">
        <f>IFERROR(H8-F8,0)</f>
        <v>0</v>
      </c>
    </row>
    <row r="10" spans="1:9" x14ac:dyDescent="0.35">
      <c r="A10" s="50"/>
      <c r="B10" s="50"/>
      <c r="C10" s="50" t="s">
        <v>259</v>
      </c>
      <c r="D10" s="50"/>
      <c r="E10" s="50"/>
      <c r="F10" s="53">
        <f>SUM(F5:F8)</f>
        <v>0</v>
      </c>
      <c r="G10" s="50"/>
      <c r="H10" s="53">
        <f>SUM(H5:H8)</f>
        <v>0</v>
      </c>
      <c r="I10" s="53">
        <f>IFERROR(H10-F10,0)</f>
        <v>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107"/>
  </sheetPr>
  <dimension ref="A1:D55"/>
  <sheetViews>
    <sheetView workbookViewId="0"/>
  </sheetViews>
  <sheetFormatPr defaultRowHeight="14.5" x14ac:dyDescent="0.35"/>
  <cols>
    <col min="1" max="1" width="4" customWidth="1"/>
    <col min="2" max="2" width="56" customWidth="1"/>
    <col min="3" max="4" width="14" customWidth="1"/>
    <col min="5" max="5" width="4" customWidth="1"/>
    <col min="6" max="6" width="12" customWidth="1"/>
  </cols>
  <sheetData>
    <row r="1" spans="1:4" ht="18.5" x14ac:dyDescent="0.45">
      <c r="B1" s="86" t="s">
        <v>260</v>
      </c>
    </row>
    <row r="2" spans="1:4" x14ac:dyDescent="0.35">
      <c r="B2" t="s">
        <v>261</v>
      </c>
    </row>
    <row r="4" spans="1:4" ht="16" customHeight="1" x14ac:dyDescent="0.35">
      <c r="B4" s="87" t="s">
        <v>262</v>
      </c>
      <c r="C4" s="88" t="s">
        <v>263</v>
      </c>
      <c r="D4" s="88" t="s">
        <v>264</v>
      </c>
    </row>
    <row r="5" spans="1:4" ht="26.5" x14ac:dyDescent="0.35">
      <c r="A5" s="34"/>
      <c r="B5" s="89" t="s">
        <v>265</v>
      </c>
      <c r="C5" s="48" t="s">
        <v>36</v>
      </c>
      <c r="D5" s="48" t="s">
        <v>266</v>
      </c>
    </row>
    <row r="6" spans="1:4" x14ac:dyDescent="0.35">
      <c r="B6" s="90" t="s">
        <v>267</v>
      </c>
      <c r="C6" s="76" t="s">
        <v>268</v>
      </c>
      <c r="D6" s="76" t="s">
        <v>36</v>
      </c>
    </row>
    <row r="7" spans="1:4" x14ac:dyDescent="0.35">
      <c r="A7" s="34"/>
      <c r="B7" s="89" t="s">
        <v>269</v>
      </c>
      <c r="C7" s="48" t="s">
        <v>268</v>
      </c>
      <c r="D7" s="48" t="s">
        <v>36</v>
      </c>
    </row>
    <row r="8" spans="1:4" x14ac:dyDescent="0.35">
      <c r="B8" s="90" t="s">
        <v>270</v>
      </c>
      <c r="C8" s="76" t="s">
        <v>266</v>
      </c>
      <c r="D8" s="76" t="s">
        <v>36</v>
      </c>
    </row>
    <row r="9" spans="1:4" x14ac:dyDescent="0.35">
      <c r="A9" s="34"/>
      <c r="B9" s="89" t="s">
        <v>271</v>
      </c>
      <c r="C9" s="48" t="s">
        <v>266</v>
      </c>
      <c r="D9" s="48" t="s">
        <v>36</v>
      </c>
    </row>
    <row r="10" spans="1:4" x14ac:dyDescent="0.35">
      <c r="B10" s="90" t="s">
        <v>272</v>
      </c>
      <c r="C10" s="76" t="s">
        <v>36</v>
      </c>
      <c r="D10" s="76" t="s">
        <v>266</v>
      </c>
    </row>
    <row r="11" spans="1:4" x14ac:dyDescent="0.35">
      <c r="A11" s="34"/>
      <c r="B11" s="89" t="s">
        <v>273</v>
      </c>
      <c r="C11" s="48" t="s">
        <v>36</v>
      </c>
      <c r="D11" s="48" t="s">
        <v>266</v>
      </c>
    </row>
    <row r="13" spans="1:4" ht="16" customHeight="1" x14ac:dyDescent="0.35">
      <c r="B13" s="87" t="s">
        <v>274</v>
      </c>
      <c r="C13" s="88" t="s">
        <v>263</v>
      </c>
      <c r="D13" s="88" t="s">
        <v>264</v>
      </c>
    </row>
    <row r="14" spans="1:4" ht="26.5" x14ac:dyDescent="0.35">
      <c r="A14" s="34"/>
      <c r="B14" s="89" t="s">
        <v>275</v>
      </c>
      <c r="C14" s="48" t="s">
        <v>36</v>
      </c>
      <c r="D14" s="48" t="s">
        <v>266</v>
      </c>
    </row>
    <row r="15" spans="1:4" ht="26.5" x14ac:dyDescent="0.35">
      <c r="B15" s="90" t="s">
        <v>276</v>
      </c>
      <c r="C15" s="76" t="s">
        <v>266</v>
      </c>
      <c r="D15" s="76" t="s">
        <v>36</v>
      </c>
    </row>
    <row r="16" spans="1:4" x14ac:dyDescent="0.35">
      <c r="A16" s="34"/>
      <c r="B16" s="89" t="s">
        <v>277</v>
      </c>
      <c r="C16" s="48" t="s">
        <v>266</v>
      </c>
      <c r="D16" s="48" t="s">
        <v>36</v>
      </c>
    </row>
    <row r="17" spans="1:4" x14ac:dyDescent="0.35">
      <c r="B17" s="90" t="s">
        <v>278</v>
      </c>
      <c r="C17" s="76" t="s">
        <v>36</v>
      </c>
      <c r="D17" s="76" t="s">
        <v>266</v>
      </c>
    </row>
    <row r="18" spans="1:4" x14ac:dyDescent="0.35">
      <c r="A18" s="34"/>
      <c r="B18" s="89" t="s">
        <v>279</v>
      </c>
      <c r="C18" s="48" t="s">
        <v>36</v>
      </c>
      <c r="D18" s="48" t="s">
        <v>266</v>
      </c>
    </row>
    <row r="20" spans="1:4" ht="16" customHeight="1" x14ac:dyDescent="0.35">
      <c r="B20" s="87" t="s">
        <v>280</v>
      </c>
      <c r="C20" s="88" t="s">
        <v>263</v>
      </c>
      <c r="D20" s="88" t="s">
        <v>264</v>
      </c>
    </row>
    <row r="21" spans="1:4" x14ac:dyDescent="0.35">
      <c r="A21" s="34"/>
      <c r="B21" s="89" t="s">
        <v>281</v>
      </c>
      <c r="C21" s="48" t="s">
        <v>282</v>
      </c>
      <c r="D21" s="48" t="s">
        <v>36</v>
      </c>
    </row>
    <row r="22" spans="1:4" x14ac:dyDescent="0.35">
      <c r="B22" s="90" t="s">
        <v>283</v>
      </c>
      <c r="C22" s="76" t="s">
        <v>36</v>
      </c>
      <c r="D22" s="76" t="s">
        <v>266</v>
      </c>
    </row>
    <row r="23" spans="1:4" x14ac:dyDescent="0.35">
      <c r="A23" s="34"/>
      <c r="B23" s="89" t="s">
        <v>284</v>
      </c>
      <c r="C23" s="48" t="s">
        <v>282</v>
      </c>
      <c r="D23" s="48" t="s">
        <v>36</v>
      </c>
    </row>
    <row r="24" spans="1:4" x14ac:dyDescent="0.35">
      <c r="B24" s="90" t="s">
        <v>285</v>
      </c>
      <c r="C24" s="76" t="s">
        <v>266</v>
      </c>
      <c r="D24" s="76" t="s">
        <v>36</v>
      </c>
    </row>
    <row r="25" spans="1:4" x14ac:dyDescent="0.35">
      <c r="A25" s="34"/>
      <c r="B25" s="89" t="s">
        <v>286</v>
      </c>
      <c r="C25" s="48" t="s">
        <v>266</v>
      </c>
      <c r="D25" s="48" t="s">
        <v>36</v>
      </c>
    </row>
    <row r="26" spans="1:4" x14ac:dyDescent="0.35">
      <c r="B26" s="90" t="s">
        <v>287</v>
      </c>
      <c r="C26" s="76" t="s">
        <v>36</v>
      </c>
      <c r="D26" s="76" t="s">
        <v>266</v>
      </c>
    </row>
    <row r="28" spans="1:4" ht="16" customHeight="1" x14ac:dyDescent="0.35">
      <c r="B28" s="87" t="s">
        <v>288</v>
      </c>
      <c r="C28" s="88" t="s">
        <v>263</v>
      </c>
      <c r="D28" s="88" t="s">
        <v>264</v>
      </c>
    </row>
    <row r="29" spans="1:4" x14ac:dyDescent="0.35">
      <c r="A29" s="34"/>
      <c r="B29" s="89" t="s">
        <v>289</v>
      </c>
      <c r="C29" s="48" t="s">
        <v>266</v>
      </c>
      <c r="D29" s="48" t="s">
        <v>36</v>
      </c>
    </row>
    <row r="30" spans="1:4" x14ac:dyDescent="0.35">
      <c r="B30" s="90" t="s">
        <v>290</v>
      </c>
      <c r="C30" s="76" t="s">
        <v>36</v>
      </c>
      <c r="D30" s="76" t="s">
        <v>266</v>
      </c>
    </row>
    <row r="31" spans="1:4" x14ac:dyDescent="0.35">
      <c r="A31" s="34"/>
      <c r="B31" s="89" t="s">
        <v>291</v>
      </c>
      <c r="C31" s="48" t="s">
        <v>36</v>
      </c>
      <c r="D31" s="48" t="s">
        <v>266</v>
      </c>
    </row>
    <row r="32" spans="1:4" x14ac:dyDescent="0.35">
      <c r="B32" s="90" t="s">
        <v>292</v>
      </c>
      <c r="C32" s="76" t="s">
        <v>266</v>
      </c>
      <c r="D32" s="76" t="s">
        <v>36</v>
      </c>
    </row>
    <row r="33" spans="1:4" x14ac:dyDescent="0.35">
      <c r="A33" s="34"/>
      <c r="B33" s="89" t="s">
        <v>293</v>
      </c>
      <c r="C33" s="48" t="s">
        <v>36</v>
      </c>
      <c r="D33" s="48" t="s">
        <v>266</v>
      </c>
    </row>
    <row r="34" spans="1:4" x14ac:dyDescent="0.35">
      <c r="B34" s="90" t="s">
        <v>294</v>
      </c>
      <c r="C34" s="76" t="s">
        <v>266</v>
      </c>
      <c r="D34" s="76" t="s">
        <v>36</v>
      </c>
    </row>
    <row r="35" spans="1:4" x14ac:dyDescent="0.35">
      <c r="A35" s="34"/>
      <c r="B35" s="89" t="s">
        <v>295</v>
      </c>
      <c r="C35" s="48" t="s">
        <v>266</v>
      </c>
      <c r="D35" s="48" t="s">
        <v>36</v>
      </c>
    </row>
    <row r="36" spans="1:4" x14ac:dyDescent="0.35">
      <c r="B36" s="90" t="s">
        <v>296</v>
      </c>
      <c r="C36" s="76" t="s">
        <v>266</v>
      </c>
      <c r="D36" s="76" t="s">
        <v>36</v>
      </c>
    </row>
    <row r="37" spans="1:4" x14ac:dyDescent="0.35">
      <c r="A37" s="34"/>
      <c r="B37" s="89" t="s">
        <v>297</v>
      </c>
      <c r="C37" s="48" t="s">
        <v>36</v>
      </c>
      <c r="D37" s="48" t="s">
        <v>266</v>
      </c>
    </row>
    <row r="39" spans="1:4" ht="16" customHeight="1" x14ac:dyDescent="0.35">
      <c r="B39" s="87" t="s">
        <v>298</v>
      </c>
      <c r="C39" s="88" t="s">
        <v>263</v>
      </c>
      <c r="D39" s="88" t="s">
        <v>264</v>
      </c>
    </row>
    <row r="40" spans="1:4" x14ac:dyDescent="0.35">
      <c r="A40" s="34"/>
      <c r="B40" s="89" t="s">
        <v>299</v>
      </c>
      <c r="C40" s="48" t="s">
        <v>282</v>
      </c>
      <c r="D40" s="48" t="s">
        <v>36</v>
      </c>
    </row>
    <row r="41" spans="1:4" x14ac:dyDescent="0.35">
      <c r="B41" s="90" t="s">
        <v>300</v>
      </c>
      <c r="C41" s="76" t="s">
        <v>36</v>
      </c>
      <c r="D41" s="76" t="s">
        <v>266</v>
      </c>
    </row>
    <row r="42" spans="1:4" x14ac:dyDescent="0.35">
      <c r="A42" s="34"/>
      <c r="B42" s="89" t="s">
        <v>301</v>
      </c>
      <c r="C42" s="48" t="s">
        <v>36</v>
      </c>
      <c r="D42" s="48" t="s">
        <v>266</v>
      </c>
    </row>
    <row r="44" spans="1:4" ht="16" customHeight="1" x14ac:dyDescent="0.35">
      <c r="B44" s="87" t="s">
        <v>302</v>
      </c>
      <c r="C44" s="88" t="s">
        <v>263</v>
      </c>
      <c r="D44" s="88" t="s">
        <v>264</v>
      </c>
    </row>
    <row r="45" spans="1:4" x14ac:dyDescent="0.35">
      <c r="A45" s="34"/>
      <c r="B45" s="89" t="s">
        <v>303</v>
      </c>
      <c r="C45" s="48" t="s">
        <v>266</v>
      </c>
      <c r="D45" s="48" t="s">
        <v>36</v>
      </c>
    </row>
    <row r="46" spans="1:4" x14ac:dyDescent="0.35">
      <c r="B46" s="90" t="s">
        <v>304</v>
      </c>
      <c r="C46" s="76" t="s">
        <v>266</v>
      </c>
      <c r="D46" s="76" t="s">
        <v>36</v>
      </c>
    </row>
    <row r="47" spans="1:4" x14ac:dyDescent="0.35">
      <c r="A47" s="34"/>
      <c r="B47" s="89" t="s">
        <v>305</v>
      </c>
      <c r="C47" s="48" t="s">
        <v>266</v>
      </c>
      <c r="D47" s="48" t="s">
        <v>36</v>
      </c>
    </row>
    <row r="48" spans="1:4" x14ac:dyDescent="0.35">
      <c r="B48" s="90" t="s">
        <v>306</v>
      </c>
      <c r="C48" s="76" t="s">
        <v>266</v>
      </c>
      <c r="D48" s="76" t="s">
        <v>36</v>
      </c>
    </row>
    <row r="50" spans="1:4" ht="16" customHeight="1" x14ac:dyDescent="0.35">
      <c r="B50" s="87" t="s">
        <v>307</v>
      </c>
      <c r="C50" s="88" t="s">
        <v>263</v>
      </c>
      <c r="D50" s="88" t="s">
        <v>264</v>
      </c>
    </row>
    <row r="51" spans="1:4" x14ac:dyDescent="0.35">
      <c r="A51" s="34"/>
      <c r="B51" s="89" t="s">
        <v>308</v>
      </c>
      <c r="C51" s="48" t="s">
        <v>282</v>
      </c>
      <c r="D51" s="48" t="s">
        <v>36</v>
      </c>
    </row>
    <row r="52" spans="1:4" x14ac:dyDescent="0.35">
      <c r="B52" s="90" t="s">
        <v>309</v>
      </c>
      <c r="C52" s="76" t="s">
        <v>36</v>
      </c>
      <c r="D52" s="76" t="s">
        <v>266</v>
      </c>
    </row>
    <row r="53" spans="1:4" x14ac:dyDescent="0.35">
      <c r="A53" s="34"/>
      <c r="B53" s="89" t="s">
        <v>310</v>
      </c>
      <c r="C53" s="48" t="s">
        <v>282</v>
      </c>
      <c r="D53" s="48" t="s">
        <v>36</v>
      </c>
    </row>
    <row r="54" spans="1:4" x14ac:dyDescent="0.35">
      <c r="B54" s="90" t="s">
        <v>311</v>
      </c>
      <c r="C54" s="76" t="s">
        <v>282</v>
      </c>
      <c r="D54" s="76" t="s">
        <v>36</v>
      </c>
    </row>
    <row r="55" spans="1:4" x14ac:dyDescent="0.35">
      <c r="A55" s="34"/>
      <c r="B55" s="89" t="s">
        <v>312</v>
      </c>
      <c r="C55" s="48" t="s">
        <v>282</v>
      </c>
      <c r="D55" s="48" t="s">
        <v>36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107"/>
  </sheetPr>
  <dimension ref="A1:K27"/>
  <sheetViews>
    <sheetView workbookViewId="0"/>
  </sheetViews>
  <sheetFormatPr defaultRowHeight="14.5" x14ac:dyDescent="0.35"/>
  <cols>
    <col min="1" max="1" width="4" customWidth="1"/>
    <col min="2" max="2" width="36" customWidth="1"/>
    <col min="3" max="6" width="16" customWidth="1"/>
    <col min="7" max="8" width="4" customWidth="1"/>
    <col min="9" max="9" width="36" customWidth="1"/>
    <col min="10" max="11" width="16" customWidth="1"/>
  </cols>
  <sheetData>
    <row r="1" spans="1:11" ht="24" customHeight="1" x14ac:dyDescent="0.35">
      <c r="A1" s="94" t="s">
        <v>313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3" spans="1:11" x14ac:dyDescent="0.35">
      <c r="A3" s="27" t="s">
        <v>314</v>
      </c>
      <c r="D3" s="91" t="s">
        <v>315</v>
      </c>
    </row>
    <row r="5" spans="1:11" ht="15.5" x14ac:dyDescent="0.35">
      <c r="B5" s="67" t="s">
        <v>316</v>
      </c>
      <c r="I5" s="67" t="s">
        <v>317</v>
      </c>
    </row>
    <row r="6" spans="1:11" x14ac:dyDescent="0.35">
      <c r="A6" s="26" t="s">
        <v>36</v>
      </c>
      <c r="B6" s="26" t="s">
        <v>318</v>
      </c>
      <c r="C6" s="26" t="s">
        <v>319</v>
      </c>
      <c r="D6" s="26" t="s">
        <v>186</v>
      </c>
      <c r="I6" s="26" t="s">
        <v>318</v>
      </c>
      <c r="J6" s="26" t="s">
        <v>319</v>
      </c>
    </row>
    <row r="7" spans="1:11" x14ac:dyDescent="0.35">
      <c r="A7" t="s">
        <v>320</v>
      </c>
      <c r="B7" s="18">
        <v>187826.67</v>
      </c>
      <c r="C7" s="18">
        <v>154350.28</v>
      </c>
      <c r="D7" s="18">
        <v>33476.39</v>
      </c>
      <c r="H7" s="27" t="s">
        <v>321</v>
      </c>
      <c r="I7" s="18">
        <v>187826.67</v>
      </c>
      <c r="J7" s="18">
        <v>154350.28</v>
      </c>
    </row>
    <row r="8" spans="1:11" x14ac:dyDescent="0.35">
      <c r="A8" s="37" t="s">
        <v>321</v>
      </c>
      <c r="B8" s="38">
        <v>187826.67</v>
      </c>
      <c r="C8" s="38">
        <v>154350.28</v>
      </c>
      <c r="D8" s="38">
        <v>33476.39</v>
      </c>
      <c r="E8" s="37"/>
      <c r="F8" s="37"/>
    </row>
    <row r="10" spans="1:11" x14ac:dyDescent="0.35">
      <c r="A10" s="92" t="s">
        <v>322</v>
      </c>
    </row>
    <row r="11" spans="1:11" x14ac:dyDescent="0.35">
      <c r="A11" t="s">
        <v>323</v>
      </c>
      <c r="B11" s="18">
        <v>0</v>
      </c>
      <c r="C11" s="18">
        <v>0</v>
      </c>
      <c r="D11" s="18">
        <v>0</v>
      </c>
    </row>
    <row r="13" spans="1:11" x14ac:dyDescent="0.35">
      <c r="A13" s="50" t="s">
        <v>324</v>
      </c>
      <c r="B13" s="53">
        <v>187826.67</v>
      </c>
      <c r="C13" s="53">
        <v>154350.28</v>
      </c>
      <c r="D13" s="53">
        <v>33476.39</v>
      </c>
      <c r="E13" s="50"/>
      <c r="F13" s="50"/>
    </row>
    <row r="16" spans="1:11" ht="72.5" x14ac:dyDescent="0.35">
      <c r="A16" s="26" t="s">
        <v>325</v>
      </c>
      <c r="B16" s="26" t="s">
        <v>318</v>
      </c>
      <c r="C16" s="26" t="s">
        <v>326</v>
      </c>
      <c r="D16" s="26" t="s">
        <v>327</v>
      </c>
      <c r="E16" s="26" t="s">
        <v>328</v>
      </c>
    </row>
    <row r="17" spans="1:5" x14ac:dyDescent="0.35">
      <c r="A17" s="34" t="s">
        <v>329</v>
      </c>
      <c r="B17" s="35">
        <v>0</v>
      </c>
      <c r="C17" s="35">
        <v>39021</v>
      </c>
      <c r="D17" s="70">
        <v>0</v>
      </c>
      <c r="E17" s="35">
        <v>39021</v>
      </c>
    </row>
    <row r="18" spans="1:5" x14ac:dyDescent="0.35">
      <c r="A18" t="s">
        <v>330</v>
      </c>
      <c r="B18" s="18">
        <v>0</v>
      </c>
      <c r="C18" s="18">
        <v>64500</v>
      </c>
      <c r="D18" s="71">
        <v>0</v>
      </c>
      <c r="E18" s="18">
        <v>64500</v>
      </c>
    </row>
    <row r="19" spans="1:5" x14ac:dyDescent="0.35">
      <c r="A19" s="34" t="s">
        <v>331</v>
      </c>
      <c r="B19" s="35">
        <v>0</v>
      </c>
      <c r="C19" s="35">
        <v>18750</v>
      </c>
      <c r="D19" s="70">
        <v>0</v>
      </c>
      <c r="E19" s="35">
        <v>18750</v>
      </c>
    </row>
    <row r="20" spans="1:5" x14ac:dyDescent="0.35">
      <c r="A20" t="s">
        <v>332</v>
      </c>
      <c r="B20" s="18">
        <v>0</v>
      </c>
      <c r="C20" s="18">
        <v>15000</v>
      </c>
      <c r="D20" s="71">
        <v>0</v>
      </c>
      <c r="E20" s="18">
        <v>15000</v>
      </c>
    </row>
    <row r="21" spans="1:5" x14ac:dyDescent="0.35">
      <c r="A21" s="34" t="s">
        <v>333</v>
      </c>
      <c r="B21" s="35">
        <v>0</v>
      </c>
      <c r="C21" s="35">
        <v>4705.88</v>
      </c>
      <c r="D21" s="70">
        <v>0</v>
      </c>
      <c r="E21" s="35">
        <v>4705.88</v>
      </c>
    </row>
    <row r="22" spans="1:5" x14ac:dyDescent="0.35">
      <c r="A22" t="s">
        <v>334</v>
      </c>
      <c r="B22" s="18">
        <v>0</v>
      </c>
      <c r="C22" s="18">
        <v>0</v>
      </c>
      <c r="D22" s="71">
        <v>0</v>
      </c>
      <c r="E22" s="18">
        <v>0</v>
      </c>
    </row>
    <row r="23" spans="1:5" x14ac:dyDescent="0.35">
      <c r="A23" s="34" t="s">
        <v>335</v>
      </c>
      <c r="B23" s="35">
        <v>0</v>
      </c>
      <c r="C23" s="35">
        <v>0</v>
      </c>
      <c r="D23" s="70">
        <v>0</v>
      </c>
      <c r="E23" s="35">
        <v>0</v>
      </c>
    </row>
    <row r="24" spans="1:5" x14ac:dyDescent="0.35">
      <c r="A24" t="s">
        <v>336</v>
      </c>
      <c r="B24" s="18">
        <v>0</v>
      </c>
      <c r="C24" s="18">
        <v>0</v>
      </c>
      <c r="D24" s="71">
        <v>0</v>
      </c>
      <c r="E24" s="18">
        <v>0</v>
      </c>
    </row>
    <row r="25" spans="1:5" x14ac:dyDescent="0.35">
      <c r="A25" s="34" t="s">
        <v>337</v>
      </c>
      <c r="B25" s="35">
        <v>0</v>
      </c>
      <c r="C25" s="35">
        <v>0</v>
      </c>
      <c r="D25" s="70">
        <v>0</v>
      </c>
      <c r="E25" s="35">
        <v>0</v>
      </c>
    </row>
    <row r="26" spans="1:5" x14ac:dyDescent="0.35">
      <c r="A26" t="s">
        <v>338</v>
      </c>
      <c r="B26" s="18">
        <v>0</v>
      </c>
      <c r="C26" s="18">
        <v>0</v>
      </c>
      <c r="D26" s="71">
        <v>0</v>
      </c>
      <c r="E26" s="18">
        <v>0</v>
      </c>
    </row>
    <row r="27" spans="1:5" x14ac:dyDescent="0.35">
      <c r="A27" s="50" t="s">
        <v>339</v>
      </c>
      <c r="B27" s="50"/>
      <c r="C27" s="53">
        <v>154350.28</v>
      </c>
      <c r="D27" s="53">
        <v>0</v>
      </c>
      <c r="E27" s="53">
        <v>154350.28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107"/>
  </sheetPr>
  <dimension ref="A1:O24"/>
  <sheetViews>
    <sheetView workbookViewId="0"/>
  </sheetViews>
  <sheetFormatPr defaultRowHeight="14.5" x14ac:dyDescent="0.35"/>
  <cols>
    <col min="1" max="1" width="4" customWidth="1"/>
    <col min="2" max="3" width="14" customWidth="1"/>
    <col min="4" max="4" width="16" customWidth="1"/>
    <col min="5" max="15" width="14" customWidth="1"/>
  </cols>
  <sheetData>
    <row r="1" spans="1:15" ht="24" customHeight="1" x14ac:dyDescent="0.35">
      <c r="A1" s="94" t="s">
        <v>340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</row>
    <row r="3" spans="1:15" x14ac:dyDescent="0.35">
      <c r="D3" s="27" t="s">
        <v>341</v>
      </c>
    </row>
    <row r="4" spans="1:15" x14ac:dyDescent="0.35">
      <c r="D4" s="2" t="s">
        <v>342</v>
      </c>
      <c r="E4" s="2" t="s">
        <v>343</v>
      </c>
      <c r="F4" s="2" t="s">
        <v>344</v>
      </c>
      <c r="G4" s="2" t="s">
        <v>345</v>
      </c>
      <c r="H4" s="2" t="s">
        <v>346</v>
      </c>
    </row>
    <row r="5" spans="1:15" x14ac:dyDescent="0.35">
      <c r="D5" t="s">
        <v>347</v>
      </c>
      <c r="E5" s="28">
        <v>0.25</v>
      </c>
      <c r="F5" s="28">
        <v>0.25</v>
      </c>
      <c r="G5" s="28">
        <v>0.25</v>
      </c>
      <c r="H5" s="28">
        <v>0.25</v>
      </c>
    </row>
    <row r="6" spans="1:15" x14ac:dyDescent="0.35">
      <c r="B6" t="s">
        <v>348</v>
      </c>
      <c r="C6" s="81" t="s">
        <v>349</v>
      </c>
    </row>
    <row r="7" spans="1:15" x14ac:dyDescent="0.35">
      <c r="B7" t="s">
        <v>350</v>
      </c>
      <c r="C7" s="81" t="s">
        <v>349</v>
      </c>
    </row>
    <row r="9" spans="1:15" ht="29" x14ac:dyDescent="0.35">
      <c r="A9" s="26" t="s">
        <v>36</v>
      </c>
      <c r="B9" s="26" t="s">
        <v>318</v>
      </c>
      <c r="C9" s="26" t="s">
        <v>351</v>
      </c>
      <c r="D9" s="26" t="s">
        <v>352</v>
      </c>
      <c r="E9" s="26" t="s">
        <v>353</v>
      </c>
      <c r="F9" s="26" t="s">
        <v>354</v>
      </c>
    </row>
    <row r="10" spans="1:15" x14ac:dyDescent="0.35">
      <c r="A10" s="50"/>
      <c r="B10" s="53">
        <v>187826.67</v>
      </c>
      <c r="C10" s="53">
        <v>154350.28</v>
      </c>
      <c r="D10" s="53">
        <v>33476.390000000014</v>
      </c>
      <c r="E10" s="54">
        <v>0.17823022683626352</v>
      </c>
      <c r="F10" s="53">
        <v>0</v>
      </c>
    </row>
    <row r="12" spans="1:15" x14ac:dyDescent="0.35">
      <c r="A12" s="27" t="s">
        <v>355</v>
      </c>
      <c r="E12" s="93" t="s">
        <v>356</v>
      </c>
      <c r="F12" s="93" t="s">
        <v>357</v>
      </c>
      <c r="G12" s="93" t="s">
        <v>358</v>
      </c>
      <c r="H12" s="93" t="s">
        <v>359</v>
      </c>
      <c r="I12" s="93" t="s">
        <v>360</v>
      </c>
      <c r="J12" s="93" t="s">
        <v>361</v>
      </c>
      <c r="K12" s="93" t="s">
        <v>362</v>
      </c>
      <c r="L12" s="93" t="s">
        <v>363</v>
      </c>
      <c r="M12" s="93" t="s">
        <v>364</v>
      </c>
      <c r="N12" s="93" t="s">
        <v>365</v>
      </c>
    </row>
    <row r="13" spans="1:15" ht="43.5" x14ac:dyDescent="0.35">
      <c r="A13" s="1" t="s">
        <v>318</v>
      </c>
      <c r="C13" s="1" t="s">
        <v>366</v>
      </c>
      <c r="D13" s="1" t="s">
        <v>367</v>
      </c>
    </row>
    <row r="14" spans="1:15" x14ac:dyDescent="0.35">
      <c r="A14" s="34">
        <v>1</v>
      </c>
      <c r="B14" s="34"/>
      <c r="C14" s="70">
        <v>0</v>
      </c>
      <c r="D14" s="79" t="s">
        <v>36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</row>
    <row r="15" spans="1:15" x14ac:dyDescent="0.35">
      <c r="A15">
        <v>2</v>
      </c>
      <c r="C15" s="71">
        <v>0</v>
      </c>
      <c r="D15" s="81" t="s">
        <v>36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</row>
    <row r="16" spans="1:15" x14ac:dyDescent="0.35">
      <c r="A16" s="34">
        <v>3</v>
      </c>
      <c r="B16" s="34"/>
      <c r="C16" s="70">
        <v>0</v>
      </c>
      <c r="D16" s="79" t="s">
        <v>36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</row>
    <row r="17" spans="1:14" x14ac:dyDescent="0.35">
      <c r="A17">
        <v>4</v>
      </c>
      <c r="C17" s="71">
        <v>0</v>
      </c>
      <c r="D17" s="81" t="s">
        <v>36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</row>
    <row r="18" spans="1:14" x14ac:dyDescent="0.35">
      <c r="A18" s="34">
        <v>5</v>
      </c>
      <c r="B18" s="34"/>
      <c r="C18" s="70">
        <v>0</v>
      </c>
      <c r="D18" s="79" t="s">
        <v>36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</row>
    <row r="19" spans="1:14" x14ac:dyDescent="0.35">
      <c r="A19">
        <v>6</v>
      </c>
      <c r="C19" s="71">
        <v>0</v>
      </c>
      <c r="D19" s="81" t="s">
        <v>36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</row>
    <row r="20" spans="1:14" x14ac:dyDescent="0.35">
      <c r="A20" s="34">
        <v>7</v>
      </c>
      <c r="B20" s="34"/>
      <c r="C20" s="70">
        <v>0</v>
      </c>
      <c r="D20" s="79" t="s">
        <v>36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</row>
    <row r="21" spans="1:14" x14ac:dyDescent="0.35">
      <c r="A21">
        <v>8</v>
      </c>
      <c r="C21" s="71">
        <v>0</v>
      </c>
      <c r="D21" s="81" t="s">
        <v>36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</row>
    <row r="22" spans="1:14" x14ac:dyDescent="0.35">
      <c r="A22" s="34">
        <v>9</v>
      </c>
      <c r="B22" s="34"/>
      <c r="C22" s="70">
        <v>0</v>
      </c>
      <c r="D22" s="79" t="s">
        <v>36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</row>
    <row r="23" spans="1:14" x14ac:dyDescent="0.35">
      <c r="A23">
        <v>10</v>
      </c>
      <c r="C23" s="71">
        <v>0</v>
      </c>
      <c r="D23" s="81" t="s">
        <v>36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</row>
    <row r="24" spans="1:14" x14ac:dyDescent="0.35">
      <c r="A24" s="72" t="s">
        <v>368</v>
      </c>
      <c r="B24" s="72"/>
      <c r="C24" s="73">
        <v>0</v>
      </c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</row>
  </sheetData>
  <mergeCells count="1">
    <mergeCell ref="A1:O1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C107"/>
  </sheetPr>
  <dimension ref="A1:E33"/>
  <sheetViews>
    <sheetView workbookViewId="0"/>
  </sheetViews>
  <sheetFormatPr defaultRowHeight="14.5" x14ac:dyDescent="0.35"/>
  <cols>
    <col min="1" max="1" width="16" customWidth="1"/>
    <col min="2" max="3" width="30" customWidth="1"/>
    <col min="4" max="5" width="18" customWidth="1"/>
  </cols>
  <sheetData>
    <row r="1" spans="1:5" ht="24" customHeight="1" x14ac:dyDescent="0.35">
      <c r="A1" s="94" t="s">
        <v>369</v>
      </c>
      <c r="B1" s="94"/>
      <c r="C1" s="94"/>
      <c r="D1" s="94"/>
      <c r="E1" s="94"/>
    </row>
    <row r="3" spans="1:5" ht="29" x14ac:dyDescent="0.35">
      <c r="A3" s="26" t="s">
        <v>370</v>
      </c>
      <c r="B3" s="26" t="s">
        <v>85</v>
      </c>
      <c r="C3" s="26" t="s">
        <v>371</v>
      </c>
      <c r="D3" s="26" t="s">
        <v>372</v>
      </c>
      <c r="E3" s="26" t="s">
        <v>67</v>
      </c>
    </row>
    <row r="4" spans="1:5" x14ac:dyDescent="0.35">
      <c r="A4" s="79" t="s">
        <v>36</v>
      </c>
      <c r="B4" s="79" t="s">
        <v>36</v>
      </c>
      <c r="C4" s="79" t="s">
        <v>36</v>
      </c>
      <c r="D4" s="70">
        <v>0</v>
      </c>
      <c r="E4" s="79" t="s">
        <v>36</v>
      </c>
    </row>
    <row r="5" spans="1:5" x14ac:dyDescent="0.35">
      <c r="A5" s="81" t="s">
        <v>36</v>
      </c>
      <c r="B5" s="81" t="s">
        <v>36</v>
      </c>
      <c r="C5" s="81" t="s">
        <v>36</v>
      </c>
      <c r="D5" s="71">
        <v>0</v>
      </c>
      <c r="E5" s="81" t="s">
        <v>36</v>
      </c>
    </row>
    <row r="6" spans="1:5" x14ac:dyDescent="0.35">
      <c r="A6" s="79" t="s">
        <v>36</v>
      </c>
      <c r="B6" s="79" t="s">
        <v>36</v>
      </c>
      <c r="C6" s="79" t="s">
        <v>36</v>
      </c>
      <c r="D6" s="70">
        <v>0</v>
      </c>
      <c r="E6" s="79" t="s">
        <v>36</v>
      </c>
    </row>
    <row r="7" spans="1:5" x14ac:dyDescent="0.35">
      <c r="A7" s="81" t="s">
        <v>36</v>
      </c>
      <c r="B7" s="81" t="s">
        <v>36</v>
      </c>
      <c r="C7" s="81" t="s">
        <v>36</v>
      </c>
      <c r="D7" s="71">
        <v>0</v>
      </c>
      <c r="E7" s="81" t="s">
        <v>36</v>
      </c>
    </row>
    <row r="8" spans="1:5" x14ac:dyDescent="0.35">
      <c r="A8" s="79" t="s">
        <v>36</v>
      </c>
      <c r="B8" s="79" t="s">
        <v>36</v>
      </c>
      <c r="C8" s="79" t="s">
        <v>36</v>
      </c>
      <c r="D8" s="70">
        <v>0</v>
      </c>
      <c r="E8" s="79" t="s">
        <v>36</v>
      </c>
    </row>
    <row r="9" spans="1:5" x14ac:dyDescent="0.35">
      <c r="A9" s="81" t="s">
        <v>36</v>
      </c>
      <c r="B9" s="81" t="s">
        <v>36</v>
      </c>
      <c r="C9" s="81" t="s">
        <v>36</v>
      </c>
      <c r="D9" s="71">
        <v>0</v>
      </c>
      <c r="E9" s="81" t="s">
        <v>36</v>
      </c>
    </row>
    <row r="10" spans="1:5" x14ac:dyDescent="0.35">
      <c r="A10" s="79" t="s">
        <v>36</v>
      </c>
      <c r="B10" s="79" t="s">
        <v>36</v>
      </c>
      <c r="C10" s="79" t="s">
        <v>36</v>
      </c>
      <c r="D10" s="70">
        <v>0</v>
      </c>
      <c r="E10" s="79" t="s">
        <v>36</v>
      </c>
    </row>
    <row r="11" spans="1:5" x14ac:dyDescent="0.35">
      <c r="A11" s="81" t="s">
        <v>36</v>
      </c>
      <c r="B11" s="81" t="s">
        <v>36</v>
      </c>
      <c r="C11" s="81" t="s">
        <v>36</v>
      </c>
      <c r="D11" s="71">
        <v>0</v>
      </c>
      <c r="E11" s="81" t="s">
        <v>36</v>
      </c>
    </row>
    <row r="12" spans="1:5" x14ac:dyDescent="0.35">
      <c r="A12" s="79" t="s">
        <v>36</v>
      </c>
      <c r="B12" s="79" t="s">
        <v>36</v>
      </c>
      <c r="C12" s="79" t="s">
        <v>36</v>
      </c>
      <c r="D12" s="70">
        <v>0</v>
      </c>
      <c r="E12" s="79" t="s">
        <v>36</v>
      </c>
    </row>
    <row r="13" spans="1:5" x14ac:dyDescent="0.35">
      <c r="A13" s="81" t="s">
        <v>36</v>
      </c>
      <c r="B13" s="81" t="s">
        <v>36</v>
      </c>
      <c r="C13" s="81" t="s">
        <v>36</v>
      </c>
      <c r="D13" s="71">
        <v>0</v>
      </c>
      <c r="E13" s="81" t="s">
        <v>36</v>
      </c>
    </row>
    <row r="14" spans="1:5" x14ac:dyDescent="0.35">
      <c r="A14" s="79" t="s">
        <v>36</v>
      </c>
      <c r="B14" s="79" t="s">
        <v>36</v>
      </c>
      <c r="C14" s="79" t="s">
        <v>36</v>
      </c>
      <c r="D14" s="70">
        <v>0</v>
      </c>
      <c r="E14" s="79" t="s">
        <v>36</v>
      </c>
    </row>
    <row r="15" spans="1:5" x14ac:dyDescent="0.35">
      <c r="A15" s="81" t="s">
        <v>36</v>
      </c>
      <c r="B15" s="81" t="s">
        <v>36</v>
      </c>
      <c r="C15" s="81" t="s">
        <v>36</v>
      </c>
      <c r="D15" s="71">
        <v>0</v>
      </c>
      <c r="E15" s="81" t="s">
        <v>36</v>
      </c>
    </row>
    <row r="16" spans="1:5" x14ac:dyDescent="0.35">
      <c r="A16" s="79" t="s">
        <v>36</v>
      </c>
      <c r="B16" s="79" t="s">
        <v>36</v>
      </c>
      <c r="C16" s="79" t="s">
        <v>36</v>
      </c>
      <c r="D16" s="70">
        <v>0</v>
      </c>
      <c r="E16" s="79" t="s">
        <v>36</v>
      </c>
    </row>
    <row r="17" spans="1:5" x14ac:dyDescent="0.35">
      <c r="A17" s="81" t="s">
        <v>36</v>
      </c>
      <c r="B17" s="81" t="s">
        <v>36</v>
      </c>
      <c r="C17" s="81" t="s">
        <v>36</v>
      </c>
      <c r="D17" s="71">
        <v>0</v>
      </c>
      <c r="E17" s="81" t="s">
        <v>36</v>
      </c>
    </row>
    <row r="18" spans="1:5" x14ac:dyDescent="0.35">
      <c r="A18" s="79" t="s">
        <v>36</v>
      </c>
      <c r="B18" s="79" t="s">
        <v>36</v>
      </c>
      <c r="C18" s="79" t="s">
        <v>36</v>
      </c>
      <c r="D18" s="70">
        <v>0</v>
      </c>
      <c r="E18" s="79" t="s">
        <v>36</v>
      </c>
    </row>
    <row r="19" spans="1:5" x14ac:dyDescent="0.35">
      <c r="A19" s="81" t="s">
        <v>36</v>
      </c>
      <c r="B19" s="81" t="s">
        <v>36</v>
      </c>
      <c r="C19" s="81" t="s">
        <v>36</v>
      </c>
      <c r="D19" s="71">
        <v>0</v>
      </c>
      <c r="E19" s="81" t="s">
        <v>36</v>
      </c>
    </row>
    <row r="20" spans="1:5" x14ac:dyDescent="0.35">
      <c r="A20" s="79" t="s">
        <v>36</v>
      </c>
      <c r="B20" s="79" t="s">
        <v>36</v>
      </c>
      <c r="C20" s="79" t="s">
        <v>36</v>
      </c>
      <c r="D20" s="70">
        <v>0</v>
      </c>
      <c r="E20" s="79" t="s">
        <v>36</v>
      </c>
    </row>
    <row r="21" spans="1:5" x14ac:dyDescent="0.35">
      <c r="A21" s="81" t="s">
        <v>36</v>
      </c>
      <c r="B21" s="81" t="s">
        <v>36</v>
      </c>
      <c r="C21" s="81" t="s">
        <v>36</v>
      </c>
      <c r="D21" s="71">
        <v>0</v>
      </c>
      <c r="E21" s="81" t="s">
        <v>36</v>
      </c>
    </row>
    <row r="22" spans="1:5" x14ac:dyDescent="0.35">
      <c r="A22" s="79" t="s">
        <v>36</v>
      </c>
      <c r="B22" s="79" t="s">
        <v>36</v>
      </c>
      <c r="C22" s="79" t="s">
        <v>36</v>
      </c>
      <c r="D22" s="70">
        <v>0</v>
      </c>
      <c r="E22" s="79" t="s">
        <v>36</v>
      </c>
    </row>
    <row r="23" spans="1:5" x14ac:dyDescent="0.35">
      <c r="A23" s="81" t="s">
        <v>36</v>
      </c>
      <c r="B23" s="81" t="s">
        <v>36</v>
      </c>
      <c r="C23" s="81" t="s">
        <v>36</v>
      </c>
      <c r="D23" s="71">
        <v>0</v>
      </c>
      <c r="E23" s="81" t="s">
        <v>36</v>
      </c>
    </row>
    <row r="24" spans="1:5" x14ac:dyDescent="0.35">
      <c r="A24" s="79" t="s">
        <v>36</v>
      </c>
      <c r="B24" s="79" t="s">
        <v>36</v>
      </c>
      <c r="C24" s="79" t="s">
        <v>36</v>
      </c>
      <c r="D24" s="70">
        <v>0</v>
      </c>
      <c r="E24" s="79" t="s">
        <v>36</v>
      </c>
    </row>
    <row r="25" spans="1:5" x14ac:dyDescent="0.35">
      <c r="A25" s="81" t="s">
        <v>36</v>
      </c>
      <c r="B25" s="81" t="s">
        <v>36</v>
      </c>
      <c r="C25" s="81" t="s">
        <v>36</v>
      </c>
      <c r="D25" s="71">
        <v>0</v>
      </c>
      <c r="E25" s="81" t="s">
        <v>36</v>
      </c>
    </row>
    <row r="26" spans="1:5" x14ac:dyDescent="0.35">
      <c r="A26" s="79" t="s">
        <v>36</v>
      </c>
      <c r="B26" s="79" t="s">
        <v>36</v>
      </c>
      <c r="C26" s="79" t="s">
        <v>36</v>
      </c>
      <c r="D26" s="70">
        <v>0</v>
      </c>
      <c r="E26" s="79" t="s">
        <v>36</v>
      </c>
    </row>
    <row r="27" spans="1:5" x14ac:dyDescent="0.35">
      <c r="A27" s="81" t="s">
        <v>36</v>
      </c>
      <c r="B27" s="81" t="s">
        <v>36</v>
      </c>
      <c r="C27" s="81" t="s">
        <v>36</v>
      </c>
      <c r="D27" s="71">
        <v>0</v>
      </c>
      <c r="E27" s="81" t="s">
        <v>36</v>
      </c>
    </row>
    <row r="28" spans="1:5" x14ac:dyDescent="0.35">
      <c r="A28" s="79" t="s">
        <v>36</v>
      </c>
      <c r="B28" s="79" t="s">
        <v>36</v>
      </c>
      <c r="C28" s="79" t="s">
        <v>36</v>
      </c>
      <c r="D28" s="70">
        <v>0</v>
      </c>
      <c r="E28" s="79" t="s">
        <v>36</v>
      </c>
    </row>
    <row r="29" spans="1:5" x14ac:dyDescent="0.35">
      <c r="A29" s="81" t="s">
        <v>36</v>
      </c>
      <c r="B29" s="81" t="s">
        <v>36</v>
      </c>
      <c r="C29" s="81" t="s">
        <v>36</v>
      </c>
      <c r="D29" s="71">
        <v>0</v>
      </c>
      <c r="E29" s="81" t="s">
        <v>36</v>
      </c>
    </row>
    <row r="30" spans="1:5" x14ac:dyDescent="0.35">
      <c r="A30" s="79" t="s">
        <v>36</v>
      </c>
      <c r="B30" s="79" t="s">
        <v>36</v>
      </c>
      <c r="C30" s="79" t="s">
        <v>36</v>
      </c>
      <c r="D30" s="70">
        <v>0</v>
      </c>
      <c r="E30" s="79" t="s">
        <v>36</v>
      </c>
    </row>
    <row r="31" spans="1:5" x14ac:dyDescent="0.35">
      <c r="A31" s="81" t="s">
        <v>36</v>
      </c>
      <c r="B31" s="81" t="s">
        <v>36</v>
      </c>
      <c r="C31" s="81" t="s">
        <v>36</v>
      </c>
      <c r="D31" s="71">
        <v>0</v>
      </c>
      <c r="E31" s="81" t="s">
        <v>36</v>
      </c>
    </row>
    <row r="32" spans="1:5" x14ac:dyDescent="0.35">
      <c r="A32" s="79" t="s">
        <v>36</v>
      </c>
      <c r="B32" s="79" t="s">
        <v>36</v>
      </c>
      <c r="C32" s="79" t="s">
        <v>36</v>
      </c>
      <c r="D32" s="70">
        <v>0</v>
      </c>
      <c r="E32" s="79" t="s">
        <v>36</v>
      </c>
    </row>
    <row r="33" spans="1:5" x14ac:dyDescent="0.35">
      <c r="A33" s="81" t="s">
        <v>36</v>
      </c>
      <c r="B33" s="81" t="s">
        <v>36</v>
      </c>
      <c r="C33" s="81" t="s">
        <v>36</v>
      </c>
      <c r="D33" s="71">
        <v>0</v>
      </c>
      <c r="E33" s="81" t="s">
        <v>36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3"/>
  <sheetViews>
    <sheetView workbookViewId="0"/>
  </sheetViews>
  <sheetFormatPr defaultRowHeight="14.5" x14ac:dyDescent="0.35"/>
  <sheetData>
    <row r="1" spans="1:7" x14ac:dyDescent="0.35">
      <c r="A1" t="s">
        <v>373</v>
      </c>
      <c r="B1" t="s">
        <v>374</v>
      </c>
      <c r="C1">
        <v>10</v>
      </c>
      <c r="D1">
        <v>273.14</v>
      </c>
      <c r="E1">
        <v>1500</v>
      </c>
      <c r="F1">
        <v>19.600000000000001</v>
      </c>
      <c r="G1">
        <v>298</v>
      </c>
    </row>
    <row r="2" spans="1:7" x14ac:dyDescent="0.35">
      <c r="A2" t="s">
        <v>375</v>
      </c>
      <c r="B2" t="s">
        <v>376</v>
      </c>
      <c r="C2">
        <v>2.5</v>
      </c>
      <c r="D2">
        <v>526.76</v>
      </c>
      <c r="E2">
        <v>2000</v>
      </c>
      <c r="F2">
        <v>52.6</v>
      </c>
      <c r="G2">
        <v>390.6</v>
      </c>
    </row>
    <row r="3" spans="1:7" x14ac:dyDescent="0.35">
      <c r="A3" t="s">
        <v>377</v>
      </c>
      <c r="B3" t="s">
        <v>374</v>
      </c>
      <c r="C3">
        <v>4</v>
      </c>
      <c r="D3">
        <v>409.7</v>
      </c>
      <c r="E3">
        <v>2000</v>
      </c>
      <c r="F3">
        <v>45.4</v>
      </c>
      <c r="G3">
        <v>488.3</v>
      </c>
    </row>
    <row r="4" spans="1:7" x14ac:dyDescent="0.35">
      <c r="A4" t="s">
        <v>378</v>
      </c>
      <c r="B4" t="s">
        <v>379</v>
      </c>
      <c r="C4">
        <v>1.2</v>
      </c>
      <c r="D4">
        <v>451.46</v>
      </c>
      <c r="E4">
        <v>2000</v>
      </c>
      <c r="F4">
        <v>55</v>
      </c>
      <c r="G4">
        <v>590</v>
      </c>
    </row>
    <row r="5" spans="1:7" x14ac:dyDescent="0.35">
      <c r="A5" t="s">
        <v>380</v>
      </c>
      <c r="B5" t="s">
        <v>379</v>
      </c>
      <c r="C5">
        <v>1.8</v>
      </c>
      <c r="D5">
        <v>341.42</v>
      </c>
      <c r="E5">
        <v>2000</v>
      </c>
      <c r="F5">
        <v>55</v>
      </c>
      <c r="G5">
        <v>540</v>
      </c>
    </row>
    <row r="6" spans="1:7" x14ac:dyDescent="0.35">
      <c r="A6" t="s">
        <v>381</v>
      </c>
      <c r="B6" t="s">
        <v>382</v>
      </c>
      <c r="C6">
        <v>1.5</v>
      </c>
      <c r="D6">
        <v>975.48</v>
      </c>
      <c r="E6">
        <v>1000</v>
      </c>
      <c r="F6">
        <v>55</v>
      </c>
      <c r="G6">
        <v>350</v>
      </c>
    </row>
    <row r="7" spans="1:7" x14ac:dyDescent="0.35">
      <c r="A7" t="s">
        <v>383</v>
      </c>
      <c r="B7" t="s">
        <v>382</v>
      </c>
      <c r="C7">
        <v>3.91</v>
      </c>
      <c r="D7">
        <v>119.01</v>
      </c>
      <c r="E7">
        <v>1000</v>
      </c>
      <c r="F7">
        <v>48</v>
      </c>
      <c r="G7">
        <v>400</v>
      </c>
    </row>
    <row r="8" spans="1:7" x14ac:dyDescent="0.35">
      <c r="A8" t="s">
        <v>384</v>
      </c>
      <c r="B8" t="s">
        <v>382</v>
      </c>
      <c r="C8">
        <v>2.5</v>
      </c>
      <c r="D8">
        <v>291.47000000000003</v>
      </c>
      <c r="E8">
        <v>1000</v>
      </c>
      <c r="F8">
        <v>50</v>
      </c>
      <c r="G8">
        <v>390</v>
      </c>
    </row>
    <row r="9" spans="1:7" x14ac:dyDescent="0.35">
      <c r="A9" t="s">
        <v>385</v>
      </c>
      <c r="B9" t="s">
        <v>382</v>
      </c>
      <c r="C9">
        <v>3.91</v>
      </c>
      <c r="D9">
        <v>117.25</v>
      </c>
      <c r="E9">
        <v>1000</v>
      </c>
      <c r="F9">
        <v>45</v>
      </c>
      <c r="G9">
        <v>400</v>
      </c>
    </row>
    <row r="10" spans="1:7" x14ac:dyDescent="0.35">
      <c r="A10" t="s">
        <v>386</v>
      </c>
      <c r="B10" t="s">
        <v>379</v>
      </c>
      <c r="C10">
        <v>3.9</v>
      </c>
      <c r="D10">
        <v>273.14</v>
      </c>
      <c r="E10">
        <v>6000</v>
      </c>
      <c r="F10">
        <v>33.07</v>
      </c>
      <c r="G10">
        <v>600</v>
      </c>
    </row>
    <row r="11" spans="1:7" x14ac:dyDescent="0.35">
      <c r="A11" t="s">
        <v>387</v>
      </c>
      <c r="B11" t="s">
        <v>388</v>
      </c>
      <c r="C11">
        <v>10</v>
      </c>
      <c r="D11">
        <v>216.95</v>
      </c>
      <c r="E11">
        <v>7500</v>
      </c>
      <c r="F11">
        <v>84.2</v>
      </c>
      <c r="G11">
        <v>472.2</v>
      </c>
    </row>
    <row r="12" spans="1:7" x14ac:dyDescent="0.35">
      <c r="A12" t="s">
        <v>389</v>
      </c>
      <c r="B12" t="s">
        <v>388</v>
      </c>
      <c r="C12">
        <v>10</v>
      </c>
      <c r="D12">
        <v>117.84</v>
      </c>
      <c r="E12">
        <v>2000</v>
      </c>
      <c r="F12">
        <v>46.6</v>
      </c>
      <c r="G12">
        <v>401.5</v>
      </c>
    </row>
    <row r="13" spans="1:7" x14ac:dyDescent="0.35">
      <c r="A13" t="s">
        <v>390</v>
      </c>
      <c r="B13" t="s">
        <v>388</v>
      </c>
      <c r="C13">
        <v>2.5</v>
      </c>
      <c r="D13">
        <v>264.16000000000003</v>
      </c>
      <c r="E13">
        <v>2000</v>
      </c>
      <c r="F13">
        <v>50.2</v>
      </c>
      <c r="G13">
        <v>401.5</v>
      </c>
    </row>
    <row r="14" spans="1:7" x14ac:dyDescent="0.35">
      <c r="A14" t="s">
        <v>391</v>
      </c>
      <c r="B14" t="s">
        <v>388</v>
      </c>
      <c r="C14">
        <v>4</v>
      </c>
      <c r="D14">
        <v>187.01</v>
      </c>
      <c r="E14">
        <v>2000</v>
      </c>
      <c r="F14">
        <v>46.6</v>
      </c>
      <c r="G14">
        <v>401.5</v>
      </c>
    </row>
    <row r="15" spans="1:7" x14ac:dyDescent="0.35">
      <c r="A15" t="s">
        <v>392</v>
      </c>
      <c r="B15" t="s">
        <v>388</v>
      </c>
      <c r="C15">
        <v>6</v>
      </c>
      <c r="D15">
        <v>143.4</v>
      </c>
      <c r="E15">
        <v>2000</v>
      </c>
      <c r="F15">
        <v>46.6</v>
      </c>
      <c r="G15">
        <v>401.5</v>
      </c>
    </row>
    <row r="16" spans="1:7" x14ac:dyDescent="0.35">
      <c r="A16" t="s">
        <v>393</v>
      </c>
      <c r="B16" t="s">
        <v>388</v>
      </c>
      <c r="C16">
        <v>10</v>
      </c>
      <c r="D16">
        <v>122.03</v>
      </c>
      <c r="E16">
        <v>2000</v>
      </c>
      <c r="F16">
        <v>62.2</v>
      </c>
      <c r="G16">
        <v>401.5</v>
      </c>
    </row>
    <row r="17" spans="1:7" x14ac:dyDescent="0.35">
      <c r="A17" t="s">
        <v>394</v>
      </c>
      <c r="B17" t="s">
        <v>388</v>
      </c>
      <c r="C17">
        <v>10</v>
      </c>
      <c r="D17">
        <v>185.35</v>
      </c>
      <c r="E17">
        <v>10000</v>
      </c>
      <c r="F17">
        <v>101</v>
      </c>
      <c r="G17">
        <v>638.9</v>
      </c>
    </row>
    <row r="18" spans="1:7" x14ac:dyDescent="0.35">
      <c r="A18" t="s">
        <v>395</v>
      </c>
      <c r="B18" t="s">
        <v>388</v>
      </c>
      <c r="C18">
        <v>6</v>
      </c>
      <c r="D18">
        <v>307.97000000000003</v>
      </c>
      <c r="E18">
        <v>10000</v>
      </c>
      <c r="F18">
        <v>101</v>
      </c>
      <c r="G18">
        <v>638.9</v>
      </c>
    </row>
    <row r="19" spans="1:7" x14ac:dyDescent="0.35">
      <c r="A19" t="s">
        <v>396</v>
      </c>
      <c r="B19" t="s">
        <v>388</v>
      </c>
      <c r="C19">
        <v>10.417</v>
      </c>
      <c r="D19">
        <v>162.52000000000001</v>
      </c>
      <c r="E19">
        <v>10000</v>
      </c>
      <c r="F19">
        <v>65</v>
      </c>
      <c r="G19">
        <v>650</v>
      </c>
    </row>
    <row r="20" spans="1:7" x14ac:dyDescent="0.35">
      <c r="A20" t="s">
        <v>397</v>
      </c>
      <c r="B20" t="s">
        <v>388</v>
      </c>
      <c r="C20">
        <v>2.5</v>
      </c>
      <c r="D20">
        <v>563.15</v>
      </c>
      <c r="E20">
        <v>3000</v>
      </c>
      <c r="F20">
        <v>80.8</v>
      </c>
      <c r="G20">
        <v>578.70000000000005</v>
      </c>
    </row>
    <row r="21" spans="1:7" x14ac:dyDescent="0.35">
      <c r="A21" t="s">
        <v>398</v>
      </c>
      <c r="B21" t="s">
        <v>388</v>
      </c>
      <c r="C21">
        <v>3.91</v>
      </c>
      <c r="D21">
        <v>244.17</v>
      </c>
      <c r="E21">
        <v>7000</v>
      </c>
      <c r="F21">
        <v>68.3</v>
      </c>
      <c r="G21">
        <v>650</v>
      </c>
    </row>
    <row r="22" spans="1:7" x14ac:dyDescent="0.35">
      <c r="A22" t="s">
        <v>104</v>
      </c>
      <c r="B22" t="s">
        <v>388</v>
      </c>
      <c r="C22">
        <v>5.95</v>
      </c>
      <c r="D22">
        <v>273.14</v>
      </c>
      <c r="E22">
        <v>10000</v>
      </c>
      <c r="F22">
        <v>65</v>
      </c>
      <c r="G22">
        <v>650</v>
      </c>
    </row>
    <row r="23" spans="1:7" x14ac:dyDescent="0.35">
      <c r="A23" t="s">
        <v>399</v>
      </c>
      <c r="B23" t="s">
        <v>388</v>
      </c>
      <c r="C23">
        <v>8.33</v>
      </c>
      <c r="D23">
        <v>203.77</v>
      </c>
      <c r="E23">
        <v>10000</v>
      </c>
      <c r="F23">
        <v>65</v>
      </c>
      <c r="G23">
        <v>650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Project Overview</vt:lpstr>
      <vt:lpstr>Margin Analysis</vt:lpstr>
      <vt:lpstr>Budget Summary</vt:lpstr>
      <vt:lpstr>LED Cost Sheet</vt:lpstr>
      <vt:lpstr>Tech Specs (Installers)</vt:lpstr>
      <vt:lpstr>Main Scoreboard - Install</vt:lpstr>
      <vt:lpstr>Processor Count</vt:lpstr>
      <vt:lpstr>Bundle Equipment</vt:lpstr>
      <vt:lpstr>ANC Travel</vt:lpstr>
      <vt:lpstr>CMS</vt:lpstr>
      <vt:lpstr>Scoring</vt:lpstr>
      <vt:lpstr>Venue Services</vt:lpstr>
      <vt:lpstr>Additional Items</vt:lpstr>
      <vt:lpstr>Resp Matrix</vt:lpstr>
      <vt:lpstr>P&amp;L</vt:lpstr>
      <vt:lpstr>Cash Flow</vt:lpstr>
      <vt:lpstr>PO's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2026-04-03T12:43:41Z</dcterms:created>
  <dcterms:modified xsi:type="dcterms:W3CDTF">2026-04-03T12:45:31Z</dcterms:modified>
  <cp:category/>
</cp:coreProperties>
</file>