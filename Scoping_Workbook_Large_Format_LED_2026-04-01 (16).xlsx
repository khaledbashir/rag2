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4.xml" ContentType="application/vnd.openxmlformats-officedocument.spreadsheetml.worksheet+xml"/>
  <Override PartName="/xl/worksheets/sheet3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 Overview" state="visible" r:id="rId4"/>
    <sheet sheetId="62" name="Margin Analysis" state="visible" r:id="rId5"/>
    <sheet sheetId="63" name="Budget Summary" state="visible" r:id="rId6"/>
    <sheet sheetId="2" name="LED Cost Sheet" state="visible" r:id="rId7"/>
    <sheet sheetId="4" name="Tech Specs (Installers)" state="visible" r:id="rId8"/>
    <sheet sheetId="5" name="FIELD RIBBON NORTH - Install" state="visible" r:id="rId9"/>
    <sheet sheetId="6" name="FIELD RIBBON EAST - Install" state="visible" r:id="rId10"/>
    <sheet sheetId="7" name="TEAM ROOM - Install" state="visible" r:id="rId11"/>
    <sheet sheetId="8" name="FIELD RIBBON WEST - Install" state="visible" r:id="rId12"/>
    <sheet sheetId="9" name="INCIDENT COMMAND - Install" state="visible" r:id="rId13"/>
    <sheet sheetId="10" name="DEF UNIT - Install" state="visible" r:id="rId14"/>
    <sheet sheetId="11" name="NORTH CORRIDOR - Install" state="visible" r:id="rId15"/>
    <sheet sheetId="12" name="SOUTH CORRIDOR - Install" state="visible" r:id="rId16"/>
    <sheet sheetId="18" name="LARGE ADMIN ROOM - Install" state="visible" r:id="rId17"/>
    <sheet sheetId="19" name="ELEV LOBBY - Install" state="visible" r:id="rId18"/>
    <sheet sheetId="20" name="NORTH CLUB - Install" state="visible" r:id="rId19"/>
    <sheet sheetId="21" name="PANTHERS DEN - Install" state="visible" r:id="rId20"/>
    <sheet sheetId="22" name="PANTHERS DEN18 - Install" state="visible" r:id="rId21"/>
    <sheet sheetId="23" name="PANTHERS DEN19 - Install" state="visible" r:id="rId22"/>
    <sheet sheetId="24" name="PANTHERS DEN20 - Install" state="visible" r:id="rId23"/>
    <sheet sheetId="25" name="PANTHERS DEN21 - Install" state="visible" r:id="rId24"/>
    <sheet sheetId="26" name="PANTHERS DEN22 - Install" state="visible" r:id="rId25"/>
    <sheet sheetId="27" name="PANTHERS DEN23 - Install" state="visible" r:id="rId26"/>
    <sheet sheetId="28" name="SOUTH CLUB - Install" state="visible" r:id="rId27"/>
    <sheet sheetId="29" name="ELEV LOBBY25 - Install" state="visible" r:id="rId28"/>
    <sheet sheetId="30" name="SOUTH CLUB26 - Install" state="visible" r:id="rId29"/>
    <sheet sheetId="31" name="ELEV LOBBY27 - Install" state="visible" r:id="rId30"/>
    <sheet sheetId="32" name="ELEV LOBBY28 - Install" state="visible" r:id="rId31"/>
    <sheet sheetId="33" name="NORTH CLUB29 - Install" state="visible" r:id="rId32"/>
    <sheet sheetId="34" name="RIBBON NW - Install" state="visible" r:id="rId33"/>
    <sheet sheetId="35" name="RIBBON NW31 - Install" state="visible" r:id="rId34"/>
    <sheet sheetId="36" name="RIBBON NW32 - Install" state="visible" r:id="rId35"/>
    <sheet sheetId="37" name="RIBBON NW33 - Install" state="visible" r:id="rId36"/>
    <sheet sheetId="38" name="RIBBON SW - Install" state="visible" r:id="rId37"/>
    <sheet sheetId="39" name="RIBBON SW35 - Install" state="visible" r:id="rId38"/>
    <sheet sheetId="40" name="RIBBON SW36 - Install" state="visible" r:id="rId39"/>
    <sheet sheetId="41" name="SCOREBOARD EAST - Install" state="visible" r:id="rId40"/>
    <sheet sheetId="42" name="SCOREBOARD WEST - Install" state="visible" r:id="rId41"/>
    <sheet sheetId="43" name="EAST ENTRY A - Install" state="visible" r:id="rId42"/>
    <sheet sheetId="44" name="EAST ENTRY B - Install" state="visible" r:id="rId43"/>
    <sheet sheetId="45" name="EAST ENTRY C - Install" state="visible" r:id="rId44"/>
    <sheet sheetId="46" name="EAST ENTRY D - Install" state="visible" r:id="rId45"/>
    <sheet sheetId="47" name="NORTH EAST EXTERIOR NE - Instal" state="visible" r:id="rId46"/>
    <sheet sheetId="48" name="NORTH ENTRY C - Install" state="visible" r:id="rId47"/>
    <sheet sheetId="49" name="NORTH ENTRY C45 - Install" state="visible" r:id="rId48"/>
    <sheet sheetId="50" name="NORTH ENTRY C46 - Install" state="visible" r:id="rId49"/>
    <sheet sheetId="51" name="SOUTH EAST EXTERIOR SE - Instal" state="visible" r:id="rId50"/>
    <sheet sheetId="52" name="Processor Count" state="visible" r:id="rId51"/>
    <sheet sheetId="53" name="Bundle Equipment" state="visible" r:id="rId52"/>
    <sheet sheetId="54" name="ANC Travel" state="visible" r:id="rId53"/>
    <sheet sheetId="55" name="CMS" state="visible" r:id="rId54"/>
    <sheet sheetId="56" name="Scoring" state="visible" r:id="rId55"/>
    <sheet sheetId="57" name="Venue Services" state="visible" r:id="rId56"/>
    <sheet sheetId="58" name="Additional Items" state="visible" r:id="rId57"/>
    <sheet sheetId="59" name="Resp Matrix" state="visible" r:id="rId58"/>
    <sheet sheetId="60" name="P&amp;L" state="visible" r:id="rId59"/>
    <sheet sheetId="61" name="Cash Flow" state="visible" r:id="rId60"/>
    <sheet sheetId="64" name="PO's" state="visible" r:id="rId61"/>
    <sheet sheetId="3" name="_Products" state="veryHidden" r:id="rId62"/>
    <sheet sheetId="13" name="S.E. CORRIDOR (CEILING) - Insta" state="visible" r:id="rId63"/>
    <sheet sheetId="14" name="S.E. CORRIDOR (CEILING10 - Inst" state="visible" r:id="rId64"/>
    <sheet sheetId="15" name="EAST CORRIDOR (CEILING) - Insta" state="visible" r:id="rId65"/>
    <sheet sheetId="16" name="N.E. CORRIDOR (CEILING) - Insta" state="visible" r:id="rId66"/>
    <sheet sheetId="17" name="N.E. CORRIDOR (CEILING13 - Inst" state="visible" r:id="rId67"/>
  </sheets>
  <calcPr calcId="171027" fullCalcOnLoad="1"/>
</workbook>
</file>

<file path=xl/sharedStrings.xml><?xml version="1.0" encoding="utf-8"?>
<sst xmlns="http://schemas.openxmlformats.org/spreadsheetml/2006/main" count="5932" uniqueCount="448">
  <si>
    <t>Large Format LED — Project Overview</t>
  </si>
  <si>
    <t>Client | 2026-04-01 | ANC Proposal Engine</t>
  </si>
  <si>
    <t>PROJECT INFORMATION</t>
  </si>
  <si>
    <t>Client</t>
  </si>
  <si>
    <t>Project Name</t>
  </si>
  <si>
    <t>Large Format LED</t>
  </si>
  <si>
    <t>Location</t>
  </si>
  <si>
    <t>Date Created</t>
  </si>
  <si>
    <t>2026-04-01</t>
  </si>
  <si>
    <t>Currency</t>
  </si>
  <si>
    <t>USD</t>
  </si>
  <si>
    <t>Environment</t>
  </si>
  <si>
    <t>Indoor</t>
  </si>
  <si>
    <t>Union Labor</t>
  </si>
  <si>
    <t>No</t>
  </si>
  <si>
    <t>Bond Required</t>
  </si>
  <si>
    <t>Number of Displays</t>
  </si>
  <si>
    <t>FINANCIAL PARAMETERS</t>
  </si>
  <si>
    <t>LED Hardware Margin</t>
  </si>
  <si>
    <t>Install / Services Margin</t>
  </si>
  <si>
    <t>Engineering Margin</t>
  </si>
  <si>
    <t>Equipment Margin</t>
  </si>
  <si>
    <t>CMS Margin</t>
  </si>
  <si>
    <t>Bond Rate</t>
  </si>
  <si>
    <t>N/A</t>
  </si>
  <si>
    <t>Tax Rate</t>
  </si>
  <si>
    <t>Per zone (editable on MA)</t>
  </si>
  <si>
    <t>Tariff Rate</t>
  </si>
  <si>
    <t>SUMMARY TOTALS</t>
  </si>
  <si>
    <t>Total Cost</t>
  </si>
  <si>
    <t>Total Selling Price</t>
  </si>
  <si>
    <t>Project Margin $</t>
  </si>
  <si>
    <t>Project Margin %</t>
  </si>
  <si>
    <t>DOCUMENT TOTAL</t>
  </si>
  <si>
    <t>Large Format LED — Margin Analysis</t>
  </si>
  <si>
    <t/>
  </si>
  <si>
    <t>Zone / Category</t>
  </si>
  <si>
    <t>Cost</t>
  </si>
  <si>
    <t>Selling Price</t>
  </si>
  <si>
    <t>Margin $</t>
  </si>
  <si>
    <t>Margin %</t>
  </si>
  <si>
    <t>FIELD RIBBON NORTH — FIELD RIBBON NORTH</t>
  </si>
  <si>
    <t xml:space="preserve">    LED Hardware</t>
  </si>
  <si>
    <t xml:space="preserve">    Structural Materials</t>
  </si>
  <si>
    <t xml:space="preserve">    Structural Labor &amp; LED Installation</t>
  </si>
  <si>
    <t xml:space="preserve">    Electrical &amp; Data</t>
  </si>
  <si>
    <t xml:space="preserve">    PM / General Conditions / Travel</t>
  </si>
  <si>
    <t xml:space="preserve">    Engineering &amp; Permits</t>
  </si>
  <si>
    <t xml:space="preserve">    SUBTOTAL</t>
  </si>
  <si>
    <t xml:space="preserve">    TAX</t>
  </si>
  <si>
    <t xml:space="preserve">    BOND</t>
  </si>
  <si>
    <t xml:space="preserve">    TARIFF</t>
  </si>
  <si>
    <t xml:space="preserve">    GRAND TOTAL</t>
  </si>
  <si>
    <t>FIELD RIBBON EAST — FIELD RIBBON EAST</t>
  </si>
  <si>
    <t>TEAM ROOM — TEAM ROOM</t>
  </si>
  <si>
    <t>FIELD RIBBON WEST — FIELD RIBBON WEST</t>
  </si>
  <si>
    <t>INCIDENT COMMAND — INCIDENT COMMANT</t>
  </si>
  <si>
    <t>DEF UNIT — DEF UNIT</t>
  </si>
  <si>
    <t>NORTH CORRIDOR — NORTH CORRIDOR</t>
  </si>
  <si>
    <t>SOUTH CORRIDOR — SOUTH CORRIDOR</t>
  </si>
  <si>
    <t>S.E. CORRIDOR (CEILING) — S.E. CORRIDOR (CEILING)</t>
  </si>
  <si>
    <t>EAST CORRIDOR (CEILING) — EAST CORRIDOR (CEILING)</t>
  </si>
  <si>
    <t>N.E. CORRIDOR (CEILING) — N.E. CORRIDOR (CEILING)</t>
  </si>
  <si>
    <t>LARGE ADMIN ROOM — LARGE ADMIN ROOM</t>
  </si>
  <si>
    <t>ELEV LOBBY — ELEV LOBBY</t>
  </si>
  <si>
    <t>NORTH CLUB — NORTH CLUB</t>
  </si>
  <si>
    <t>PANTHERS DEN — PANTHERS DEN</t>
  </si>
  <si>
    <t>SOUTH CLUB — SOUTH CLUB</t>
  </si>
  <si>
    <t>RIBBON NW — RIBBON NW</t>
  </si>
  <si>
    <t>RIBBON SW — RIBBON SW</t>
  </si>
  <si>
    <t>SCOREBOARD EAST — SCOREBOARD EAST</t>
  </si>
  <si>
    <t>SCOREBOARD WEST — SCOREBOARD WEST</t>
  </si>
  <si>
    <t>EAST ENTRY A — EAST ENTRY A</t>
  </si>
  <si>
    <t>EAST ENTRY B — EAST ENTRY B</t>
  </si>
  <si>
    <t>EAST ENTRY C — EAST ENTRY C</t>
  </si>
  <si>
    <t>EAST ENTRY D — EAST ENTRY D</t>
  </si>
  <si>
    <t>NORTH EAST EXTERIOR NE — NORTH EAST EXTERIOR NE</t>
  </si>
  <si>
    <t>NORTH ENTRY C — NORTH ENTRY C</t>
  </si>
  <si>
    <t>SOUTH EAST EXTERIOR SE — SOUTH EAST EXTERIOR SE</t>
  </si>
  <si>
    <t>ADDITIONAL COST CENTERS</t>
  </si>
  <si>
    <t>CMS (Content Management System)</t>
  </si>
  <si>
    <t>Scoring System</t>
  </si>
  <si>
    <t>Venue Services</t>
  </si>
  <si>
    <t>Game Clock</t>
  </si>
  <si>
    <t>Pitch Clocks</t>
  </si>
  <si>
    <t>OES / MIS / Timing</t>
  </si>
  <si>
    <t>DMX / Misc Equipment</t>
  </si>
  <si>
    <t>BASE BID GRAND TOTAL</t>
  </si>
  <si>
    <t>Large Format LED — Budget Summary</t>
  </si>
  <si>
    <t>Client | 2026-04-01 | By Category</t>
  </si>
  <si>
    <t>Category</t>
  </si>
  <si>
    <t>Price / SqFt</t>
  </si>
  <si>
    <t>LED Hardware (all displays)</t>
  </si>
  <si>
    <t>Structural Materials</t>
  </si>
  <si>
    <t>Structural Labor &amp; LED Installation</t>
  </si>
  <si>
    <t>Electrical &amp; Data</t>
  </si>
  <si>
    <t>PM / General Conditions / Travel</t>
  </si>
  <si>
    <t>Engineering &amp; Permits</t>
  </si>
  <si>
    <t>SUBTOTAL</t>
  </si>
  <si>
    <t>TAX</t>
  </si>
  <si>
    <t>BOND</t>
  </si>
  <si>
    <t>GRAND TOTAL</t>
  </si>
  <si>
    <t>Large Format LED — LED Cost Sheet</t>
  </si>
  <si>
    <t>LED Margin Override →</t>
  </si>
  <si>
    <t>Display</t>
  </si>
  <si>
    <t>RFP H (ft)</t>
  </si>
  <si>
    <t>RFP W (ft)</t>
  </si>
  <si>
    <t>RFP NITs</t>
  </si>
  <si>
    <t>Vendor</t>
  </si>
  <si>
    <t>Product</t>
  </si>
  <si>
    <t>Pitch</t>
  </si>
  <si>
    <t>H (ft)</t>
  </si>
  <si>
    <t>W (ft)</t>
  </si>
  <si>
    <t>H (px)</t>
  </si>
  <si>
    <t>W (px)</t>
  </si>
  <si>
    <t>Qty</t>
  </si>
  <si>
    <t>Total SqFt</t>
  </si>
  <si>
    <t>Product NITs</t>
  </si>
  <si>
    <t>Service</t>
  </si>
  <si>
    <t>$/SqFt</t>
  </si>
  <si>
    <t>Display Cost</t>
  </si>
  <si>
    <t>Processor</t>
  </si>
  <si>
    <t>Shipping</t>
  </si>
  <si>
    <t>ANC Margin</t>
  </si>
  <si>
    <t>Weight (lbs)</t>
  </si>
  <si>
    <t>Total Power (W)</t>
  </si>
  <si>
    <t>BTU/hr</t>
  </si>
  <si>
    <t>2.5mm Indoor (Nationstar MIP)</t>
  </si>
  <si>
    <t>Front</t>
  </si>
  <si>
    <t>Mesh P10 FM1921 3.9mm Indoor</t>
  </si>
  <si>
    <t>Yaham Aura A10 Perimeter</t>
  </si>
  <si>
    <t>TOTAL (47 displays)</t>
  </si>
  <si>
    <t>Large Format LED — LED Technical Specifications (No Pricing)</t>
  </si>
  <si>
    <t>Technical specifications only — no pricing data. Safe for installer/subcontractor distribution.</t>
  </si>
  <si>
    <t>Display Name</t>
  </si>
  <si>
    <t>Pixel Pitch</t>
  </si>
  <si>
    <t>Height (ft)</t>
  </si>
  <si>
    <t>Width (ft)</t>
  </si>
  <si>
    <t>Pixels H</t>
  </si>
  <si>
    <t>Pixels W</t>
  </si>
  <si>
    <t>Sq Ft</t>
  </si>
  <si>
    <t>Brightness (nits)</t>
  </si>
  <si>
    <t>Fiber Strands</t>
  </si>
  <si>
    <t>indoor</t>
  </si>
  <si>
    <t>outdoor</t>
  </si>
  <si>
    <t>Project Name: Large Format LED</t>
  </si>
  <si>
    <t>Revised By: ANC Proposal Engine</t>
  </si>
  <si>
    <t>Linked Margin Assignment</t>
  </si>
  <si>
    <t>Install Margin</t>
  </si>
  <si>
    <t>Electrical Margin</t>
  </si>
  <si>
    <t>Engineering and Permits</t>
  </si>
  <si>
    <t>FIELD RIBBON NORTH</t>
  </si>
  <si>
    <t>Height</t>
  </si>
  <si>
    <t>Width</t>
  </si>
  <si>
    <t>Total Sq. Ft</t>
  </si>
  <si>
    <t>QTY</t>
  </si>
  <si>
    <t>Structural Materials:</t>
  </si>
  <si>
    <t>Subcontractor 1</t>
  </si>
  <si>
    <t>Subcontractor 2</t>
  </si>
  <si>
    <t>Subcontractor 3</t>
  </si>
  <si>
    <t>Selected</t>
  </si>
  <si>
    <t>Additional Contingency</t>
  </si>
  <si>
    <t>FABRICATE PRIMARY STEEL</t>
  </si>
  <si>
    <t>SUPPLY AND INSTALL PRIMARY PLYWOOD</t>
  </si>
  <si>
    <t>FABRICATE SECONDARY STEEL SUBSTRUCTURE</t>
  </si>
  <si>
    <t>FABRICATE CLADDING AND TRIM</t>
  </si>
  <si>
    <t>OTHER SCOPE ITEM</t>
  </si>
  <si>
    <t>Structural Labor and LED Installation</t>
  </si>
  <si>
    <t>REMOVAL AND DISPOSAL</t>
  </si>
  <si>
    <t>INSTALL SECONDARY STEEL SUBSTRUCTURE</t>
  </si>
  <si>
    <t>INSTALL LED DISPLAYS</t>
  </si>
  <si>
    <t>INSTALL CLADDING AND TRIM</t>
  </si>
  <si>
    <t>HEAVY EQUIPMENT</t>
  </si>
  <si>
    <t>PM/GENERAL CONDITIONS/TRAVEL</t>
  </si>
  <si>
    <t>Electrical and Data - Materials and Subcontracting</t>
  </si>
  <si>
    <t>ELECTRICAL MATERIALS</t>
  </si>
  <si>
    <t>DATA MATERIALS</t>
  </si>
  <si>
    <t>ELECTRICAL LABOR</t>
  </si>
  <si>
    <t>DATA LABOR</t>
  </si>
  <si>
    <t>SUB PANEL</t>
  </si>
  <si>
    <t>MISC</t>
  </si>
  <si>
    <t>Submittals, Engineering, and Permits</t>
  </si>
  <si>
    <t>STRUCTURAL ENGINEERING</t>
  </si>
  <si>
    <t>STRUCTURAL CERTIFICATION</t>
  </si>
  <si>
    <t>ELECTRICAL ENGINEERING</t>
  </si>
  <si>
    <t>ELECTRICAL CERTIFICATION</t>
  </si>
  <si>
    <t>PERMITS</t>
  </si>
  <si>
    <t>ZONE GRAND TOTAL</t>
  </si>
  <si>
    <t>FIELD RIBBON EAST</t>
  </si>
  <si>
    <t>TEAM ROOM</t>
  </si>
  <si>
    <t>FIELD RIBBON WEST</t>
  </si>
  <si>
    <t>INCIDENT COMMAND</t>
  </si>
  <si>
    <t>DEF UNIT</t>
  </si>
  <si>
    <t>NORTH CORRIDOR</t>
  </si>
  <si>
    <t>SOUTH CORRIDOR</t>
  </si>
  <si>
    <t>LARGE ADMIN ROOM</t>
  </si>
  <si>
    <t>ELEV LOBBY</t>
  </si>
  <si>
    <t>NORTH CLUB</t>
  </si>
  <si>
    <t>PANTHERS DEN</t>
  </si>
  <si>
    <t>SOUTH CLUB</t>
  </si>
  <si>
    <t>RIBBON NW</t>
  </si>
  <si>
    <t>RIBBON SW</t>
  </si>
  <si>
    <t>SCOREBOARD EAST</t>
  </si>
  <si>
    <t>SCOREBOARD WEST</t>
  </si>
  <si>
    <t>EAST ENTRY A</t>
  </si>
  <si>
    <t>EAST ENTRY B</t>
  </si>
  <si>
    <t>EAST ENTRY C</t>
  </si>
  <si>
    <t>EAST ENTRY D</t>
  </si>
  <si>
    <t>NORTH EAST EXTERIOR NE</t>
  </si>
  <si>
    <t>NORTH ENTRY C</t>
  </si>
  <si>
    <t>SOUTH EAST EXTERIOR SE</t>
  </si>
  <si>
    <t>Large Format LED — Processor Count</t>
  </si>
  <si>
    <t>Width (px)</t>
  </si>
  <si>
    <t>Height (px)</t>
  </si>
  <si>
    <t>Ports</t>
  </si>
  <si>
    <t>Ports (80%)</t>
  </si>
  <si>
    <t>8-bit Video</t>
  </si>
  <si>
    <t>8-bit (80%)</t>
  </si>
  <si>
    <t>10/12/HDR bit</t>
  </si>
  <si>
    <t>660 Pro</t>
  </si>
  <si>
    <t>MCTRL4K</t>
  </si>
  <si>
    <t>H9 Enhanced</t>
  </si>
  <si>
    <t>DISPLAY PROCESSOR REQUIREMENTS</t>
  </si>
  <si>
    <t>Total Pixels</t>
  </si>
  <si>
    <t>Ports Needed</t>
  </si>
  <si>
    <t>Processor Type</t>
  </si>
  <si>
    <t>Processors Needed</t>
  </si>
  <si>
    <t>TOTAL</t>
  </si>
  <si>
    <t>Large Format LED — Processor &amp; Equipment Breakdown</t>
  </si>
  <si>
    <t>Editable — adjust component costs per display zone. Totals roll into Margin Analysis.</t>
  </si>
  <si>
    <t>Component</t>
  </si>
  <si>
    <t>Margin</t>
  </si>
  <si>
    <t>EQUIPMENT</t>
  </si>
  <si>
    <t>Sending Card</t>
  </si>
  <si>
    <t>Signal Cable Kit</t>
  </si>
  <si>
    <t>UPS Battery Backup</t>
  </si>
  <si>
    <t>Backup Video Processor</t>
  </si>
  <si>
    <t>Zone Subtotal</t>
  </si>
  <si>
    <t>Weatherproof Enclosure Surcharge</t>
  </si>
  <si>
    <t>EQUIPMENT GRAND TOTAL</t>
  </si>
  <si>
    <t>Large Format LED — ANC Travel</t>
  </si>
  <si>
    <t>Travel - Installation</t>
  </si>
  <si>
    <t>Quantity</t>
  </si>
  <si>
    <t>Hotel</t>
  </si>
  <si>
    <t>Airfare</t>
  </si>
  <si>
    <t>Car</t>
  </si>
  <si>
    <t>Per Diem</t>
  </si>
  <si>
    <t>Bundled</t>
  </si>
  <si>
    <t>Account for freelancer</t>
  </si>
  <si>
    <t>Total</t>
  </si>
  <si>
    <t>USD:</t>
  </si>
  <si>
    <t>Travel - Commissioning</t>
  </si>
  <si>
    <t>Game Support</t>
  </si>
  <si>
    <t>Game Day Support</t>
  </si>
  <si>
    <t>Large Format LED — Content Management System</t>
  </si>
  <si>
    <t>CMS Platform</t>
  </si>
  <si>
    <t>All costs require project-specific pricing — update items below based on RFP requirements</t>
  </si>
  <si>
    <t>Item</t>
  </si>
  <si>
    <t>PRIMARY</t>
  </si>
  <si>
    <t>DESIGN &amp; CONTROL SOFTWARE</t>
  </si>
  <si>
    <t>GRAPHICS PLAYBACK ENGINE</t>
  </si>
  <si>
    <t>IMAGE PROCESSING</t>
  </si>
  <si>
    <t>DEDICATED LED ROUTER / SWITCH</t>
  </si>
  <si>
    <t>REDUNDANT</t>
  </si>
  <si>
    <t>STANDARD SERVICES</t>
  </si>
  <si>
    <t>COMMISSIONING</t>
  </si>
  <si>
    <t>EVENT SUPPORT</t>
  </si>
  <si>
    <t>PROJECT MANAGEMENT</t>
  </si>
  <si>
    <t>Integration Hardware</t>
  </si>
  <si>
    <t>Integration Labor</t>
  </si>
  <si>
    <t>Travel</t>
  </si>
  <si>
    <t>CMS TOTAL</t>
  </si>
  <si>
    <t>SUB TOTAL</t>
  </si>
  <si>
    <t>Large Format LED — Scoring System</t>
  </si>
  <si>
    <t>Scoring Platform</t>
  </si>
  <si>
    <t>HARDWARE</t>
  </si>
  <si>
    <t>SCORING CONTROLLER / SERVER</t>
  </si>
  <si>
    <t>OPERATOR WORKSTATION(S)</t>
  </si>
  <si>
    <t>SCOREBOARD INPUT DEVICES</t>
  </si>
  <si>
    <t>SHOT CLOCK / GAME CLOCK INTERFACE</t>
  </si>
  <si>
    <t>STATISTICS INTERFACE</t>
  </si>
  <si>
    <t>SOFTWARE</t>
  </si>
  <si>
    <t>SCORING SOFTWARE LICENSE</t>
  </si>
  <si>
    <t>GRAPHICS / ANIMATION PACKAGE</t>
  </si>
  <si>
    <t>STATISTICS INTEGRATION</t>
  </si>
  <si>
    <t>SERVICES</t>
  </si>
  <si>
    <t>TRAINING</t>
  </si>
  <si>
    <t>SCORING TOTAL</t>
  </si>
  <si>
    <t>Large Format LED — Venue Services</t>
  </si>
  <si>
    <t>Multi-year service contract calculator</t>
  </si>
  <si>
    <t>Contract Years</t>
  </si>
  <si>
    <t>Editable service term</t>
  </si>
  <si>
    <t>Year 1 Cost</t>
  </si>
  <si>
    <t>Base annual contract value</t>
  </si>
  <si>
    <t>Annual Escalation %</t>
  </si>
  <si>
    <t>Applied to each renewal year</t>
  </si>
  <si>
    <t>Target service-contract margin</t>
  </si>
  <si>
    <t>Year</t>
  </si>
  <si>
    <t>Notes</t>
  </si>
  <si>
    <t>Escalated annual term</t>
  </si>
  <si>
    <t>VENUE SERVICES TOTAL</t>
  </si>
  <si>
    <t>Large Format LED — Additional Non-LED Items</t>
  </si>
  <si>
    <t>GAME CLOCK</t>
  </si>
  <si>
    <t>Six-Digit Game Clocks</t>
  </si>
  <si>
    <t>PITCH CLOCK</t>
  </si>
  <si>
    <t>OES / MIS</t>
  </si>
  <si>
    <t>ADDITIONAL ITEMS TOTAL</t>
  </si>
  <si>
    <t>Project: Large Format LED</t>
  </si>
  <si>
    <t>Date: 4/1/2026</t>
  </si>
  <si>
    <t>Administrative</t>
  </si>
  <si>
    <t>ANC</t>
  </si>
  <si>
    <t>Purchaser</t>
  </si>
  <si>
    <t>Provide accurate architectural, structural engineering, and AV drawings.</t>
  </si>
  <si>
    <t>X</t>
  </si>
  <si>
    <t>Provide Payment and Performance Bond.</t>
  </si>
  <si>
    <t>NA</t>
  </si>
  <si>
    <t>All required zoning, building, street or sidewalk permits.</t>
  </si>
  <si>
    <t>Shipping of all equipment to site.</t>
  </si>
  <si>
    <t>Receive, unload, and inspect all new equipment upon arrival.</t>
  </si>
  <si>
    <t>Provide safe storage of video equipment and control room.</t>
  </si>
  <si>
    <t>Unobstructed access to equipment and control room.</t>
  </si>
  <si>
    <t>Engineering &amp; Submittals</t>
  </si>
  <si>
    <t>Customer responsible to ensure existing structure supports new equipment.</t>
  </si>
  <si>
    <t>Provide mechanical drawings, electrical drawings, and load calculations.</t>
  </si>
  <si>
    <t>Engineering and certification for new equipment attachments.</t>
  </si>
  <si>
    <t>Provide approval of all mechanical/electrical drawings.</t>
  </si>
  <si>
    <t>Responsible to ensure structural integrity of existing conditions.</t>
  </si>
  <si>
    <t>Physical Installation</t>
  </si>
  <si>
    <t>ANC assumes all base building structure is provided by others.</t>
  </si>
  <si>
    <t>Include Statement</t>
  </si>
  <si>
    <t>ANC has included removal and disposal of existing equipment.</t>
  </si>
  <si>
    <t>ANC assumes reasonable access will be provided to the work area.</t>
  </si>
  <si>
    <t>Fabricate, deliver, and install support structure.</t>
  </si>
  <si>
    <t>Provide &amp; Install LED components.</t>
  </si>
  <si>
    <t>Provide all required Floor/Site Protection.</t>
  </si>
  <si>
    <t>Electrical &amp; Data Installation</t>
  </si>
  <si>
    <t>Submit electrical engineering drawings.</t>
  </si>
  <si>
    <t>Provide primary power feed to each display location.</t>
  </si>
  <si>
    <t>Provide secondary electrical panels and/or remote disconnects.</t>
  </si>
  <si>
    <t>Furnish signal cables as specified by ANC.</t>
  </si>
  <si>
    <t>Provide and install signal cable conduit.</t>
  </si>
  <si>
    <t>Labor to pull signal cable.</t>
  </si>
  <si>
    <t>Terminate signal cable at control system equipment.</t>
  </si>
  <si>
    <t>Mount and install data patch panel.</t>
  </si>
  <si>
    <t>Provide high speed internet connection to control room.</t>
  </si>
  <si>
    <t>Control System</t>
  </si>
  <si>
    <t>ANC has provided display processors only.</t>
  </si>
  <si>
    <t>Provide climate controlled control room.</t>
  </si>
  <si>
    <t>Supply static IP address five (5) days prior to installation.</t>
  </si>
  <si>
    <t>Training</t>
  </si>
  <si>
    <t>Provide appropriate on-site operation and maintenance training.</t>
  </si>
  <si>
    <t>Provide sign off list for all training.</t>
  </si>
  <si>
    <t>Perform one (1) day of maintenance training.</t>
  </si>
  <si>
    <t>Perform final systems testing and commissioning.</t>
  </si>
  <si>
    <t>General Conditions</t>
  </si>
  <si>
    <t>ANC has provided a parts only warranty, excluding labor.</t>
  </si>
  <si>
    <t>ANC has included installation pricing with prevailing labor rates.</t>
  </si>
  <si>
    <t>ANC has not included bonding of any kind.</t>
  </si>
  <si>
    <t>ANC has not included any tax in the proposal.</t>
  </si>
  <si>
    <t>Shipping included in quoted pricing.</t>
  </si>
  <si>
    <t>Large Format LED — P&amp;L</t>
  </si>
  <si>
    <t>Project #:</t>
  </si>
  <si>
    <t>50/20/20/10</t>
  </si>
  <si>
    <t>PROJECTS BUDGET</t>
  </si>
  <si>
    <t>CONTRACT BUDGET</t>
  </si>
  <si>
    <t>Revenue</t>
  </si>
  <si>
    <t>Budgeted Cost</t>
  </si>
  <si>
    <t>Base Contract</t>
  </si>
  <si>
    <t>TOTAL BASE CONTRACT</t>
  </si>
  <si>
    <t>Change Orders</t>
  </si>
  <si>
    <t>Total Change Order(s) Amount</t>
  </si>
  <si>
    <t>Grand Total</t>
  </si>
  <si>
    <t>Cost Category</t>
  </si>
  <si>
    <t>Budget</t>
  </si>
  <si>
    <t>Committed POs</t>
  </si>
  <si>
    <t>Budget Remaining</t>
  </si>
  <si>
    <t>LED</t>
  </si>
  <si>
    <t>Install</t>
  </si>
  <si>
    <t>Electrical</t>
  </si>
  <si>
    <t>ANC Travel</t>
  </si>
  <si>
    <t>Structural Engineering</t>
  </si>
  <si>
    <t>Electrical Engineering</t>
  </si>
  <si>
    <t>CMS</t>
  </si>
  <si>
    <t>Parts/Labor</t>
  </si>
  <si>
    <t>Tax</t>
  </si>
  <si>
    <t>Bond</t>
  </si>
  <si>
    <t>BASE CONTRACT TOTAL</t>
  </si>
  <si>
    <t>Large Format LED — Cash Flow</t>
  </si>
  <si>
    <t>Payment Terms: 50/20/20/10</t>
  </si>
  <si>
    <t>Payment Phases</t>
  </si>
  <si>
    <t>Contract Signed</t>
  </si>
  <si>
    <t>Product Shipping</t>
  </si>
  <si>
    <t>Substantial Completion</t>
  </si>
  <si>
    <t>Sign Off</t>
  </si>
  <si>
    <t>Percentages</t>
  </si>
  <si>
    <t>Contract Award Date</t>
  </si>
  <si>
    <t>TBD</t>
  </si>
  <si>
    <t>Scheduled Completion</t>
  </si>
  <si>
    <t>Expenses</t>
  </si>
  <si>
    <t>Gross Profit</t>
  </si>
  <si>
    <t>Gross Profit %</t>
  </si>
  <si>
    <t>Budget Tracking (+/-)</t>
  </si>
  <si>
    <t>Month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</si>
  <si>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</si>
  <si>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</si>
  <si>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</si>
  <si>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</si>
  <si>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</si>
  <si>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</si>
  <si>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</si>
  <si>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</si>
  <si>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</si>
  <si>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</si>
  <si>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Amount</t>
  </si>
  <si>
    <t>Date Submitted</t>
  </si>
  <si>
    <t>Total Revenue</t>
  </si>
  <si>
    <t>Large Format LED — Purchase Orders</t>
  </si>
  <si>
    <t>PO Number</t>
  </si>
  <si>
    <t>Title / Description</t>
  </si>
  <si>
    <t>Original Contract Amount</t>
  </si>
  <si>
    <t>10mm Mesh P10 (Nitxeon)</t>
  </si>
  <si>
    <t>Nitxeon</t>
  </si>
  <si>
    <t>Nationstar</t>
  </si>
  <si>
    <t>4mm Indoor (Nitxeon)</t>
  </si>
  <si>
    <t>C1.2-MIP 1.2mm Indoor (Alt)</t>
  </si>
  <si>
    <t>LG/Yaham</t>
  </si>
  <si>
    <t>C1.8-MIP 1.8mm Indoor/VisiBowl (Alt)</t>
  </si>
  <si>
    <t>LG LSCA015 1.5mm Indoor Fine Pitch</t>
  </si>
  <si>
    <t>LG</t>
  </si>
  <si>
    <t>LG LSCA039 3.91mm Indoor Ceiling</t>
  </si>
  <si>
    <t>LG LSCB025 2.5mm Indoor Wall</t>
  </si>
  <si>
    <t>LG LSGA039 3.9mm Indoor Wall</t>
  </si>
  <si>
    <t>Yaham</t>
  </si>
  <si>
    <t>Yaham Corona C10 Indoor</t>
  </si>
  <si>
    <t>Yaham Corona C2.5-MIP Indoor</t>
  </si>
  <si>
    <t>Yaham Corona C4 Indoor</t>
  </si>
  <si>
    <t>Yaham Corona C6 Indoor</t>
  </si>
  <si>
    <t>Yaham Halo H10T Fascia Indoor</t>
  </si>
  <si>
    <t>Yaham Halo HO10T Fascia Outdoor</t>
  </si>
  <si>
    <t>Yaham Halo HO6T Fascia Outdoor</t>
  </si>
  <si>
    <t>Yaham Radiance R10 Outdoor</t>
  </si>
  <si>
    <t>Yaham Radiance R2.5-MIP Outdoor</t>
  </si>
  <si>
    <t>Yaham Radiance R4 Outdoor</t>
  </si>
  <si>
    <t>Yaham Radiance R6 Outdoor</t>
  </si>
  <si>
    <t>Yaham Radiance R8 Outdoor</t>
  </si>
  <si>
    <t>S.E. CORRIDOR (CEILING)</t>
  </si>
  <si>
    <t>EAST CORRIDOR (CEILING)</t>
  </si>
  <si>
    <t>N.E. CORRIDOR (CEILING)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</si>
</sst>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$&quot;#,##0"/>
    <numFmt numFmtId="166" formatCode="0.0##&quot;mm&quot;"/>
    <numFmt numFmtId="167" formatCode="0.0"/>
  </numFmts>
  <fonts count="19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color rgb="FF666666"/>
      <sz val="10"/>
      <name val="Calibri"/>
    </font>
    <font>
      <b/>
      <color rgb="FFFFFFFF"/>
      <sz val="11"/>
      <name val="Calibri"/>
    </font>
    <font>
      <b/>
      <sz val="10"/>
      <name val="Calibri"/>
    </font>
    <font>
      <sz val="10"/>
      <name val="Calibri"/>
    </font>
    <font>
      <b/>
      <color rgb="FFFFFFFF"/>
      <sz val="12"/>
      <name val="Calibri"/>
    </font>
    <font>
      <b/>
      <sz val="11"/>
      <name val="Calibri"/>
    </font>
    <font>
      <b/>
      <name val="Calibri"/>
    </font>
    <font>
      <b/>
      <sz val="12"/>
      <name val="Calibri"/>
    </font>
    <font>
      <b/>
      <color rgb="FF1F2937"/>
      <sz val="10"/>
      <name val="Calibri"/>
    </font>
    <font>
      <i/>
      <color rgb="FF999999"/>
      <sz val="9"/>
      <name val="Calibri"/>
    </font>
    <font>
      <i/>
      <color rgb="FFCC0000"/>
      <sz val="10"/>
      <name val="Calibri"/>
    </font>
    <font>
      <b/>
      <color rgb="FFFFFFFF"/>
      <name val="Calibri"/>
    </font>
    <font>
      <i/>
      <color rgb="FFDEE2E6"/>
      <sz val="10"/>
      <name val="Calibri"/>
    </font>
    <font>
      <b/>
      <sz val="14"/>
      <name val="Calibri"/>
    </font>
    <font>
      <color rgb="FF666666"/>
      <name val="Calibri"/>
    </font>
    <font>
      <b/>
      <color rgb="FF666666"/>
      <name val="Calibri"/>
    </font>
    <font>
      <b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A52EF"/>
      </patternFill>
    </fill>
    <fill>
      <patternFill patternType="solid">
        <fgColor rgb="FFF8F9FA"/>
      </patternFill>
    </fill>
    <fill>
      <patternFill patternType="solid">
        <fgColor rgb="FF1F2937"/>
      </patternFill>
    </fill>
    <fill>
      <patternFill patternType="solid">
        <fgColor rgb="FFFFF8E1"/>
      </patternFill>
    </fill>
    <fill>
      <patternFill patternType="solid">
        <fgColor rgb="FF28A745"/>
      </patternFill>
    </fill>
    <fill>
      <patternFill patternType="solid">
        <fgColor rgb="FFDEE2E6"/>
      </patternFill>
    </fill>
    <fill>
      <patternFill patternType="solid">
        <fgColor rgb="FFFFFF00"/>
      </patternFill>
    </fill>
    <fill>
      <patternFill patternType="solid">
        <fgColor rgb="FFD4EDDA"/>
      </patternFill>
    </fill>
  </fills>
  <borders count="7">
    <border>
      <left/>
      <right/>
      <top/>
      <bottom/>
      <diagonal/>
    </border>
    <border>
      <left/>
      <right/>
      <top/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medium">
        <color rgb="FF0A52EF"/>
      </bottom>
      <diagonal/>
    </border>
    <border>
      <left/>
      <right/>
      <top style="medium">
        <color rgb="FF1F2937"/>
      </top>
      <bottom style="medium">
        <color rgb="FF1F293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999999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4" fillId="3" borderId="0" xfId="0" applyFont="1" applyFill="1"/>
    <xf numFmtId="0" fontId="5" fillId="3" borderId="0" xfId="0" applyFont="1" applyFill="1"/>
    <xf numFmtId="164" fontId="5" fillId="3" borderId="0" xfId="0" applyNumberFormat="1" applyFont="1" applyFill="1"/>
    <xf numFmtId="164" fontId="5" fillId="0" borderId="0" xfId="0" applyNumberFormat="1" applyFont="1"/>
    <xf numFmtId="165" fontId="5" fillId="0" borderId="0" xfId="0" applyNumberFormat="1" applyFont="1"/>
    <xf numFmtId="0" fontId="6" fillId="2" borderId="0" xfId="0" applyFont="1" applyFill="1"/>
    <xf numFmtId="165" fontId="6" fillId="2" borderId="0" xfId="0" applyNumberFormat="1" applyFont="1" applyFill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2" fillId="0" borderId="0" xfId="0" applyFont="1"/>
    <xf numFmtId="165" fontId="2" fillId="0" borderId="0" xfId="0" applyNumberFormat="1" applyFont="1"/>
    <xf numFmtId="164" fontId="2" fillId="0" borderId="0" xfId="0" applyNumberFormat="1" applyFont="1"/>
    <xf numFmtId="165" fontId="4" fillId="0" borderId="0" xfId="0" applyNumberFormat="1" applyFont="1"/>
    <xf numFmtId="164" fontId="4" fillId="0" borderId="0" xfId="0" applyNumberFormat="1" applyFont="1"/>
    <xf numFmtId="165" fontId="0" fillId="0" borderId="0" xfId="0" applyNumberFormat="1"/>
    <xf numFmtId="164" fontId="0" fillId="5" borderId="2" xfId="0" applyNumberFormat="1" applyFill="1" applyBorder="1"/>
    <xf numFmtId="0" fontId="7" fillId="0" borderId="3" xfId="0" applyFont="1" applyBorder="1"/>
    <xf numFmtId="165" fontId="8" fillId="0" borderId="3" xfId="0" applyNumberFormat="1" applyFont="1" applyBorder="1"/>
    <xf numFmtId="164" fontId="8" fillId="0" borderId="3" xfId="0" applyNumberFormat="1" applyFont="1" applyBorder="1"/>
    <xf numFmtId="0" fontId="3" fillId="4" borderId="1" xfId="0" applyFont="1" applyFill="1" applyBorder="1" applyAlignment="1">
      <alignment horizontal="center" vertical="center" wrapText="1"/>
    </xf>
    <xf numFmtId="0" fontId="8" fillId="0" borderId="0" xfId="0" applyFont="1"/>
    <xf numFmtId="164" fontId="0" fillId="0" borderId="0" xfId="0" applyNumberFormat="1"/>
    <xf numFmtId="0" fontId="7" fillId="2" borderId="4" xfId="0" applyFont="1" applyFill="1" applyBorder="1"/>
    <xf numFmtId="0" fontId="6" fillId="2" borderId="4" xfId="0" applyFont="1" applyFill="1" applyBorder="1"/>
    <xf numFmtId="165" fontId="6" fillId="2" borderId="4" xfId="0" applyNumberFormat="1" applyFont="1" applyFill="1" applyBorder="1"/>
    <xf numFmtId="164" fontId="6" fillId="2" borderId="4" xfId="0" applyNumberFormat="1" applyFont="1" applyFill="1" applyBorder="1"/>
    <xf numFmtId="0" fontId="3" fillId="6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64" fontId="0" fillId="3" borderId="0" xfId="0" applyNumberFormat="1" applyFill="1"/>
    <xf numFmtId="0" fontId="7" fillId="7" borderId="4" xfId="0" applyFont="1" applyFill="1" applyBorder="1"/>
    <xf numFmtId="165" fontId="7" fillId="7" borderId="4" xfId="0" applyNumberFormat="1" applyFont="1" applyFill="1" applyBorder="1"/>
    <xf numFmtId="164" fontId="7" fillId="7" borderId="4" xfId="0" applyNumberFormat="1" applyFont="1" applyFill="1" applyBorder="1"/>
    <xf numFmtId="0" fontId="7" fillId="0" borderId="0" xfId="0" applyFont="1" applyAlignment="1">
      <alignment horizontal="right" vertical="center"/>
    </xf>
    <xf numFmtId="164" fontId="9" fillId="8" borderId="5" xfId="0" applyNumberFormat="1" applyFont="1" applyFill="1" applyBorder="1" applyAlignment="1">
      <alignment horizontal="center" vertical="center"/>
    </xf>
    <xf numFmtId="0" fontId="8" fillId="3" borderId="0" xfId="0" applyFont="1" applyFill="1"/>
    <xf numFmtId="2" fontId="0" fillId="3" borderId="0" xfId="0" applyNumberFormat="1" applyFill="1"/>
    <xf numFmtId="166" fontId="0" fillId="3" borderId="0" xfId="0" applyNumberFormat="1" applyFill="1" applyAlignment="1">
      <alignment horizontal="center"/>
    </xf>
    <xf numFmtId="1" fontId="0" fillId="3" borderId="0" xfId="0" applyNumberFormat="1" applyFill="1"/>
    <xf numFmtId="1" fontId="0" fillId="3" borderId="0" xfId="0" applyNumberFormat="1" applyFill="1" applyAlignment="1">
      <alignment horizontal="center"/>
    </xf>
    <xf numFmtId="3" fontId="0" fillId="3" borderId="0" xfId="0" applyNumberFormat="1" applyFill="1"/>
    <xf numFmtId="0" fontId="0" fillId="3" borderId="0" xfId="0" applyFill="1" applyAlignment="1">
      <alignment horizontal="center"/>
    </xf>
    <xf numFmtId="165" fontId="8" fillId="3" borderId="0" xfId="0" applyNumberFormat="1" applyFont="1" applyFill="1"/>
    <xf numFmtId="2" fontId="0" fillId="0" borderId="0" xfId="0" applyNumberFormat="1"/>
    <xf numFmtId="166" fontId="0" fillId="0" borderId="0" xfId="0" applyNumberFormat="1" applyAlignment="1">
      <alignment horizontal="center"/>
    </xf>
    <xf numFmtId="1" fontId="0" fillId="0" borderId="0" xfId="0" applyNumberFormat="1"/>
    <xf numFmtId="1" fontId="0" fillId="0" borderId="0" xfId="0" applyNumberFormat="1" applyAlignment="1">
      <alignment horizontal="center"/>
    </xf>
    <xf numFmtId="3" fontId="0" fillId="0" borderId="0" xfId="0" applyNumberFormat="1"/>
    <xf numFmtId="0" fontId="0" fillId="0" borderId="0" xfId="0" applyAlignment="1">
      <alignment horizontal="center"/>
    </xf>
    <xf numFmtId="165" fontId="8" fillId="0" borderId="0" xfId="0" applyNumberFormat="1" applyFont="1"/>
    <xf numFmtId="0" fontId="7" fillId="9" borderId="4" xfId="0" applyFont="1" applyFill="1" applyBorder="1"/>
    <xf numFmtId="3" fontId="7" fillId="9" borderId="4" xfId="0" applyNumberFormat="1" applyFont="1" applyFill="1" applyBorder="1"/>
    <xf numFmtId="165" fontId="7" fillId="9" borderId="4" xfId="0" applyNumberFormat="1" applyFont="1" applyFill="1" applyBorder="1"/>
    <xf numFmtId="164" fontId="7" fillId="9" borderId="4" xfId="0" applyNumberFormat="1" applyFont="1" applyFill="1" applyBorder="1"/>
    <xf numFmtId="0" fontId="10" fillId="7" borderId="1" xfId="0" applyFont="1" applyFill="1" applyBorder="1" applyAlignment="1">
      <alignment horizontal="center" vertical="center" wrapText="1"/>
    </xf>
    <xf numFmtId="167" fontId="0" fillId="3" borderId="0" xfId="0" applyNumberFormat="1" applyFill="1"/>
    <xf numFmtId="167" fontId="0" fillId="0" borderId="0" xfId="0" applyNumberFormat="1"/>
    <xf numFmtId="0" fontId="7" fillId="0" borderId="0" xfId="0" applyFont="1"/>
    <xf numFmtId="0" fontId="9" fillId="0" borderId="0" xfId="0" applyFont="1"/>
    <xf numFmtId="4" fontId="0" fillId="0" borderId="0" xfId="0" applyNumberFormat="1"/>
    <xf numFmtId="165" fontId="0" fillId="3" borderId="2" xfId="0" applyNumberFormat="1" applyFill="1" applyBorder="1"/>
    <xf numFmtId="165" fontId="0" fillId="5" borderId="2" xfId="0" applyNumberFormat="1" applyFill="1" applyBorder="1"/>
    <xf numFmtId="0" fontId="8" fillId="0" borderId="6" xfId="0" applyFont="1" applyBorder="1"/>
    <xf numFmtId="165" fontId="8" fillId="0" borderId="6" xfId="0" applyNumberFormat="1" applyFont="1" applyBorder="1"/>
    <xf numFmtId="164" fontId="0" fillId="3" borderId="2" xfId="0" applyNumberFormat="1" applyFill="1" applyBorder="1"/>
    <xf numFmtId="165" fontId="7" fillId="2" borderId="4" xfId="0" applyNumberFormat="1" applyFont="1" applyFill="1" applyBorder="1"/>
    <xf numFmtId="0" fontId="0" fillId="3" borderId="2" xfId="0" applyFill="1" applyBorder="1"/>
    <xf numFmtId="0" fontId="11" fillId="0" borderId="0" xfId="0" applyFont="1"/>
    <xf numFmtId="0" fontId="0" fillId="5" borderId="2" xfId="0" applyFill="1" applyBorder="1"/>
    <xf numFmtId="0" fontId="12" fillId="0" borderId="0" xfId="0" applyFont="1"/>
    <xf numFmtId="0" fontId="13" fillId="2" borderId="4" xfId="0" applyFont="1" applyFill="1" applyBorder="1"/>
    <xf numFmtId="165" fontId="13" fillId="2" borderId="4" xfId="0" applyNumberFormat="1" applyFont="1" applyFill="1" applyBorder="1"/>
    <xf numFmtId="0" fontId="14" fillId="0" borderId="0" xfId="0" applyFont="1"/>
    <xf numFmtId="0" fontId="15" fillId="0" borderId="0" xfId="0" applyFont="1"/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/>
    </xf>
    <xf numFmtId="0" fontId="5" fillId="3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16" fillId="0" borderId="0" xfId="0" applyFont="1"/>
    <xf numFmtId="0" fontId="17" fillId="0" borderId="0" xfId="0" applyFont="1"/>
    <xf numFmtId="0" fontId="1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62.xml"/><Relationship Id="rId6" Type="http://schemas.openxmlformats.org/officeDocument/2006/relationships/worksheet" Target="worksheets/sheet63.xml"/><Relationship Id="rId7" Type="http://schemas.openxmlformats.org/officeDocument/2006/relationships/worksheet" Target="worksheets/sheet2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12.xml"/><Relationship Id="rId17" Type="http://schemas.openxmlformats.org/officeDocument/2006/relationships/worksheet" Target="worksheets/sheet18.xml"/><Relationship Id="rId18" Type="http://schemas.openxmlformats.org/officeDocument/2006/relationships/worksheet" Target="worksheets/sheet19.xml"/><Relationship Id="rId19" Type="http://schemas.openxmlformats.org/officeDocument/2006/relationships/worksheet" Target="worksheets/sheet20.xml"/><Relationship Id="rId20" Type="http://schemas.openxmlformats.org/officeDocument/2006/relationships/worksheet" Target="worksheets/sheet21.xml"/><Relationship Id="rId21" Type="http://schemas.openxmlformats.org/officeDocument/2006/relationships/worksheet" Target="worksheets/sheet22.xml"/><Relationship Id="rId22" Type="http://schemas.openxmlformats.org/officeDocument/2006/relationships/worksheet" Target="worksheets/sheet23.xml"/><Relationship Id="rId23" Type="http://schemas.openxmlformats.org/officeDocument/2006/relationships/worksheet" Target="worksheets/sheet24.xml"/><Relationship Id="rId24" Type="http://schemas.openxmlformats.org/officeDocument/2006/relationships/worksheet" Target="worksheets/sheet25.xml"/><Relationship Id="rId25" Type="http://schemas.openxmlformats.org/officeDocument/2006/relationships/worksheet" Target="worksheets/sheet26.xml"/><Relationship Id="rId26" Type="http://schemas.openxmlformats.org/officeDocument/2006/relationships/worksheet" Target="worksheets/sheet27.xml"/><Relationship Id="rId27" Type="http://schemas.openxmlformats.org/officeDocument/2006/relationships/worksheet" Target="worksheets/sheet28.xml"/><Relationship Id="rId28" Type="http://schemas.openxmlformats.org/officeDocument/2006/relationships/worksheet" Target="worksheets/sheet29.xml"/><Relationship Id="rId29" Type="http://schemas.openxmlformats.org/officeDocument/2006/relationships/worksheet" Target="worksheets/sheet30.xml"/><Relationship Id="rId30" Type="http://schemas.openxmlformats.org/officeDocument/2006/relationships/worksheet" Target="worksheets/sheet31.xml"/><Relationship Id="rId31" Type="http://schemas.openxmlformats.org/officeDocument/2006/relationships/worksheet" Target="worksheets/sheet32.xml"/><Relationship Id="rId32" Type="http://schemas.openxmlformats.org/officeDocument/2006/relationships/worksheet" Target="worksheets/sheet33.xml"/><Relationship Id="rId33" Type="http://schemas.openxmlformats.org/officeDocument/2006/relationships/worksheet" Target="worksheets/sheet34.xml"/><Relationship Id="rId34" Type="http://schemas.openxmlformats.org/officeDocument/2006/relationships/worksheet" Target="worksheets/sheet35.xml"/><Relationship Id="rId35" Type="http://schemas.openxmlformats.org/officeDocument/2006/relationships/worksheet" Target="worksheets/sheet36.xml"/><Relationship Id="rId36" Type="http://schemas.openxmlformats.org/officeDocument/2006/relationships/worksheet" Target="worksheets/sheet37.xml"/><Relationship Id="rId37" Type="http://schemas.openxmlformats.org/officeDocument/2006/relationships/worksheet" Target="worksheets/sheet38.xml"/><Relationship Id="rId38" Type="http://schemas.openxmlformats.org/officeDocument/2006/relationships/worksheet" Target="worksheets/sheet39.xml"/><Relationship Id="rId39" Type="http://schemas.openxmlformats.org/officeDocument/2006/relationships/worksheet" Target="worksheets/sheet40.xml"/><Relationship Id="rId40" Type="http://schemas.openxmlformats.org/officeDocument/2006/relationships/worksheet" Target="worksheets/sheet41.xml"/><Relationship Id="rId41" Type="http://schemas.openxmlformats.org/officeDocument/2006/relationships/worksheet" Target="worksheets/sheet42.xml"/><Relationship Id="rId42" Type="http://schemas.openxmlformats.org/officeDocument/2006/relationships/worksheet" Target="worksheets/sheet43.xml"/><Relationship Id="rId43" Type="http://schemas.openxmlformats.org/officeDocument/2006/relationships/worksheet" Target="worksheets/sheet44.xml"/><Relationship Id="rId44" Type="http://schemas.openxmlformats.org/officeDocument/2006/relationships/worksheet" Target="worksheets/sheet45.xml"/><Relationship Id="rId45" Type="http://schemas.openxmlformats.org/officeDocument/2006/relationships/worksheet" Target="worksheets/sheet46.xml"/><Relationship Id="rId46" Type="http://schemas.openxmlformats.org/officeDocument/2006/relationships/worksheet" Target="worksheets/sheet47.xml"/><Relationship Id="rId47" Type="http://schemas.openxmlformats.org/officeDocument/2006/relationships/worksheet" Target="worksheets/sheet48.xml"/><Relationship Id="rId48" Type="http://schemas.openxmlformats.org/officeDocument/2006/relationships/worksheet" Target="worksheets/sheet49.xml"/><Relationship Id="rId49" Type="http://schemas.openxmlformats.org/officeDocument/2006/relationships/worksheet" Target="worksheets/sheet50.xml"/><Relationship Id="rId50" Type="http://schemas.openxmlformats.org/officeDocument/2006/relationships/worksheet" Target="worksheets/sheet51.xml"/><Relationship Id="rId51" Type="http://schemas.openxmlformats.org/officeDocument/2006/relationships/worksheet" Target="worksheets/sheet52.xml"/><Relationship Id="rId52" Type="http://schemas.openxmlformats.org/officeDocument/2006/relationships/worksheet" Target="worksheets/sheet53.xml"/><Relationship Id="rId53" Type="http://schemas.openxmlformats.org/officeDocument/2006/relationships/worksheet" Target="worksheets/sheet54.xml"/><Relationship Id="rId54" Type="http://schemas.openxmlformats.org/officeDocument/2006/relationships/worksheet" Target="worksheets/sheet55.xml"/><Relationship Id="rId55" Type="http://schemas.openxmlformats.org/officeDocument/2006/relationships/worksheet" Target="worksheets/sheet56.xml"/><Relationship Id="rId56" Type="http://schemas.openxmlformats.org/officeDocument/2006/relationships/worksheet" Target="worksheets/sheet57.xml"/><Relationship Id="rId57" Type="http://schemas.openxmlformats.org/officeDocument/2006/relationships/worksheet" Target="worksheets/sheet58.xml"/><Relationship Id="rId58" Type="http://schemas.openxmlformats.org/officeDocument/2006/relationships/worksheet" Target="worksheets/sheet59.xml"/><Relationship Id="rId59" Type="http://schemas.openxmlformats.org/officeDocument/2006/relationships/worksheet" Target="worksheets/sheet60.xml"/><Relationship Id="rId60" Type="http://schemas.openxmlformats.org/officeDocument/2006/relationships/worksheet" Target="worksheets/sheet61.xml"/><Relationship Id="rId61" Type="http://schemas.openxmlformats.org/officeDocument/2006/relationships/worksheet" Target="worksheets/sheet64.xml"/><Relationship Id="rId62" Type="http://schemas.openxmlformats.org/officeDocument/2006/relationships/worksheet" Target="worksheets/sheet3.xml"/><Relationship Id="rId63" Type="http://schemas.openxmlformats.org/officeDocument/2006/relationships/worksheet" Target="worksheets/sheet13.xml"/><Relationship Id="rId64" Type="http://schemas.openxmlformats.org/officeDocument/2006/relationships/worksheet" Target="worksheets/sheet14.xml"/><Relationship Id="rId65" Type="http://schemas.openxmlformats.org/officeDocument/2006/relationships/worksheet" Target="worksheets/sheet15.xml"/><Relationship Id="rId66" Type="http://schemas.openxmlformats.org/officeDocument/2006/relationships/worksheet" Target="worksheets/sheet16.xml"/><Relationship Id="rId67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2937"/>
  </sheetPr>
  <dimension ref="A1:C30"/>
  <sheetFormatPr defaultRowHeight="15" outlineLevelRow="0" outlineLevelCol="0" x14ac:dyDescent="55"/>
  <cols>
    <col min="1" max="1" width="4" customWidth="1"/>
    <col min="2" max="2" width="36" customWidth="1"/>
    <col min="3" max="3" width="30" customWidth="1"/>
  </cols>
  <sheetData>
    <row r="1" ht="36" customHeight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4" spans="2:3" x14ac:dyDescent="0.25">
      <c r="B4" s="3" t="s">
        <v>2</v>
      </c>
      <c r="C4" s="3"/>
    </row>
    <row r="5" spans="2:3" x14ac:dyDescent="0.25">
      <c r="B5" s="4" t="s">
        <v>3</v>
      </c>
      <c r="C5" s="5" t="s">
        <v>3</v>
      </c>
    </row>
    <row r="6" spans="2:3" x14ac:dyDescent="0.25">
      <c r="B6" s="6" t="s">
        <v>4</v>
      </c>
      <c r="C6" s="7" t="s">
        <v>5</v>
      </c>
    </row>
    <row r="7" spans="2:3" x14ac:dyDescent="0.25">
      <c r="B7" s="4" t="s">
        <v>6</v>
      </c>
      <c r="C7" s="5" t="s">
        <v>5</v>
      </c>
    </row>
    <row r="8" spans="2:3" x14ac:dyDescent="0.25">
      <c r="B8" s="6" t="s">
        <v>7</v>
      </c>
      <c r="C8" s="7" t="s">
        <v>8</v>
      </c>
    </row>
    <row r="9" spans="2:3" x14ac:dyDescent="0.25">
      <c r="B9" s="4" t="s">
        <v>9</v>
      </c>
      <c r="C9" s="5" t="s">
        <v>10</v>
      </c>
    </row>
    <row r="10" spans="2:3" x14ac:dyDescent="0.25">
      <c r="B10" s="6" t="s">
        <v>11</v>
      </c>
      <c r="C10" s="7" t="s">
        <v>12</v>
      </c>
    </row>
    <row r="11" spans="2:3" x14ac:dyDescent="0.25">
      <c r="B11" s="4" t="s">
        <v>13</v>
      </c>
      <c r="C11" s="5" t="s">
        <v>14</v>
      </c>
    </row>
    <row r="12" spans="2:3" x14ac:dyDescent="0.25">
      <c r="B12" s="6" t="s">
        <v>15</v>
      </c>
      <c r="C12" s="7" t="s">
        <v>14</v>
      </c>
    </row>
    <row r="13" spans="2:3" x14ac:dyDescent="0.25">
      <c r="B13" s="4" t="s">
        <v>16</v>
      </c>
      <c r="C13" s="5">
        <f>SUM('LED Cost Sheet'!I4:I50)</f>
        <v>47</v>
      </c>
    </row>
    <row r="15" spans="2:3" x14ac:dyDescent="0.25">
      <c r="B15" s="3" t="s">
        <v>17</v>
      </c>
      <c r="C15" s="3"/>
    </row>
    <row r="16" spans="2:3" x14ac:dyDescent="0.25">
      <c r="B16" s="6" t="s">
        <v>18</v>
      </c>
      <c r="C16" s="8">
        <v>0.15</v>
      </c>
    </row>
    <row r="17" spans="2:3" x14ac:dyDescent="0.25">
      <c r="B17" s="4" t="s">
        <v>19</v>
      </c>
      <c r="C17" s="9">
        <v>0.15</v>
      </c>
    </row>
    <row r="18" spans="2:3" x14ac:dyDescent="0.25">
      <c r="B18" s="6" t="s">
        <v>20</v>
      </c>
      <c r="C18" s="8">
        <v>0.15</v>
      </c>
    </row>
    <row r="19" spans="2:3" x14ac:dyDescent="0.25">
      <c r="B19" s="4" t="s">
        <v>21</v>
      </c>
      <c r="C19" s="9">
        <v>0.15</v>
      </c>
    </row>
    <row r="20" spans="2:3" x14ac:dyDescent="0.25">
      <c r="B20" s="6" t="s">
        <v>22</v>
      </c>
      <c r="C20" s="8">
        <v>0.15</v>
      </c>
    </row>
    <row r="21" spans="2:3" x14ac:dyDescent="0.25">
      <c r="B21" s="4" t="s">
        <v>23</v>
      </c>
      <c r="C21" s="5" t="s">
        <v>24</v>
      </c>
    </row>
    <row r="22" spans="2:3" x14ac:dyDescent="0.25">
      <c r="B22" s="6" t="s">
        <v>25</v>
      </c>
      <c r="C22" s="7" t="s">
        <v>26</v>
      </c>
    </row>
    <row r="23" spans="2:3" x14ac:dyDescent="0.25">
      <c r="B23" s="4" t="s">
        <v>27</v>
      </c>
      <c r="C23" s="5" t="s">
        <v>26</v>
      </c>
    </row>
    <row r="25" spans="2:3" x14ac:dyDescent="0.25">
      <c r="B25" s="3" t="s">
        <v>28</v>
      </c>
      <c r="C25" s="3"/>
    </row>
    <row r="26" spans="2:3" x14ac:dyDescent="0.25">
      <c r="B26" s="4" t="s">
        <v>29</v>
      </c>
      <c r="C26" s="10">
        <f>'Margin Analysis'!C626</f>
        <v>15093961.739999998</v>
      </c>
    </row>
    <row r="27" spans="2:3" x14ac:dyDescent="0.25">
      <c r="B27" s="4" t="s">
        <v>30</v>
      </c>
      <c r="C27" s="10">
        <f>'Margin Analysis'!D626</f>
        <v>17365513.66</v>
      </c>
    </row>
    <row r="28" spans="2:3" x14ac:dyDescent="0.25">
      <c r="B28" s="4" t="s">
        <v>31</v>
      </c>
      <c r="C28" s="10">
        <f>'Margin Analysis'!E626</f>
        <v>2271551.92</v>
      </c>
    </row>
    <row r="29" spans="2:3" x14ac:dyDescent="0.25">
      <c r="B29" s="4" t="s">
        <v>32</v>
      </c>
      <c r="C29" s="9">
        <f>'Margin Analysis'!F626</f>
        <v>0.13</v>
      </c>
    </row>
    <row r="30" spans="2:3" x14ac:dyDescent="0.25">
      <c r="B30" s="11" t="s">
        <v>33</v>
      </c>
      <c r="C30" s="12">
        <f>'Margin Analysis'!D626</f>
        <v>17365513.66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Z52"/>
  <sheetFormatPr defaultRowHeight="15" outlineLevelRow="0" outlineLevelCol="0" x14ac:dyDescent="55"/>
  <cols>
    <col min="1" max="1" width="36" customWidth="1"/>
    <col min="2" max="4" width="8" customWidth="1"/>
    <col min="5" max="5" width="18" customWidth="1"/>
    <col min="6" max="6" width="14" customWidth="1"/>
    <col min="7" max="11" width="10" customWidth="1"/>
    <col min="12" max="12" width="8" customWidth="1"/>
    <col min="13" max="13" width="12" customWidth="1"/>
    <col min="14" max="15" width="10" customWidth="1"/>
    <col min="16" max="17" width="12" customWidth="1"/>
    <col min="18" max="21" width="14" customWidth="1"/>
    <col min="22" max="22" width="12" customWidth="1"/>
    <col min="23" max="23" width="16" customWidth="1"/>
    <col min="24" max="24" width="12" customWidth="1"/>
    <col min="25" max="25" width="14" customWidth="1"/>
    <col min="26" max="26" width="12" customWidth="1"/>
  </cols>
  <sheetData>
    <row r="1" ht="36" customHeight="1" spans="1:23" x14ac:dyDescent="0.25">
      <c r="A1" s="1" t="s">
        <v>102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21:22" x14ac:dyDescent="0.25">
      <c r="U2" s="39" t="s">
        <v>103</v>
      </c>
      <c r="V2" s="40">
        <v>0.15</v>
      </c>
    </row>
    <row r="3" ht="28" customHeight="1" spans="1:26" x14ac:dyDescent="0.25">
      <c r="A3" s="25" t="s">
        <v>104</v>
      </c>
      <c r="B3" s="25" t="s">
        <v>105</v>
      </c>
      <c r="C3" s="25" t="s">
        <v>106</v>
      </c>
      <c r="D3" s="25" t="s">
        <v>107</v>
      </c>
      <c r="E3" s="25" t="s">
        <v>108</v>
      </c>
      <c r="F3" s="25" t="s">
        <v>109</v>
      </c>
      <c r="G3" s="25" t="s">
        <v>110</v>
      </c>
      <c r="H3" s="25" t="s">
        <v>111</v>
      </c>
      <c r="I3" s="25" t="s">
        <v>112</v>
      </c>
      <c r="J3" s="25" t="s">
        <v>113</v>
      </c>
      <c r="K3" s="25" t="s">
        <v>114</v>
      </c>
      <c r="L3" s="25" t="s">
        <v>115</v>
      </c>
      <c r="M3" s="25" t="s">
        <v>116</v>
      </c>
      <c r="N3" s="25" t="s">
        <v>117</v>
      </c>
      <c r="O3" s="25" t="s">
        <v>118</v>
      </c>
      <c r="P3" s="25" t="s">
        <v>119</v>
      </c>
      <c r="Q3" s="25" t="s">
        <v>120</v>
      </c>
      <c r="R3" s="25" t="s">
        <v>121</v>
      </c>
      <c r="S3" s="25" t="s">
        <v>122</v>
      </c>
      <c r="T3" s="25" t="s">
        <v>29</v>
      </c>
      <c r="U3" s="25" t="s">
        <v>40</v>
      </c>
      <c r="V3" s="25" t="s">
        <v>38</v>
      </c>
      <c r="W3" s="25" t="s">
        <v>123</v>
      </c>
      <c r="X3" s="25" t="s">
        <v>124</v>
      </c>
      <c r="Y3" s="25" t="s">
        <v>125</v>
      </c>
      <c r="Z3" s="25" t="s">
        <v>126</v>
      </c>
    </row>
    <row r="4" spans="1:26" x14ac:dyDescent="0.25">
      <c r="A4" s="41" t="s">
        <v>41</v>
      </c>
      <c r="B4" s="42">
        <v>3</v>
      </c>
      <c r="C4" s="42">
        <v>320</v>
      </c>
      <c r="D4" s="33">
        <v>8000</v>
      </c>
      <c r="E4" s="33" t="str">
        <f>IFERROR(VLOOKUP(F4,'_Products'!$A$1:$G$23,2,FALSE),"")</f>
        <v>Nationstar</v>
      </c>
      <c r="F4" s="33" t="s">
        <v>127</v>
      </c>
      <c r="G4" s="43">
        <f>IFERROR(VLOOKUP(F4,'_Products'!$A$1:$G$23,3,FALSE),0)</f>
        <v>2.5</v>
      </c>
      <c r="H4" s="42">
        <v>3</v>
      </c>
      <c r="I4" s="42">
        <v>320</v>
      </c>
      <c r="J4" s="44">
        <f>IFERROR(ROUND(H4*304.8/G4,0),0)</f>
        <v>366</v>
      </c>
      <c r="K4" s="44">
        <f>IFERROR(ROUND(I4*304.8/G4,0),0)</f>
        <v>39014</v>
      </c>
      <c r="L4" s="45">
        <v>1</v>
      </c>
      <c r="M4" s="46">
        <f>H4*I4*L4</f>
        <v>960</v>
      </c>
      <c r="N4" s="47">
        <f>IFERROR(VLOOKUP(F4,'_Products'!$A$1:$G$23,5,FALSE),0)</f>
        <v>2000</v>
      </c>
      <c r="O4" s="47" t="s">
        <v>128</v>
      </c>
      <c r="P4" s="34">
        <v>256.36</v>
      </c>
      <c r="Q4" s="34">
        <f>P4*M4</f>
        <v>246109.75</v>
      </c>
      <c r="R4" s="34">
        <f>SUM('Bundle Equipment'!E12:E12)</f>
        <v>23476</v>
      </c>
      <c r="S4" s="34">
        <f>MAX(M4*10,500)</f>
        <v>9600</v>
      </c>
      <c r="T4" s="48">
        <f>Q4+R4+S4</f>
        <v>279185.75</v>
      </c>
      <c r="U4" s="35">
        <f>V$2</f>
        <v>0.15</v>
      </c>
      <c r="V4" s="48">
        <f>IFERROR(T4/(1-U4),0)</f>
        <v>328453.82</v>
      </c>
      <c r="W4" s="34">
        <f>V4-T4</f>
        <v>49268.07</v>
      </c>
      <c r="X4" s="46">
        <f>IFERROR(ROUND(M4*0.092903*VLOOKUP(F4,'_Products'!$A$1:$G$23,6,FALSE),0),0)</f>
        <v>4691</v>
      </c>
      <c r="Y4" s="46">
        <f>IFERROR(ROUND(M4*0.092903*VLOOKUP(F4,'_Products'!$A$1:$G$23,7,FALSE),0),0)</f>
        <v>34836</v>
      </c>
      <c r="Z4" s="46">
        <f>Y4*3.412</f>
        <v>118860</v>
      </c>
    </row>
    <row r="5" spans="1:26" x14ac:dyDescent="0.25">
      <c r="A5" s="26" t="s">
        <v>53</v>
      </c>
      <c r="B5" s="49">
        <v>3</v>
      </c>
      <c r="C5" s="49">
        <v>200</v>
      </c>
      <c r="D5">
        <v>8000</v>
      </c>
      <c r="E5" t="str">
        <f>IFERROR(VLOOKUP(F5,'_Products'!$A$1:$G$23,2,FALSE),"")</f>
        <v>Nationstar</v>
      </c>
      <c r="F5" t="s">
        <v>127</v>
      </c>
      <c r="G5" s="50">
        <f>IFERROR(VLOOKUP(F5,'_Products'!$A$1:$G$23,3,FALSE),0)</f>
        <v>2.5</v>
      </c>
      <c r="H5" s="49">
        <v>3</v>
      </c>
      <c r="I5" s="49">
        <v>200</v>
      </c>
      <c r="J5" s="51">
        <f>IFERROR(ROUND(H5*304.8/G5,0),0)</f>
        <v>366</v>
      </c>
      <c r="K5" s="51">
        <f>IFERROR(ROUND(I5*304.8/G5,0),0)</f>
        <v>24384</v>
      </c>
      <c r="L5" s="52">
        <v>1</v>
      </c>
      <c r="M5" s="53">
        <f>H5*I5*L5</f>
        <v>600</v>
      </c>
      <c r="N5" s="54">
        <f>IFERROR(VLOOKUP(F5,'_Products'!$A$1:$G$23,5,FALSE),0)</f>
        <v>2000</v>
      </c>
      <c r="O5" s="54" t="s">
        <v>128</v>
      </c>
      <c r="P5" s="20">
        <v>256.36</v>
      </c>
      <c r="Q5" s="20">
        <f>P5*M5</f>
        <v>153818.6</v>
      </c>
      <c r="R5" s="20">
        <f>SUM('Bundle Equipment'!E19:E19)</f>
        <v>15310</v>
      </c>
      <c r="S5" s="20">
        <f>MAX(M5*10,500)</f>
        <v>6000</v>
      </c>
      <c r="T5" s="55">
        <f>Q5+R5+S5</f>
        <v>175128.6</v>
      </c>
      <c r="U5" s="27">
        <f>V$2</f>
        <v>0.15</v>
      </c>
      <c r="V5" s="55">
        <f>IFERROR(T5/(1-U5),0)</f>
        <v>206033.65</v>
      </c>
      <c r="W5" s="20">
        <f>V5-T5</f>
        <v>30905.05</v>
      </c>
      <c r="X5" s="53">
        <f>IFERROR(ROUND(M5*0.092903*VLOOKUP(F5,'_Products'!$A$1:$G$23,6,FALSE),0),0)</f>
        <v>2932</v>
      </c>
      <c r="Y5" s="53">
        <f>IFERROR(ROUND(M5*0.092903*VLOOKUP(F5,'_Products'!$A$1:$G$23,7,FALSE),0),0)</f>
        <v>21773</v>
      </c>
      <c r="Z5" s="53">
        <f>Y5*3.412</f>
        <v>74289</v>
      </c>
    </row>
    <row r="6" spans="1:26" x14ac:dyDescent="0.25">
      <c r="A6" s="41" t="s">
        <v>54</v>
      </c>
      <c r="B6" s="42">
        <v>8</v>
      </c>
      <c r="C6" s="42">
        <v>14</v>
      </c>
      <c r="D6" s="33">
        <v>4000</v>
      </c>
      <c r="E6" s="33" t="str">
        <f>IFERROR(VLOOKUP(F6,'_Products'!$A$1:$G$23,2,FALSE),"")</f>
        <v>Nationstar</v>
      </c>
      <c r="F6" s="33" t="s">
        <v>127</v>
      </c>
      <c r="G6" s="43">
        <f>IFERROR(VLOOKUP(F6,'_Products'!$A$1:$G$23,3,FALSE),0)</f>
        <v>2.5</v>
      </c>
      <c r="H6" s="42">
        <v>8</v>
      </c>
      <c r="I6" s="42">
        <v>14</v>
      </c>
      <c r="J6" s="44">
        <f>IFERROR(ROUND(H6*304.8/G6,0),0)</f>
        <v>975</v>
      </c>
      <c r="K6" s="44">
        <f>IFERROR(ROUND(I6*304.8/G6,0),0)</f>
        <v>1707</v>
      </c>
      <c r="L6" s="45">
        <v>1</v>
      </c>
      <c r="M6" s="46">
        <f>H6*I6*L6</f>
        <v>112</v>
      </c>
      <c r="N6" s="47">
        <f>IFERROR(VLOOKUP(F6,'_Products'!$A$1:$G$23,5,FALSE),0)</f>
        <v>2000</v>
      </c>
      <c r="O6" s="47" t="s">
        <v>128</v>
      </c>
      <c r="P6" s="34">
        <v>256.36</v>
      </c>
      <c r="Q6" s="34">
        <f>P6*M6</f>
        <v>28712.81</v>
      </c>
      <c r="R6" s="34">
        <f>SUM('Bundle Equipment'!E24:E24)</f>
        <v>517.2</v>
      </c>
      <c r="S6" s="34">
        <f>MAX(M6*10,500)</f>
        <v>1120</v>
      </c>
      <c r="T6" s="48">
        <f>Q6+R6+S6</f>
        <v>30350.01</v>
      </c>
      <c r="U6" s="35">
        <f>V$2</f>
        <v>0.15</v>
      </c>
      <c r="V6" s="48">
        <f>IFERROR(T6/(1-U6),0)</f>
        <v>35705.89</v>
      </c>
      <c r="W6" s="34">
        <f>V6-T6</f>
        <v>5355.88</v>
      </c>
      <c r="X6" s="46">
        <f>IFERROR(ROUND(M6*0.092903*VLOOKUP(F6,'_Products'!$A$1:$G$23,6,FALSE),0),0)</f>
        <v>547</v>
      </c>
      <c r="Y6" s="46">
        <f>IFERROR(ROUND(M6*0.092903*VLOOKUP(F6,'_Products'!$A$1:$G$23,7,FALSE),0),0)</f>
        <v>4064</v>
      </c>
      <c r="Z6" s="46">
        <f>Y6*3.412</f>
        <v>13866</v>
      </c>
    </row>
    <row r="7" spans="1:26" x14ac:dyDescent="0.25">
      <c r="A7" s="26" t="s">
        <v>55</v>
      </c>
      <c r="B7" s="49">
        <v>3</v>
      </c>
      <c r="C7" s="49">
        <v>200</v>
      </c>
      <c r="D7">
        <v>8000</v>
      </c>
      <c r="E7" t="str">
        <f>IFERROR(VLOOKUP(F7,'_Products'!$A$1:$G$23,2,FALSE),"")</f>
        <v>Nationstar</v>
      </c>
      <c r="F7" t="s">
        <v>127</v>
      </c>
      <c r="G7" s="50">
        <f>IFERROR(VLOOKUP(F7,'_Products'!$A$1:$G$23,3,FALSE),0)</f>
        <v>2.5</v>
      </c>
      <c r="H7" s="49">
        <v>3</v>
      </c>
      <c r="I7" s="49">
        <v>200</v>
      </c>
      <c r="J7" s="51">
        <f>IFERROR(ROUND(H7*304.8/G7,0),0)</f>
        <v>366</v>
      </c>
      <c r="K7" s="51">
        <f>IFERROR(ROUND(I7*304.8/G7,0),0)</f>
        <v>24384</v>
      </c>
      <c r="L7" s="52">
        <v>1</v>
      </c>
      <c r="M7" s="53">
        <f>H7*I7*L7</f>
        <v>600</v>
      </c>
      <c r="N7" s="54">
        <f>IFERROR(VLOOKUP(F7,'_Products'!$A$1:$G$23,5,FALSE),0)</f>
        <v>2000</v>
      </c>
      <c r="O7" s="54" t="s">
        <v>128</v>
      </c>
      <c r="P7" s="20">
        <v>256.36</v>
      </c>
      <c r="Q7" s="20">
        <f>P7*M7</f>
        <v>153818.6</v>
      </c>
      <c r="R7" s="20">
        <f>SUM('Bundle Equipment'!E31:E31)</f>
        <v>15310</v>
      </c>
      <c r="S7" s="20">
        <f>MAX(M7*10,500)</f>
        <v>6000</v>
      </c>
      <c r="T7" s="55">
        <f>Q7+R7+S7</f>
        <v>175128.6</v>
      </c>
      <c r="U7" s="27">
        <f>V$2</f>
        <v>0.15</v>
      </c>
      <c r="V7" s="55">
        <f>IFERROR(T7/(1-U7),0)</f>
        <v>206033.65</v>
      </c>
      <c r="W7" s="20">
        <f>V7-T7</f>
        <v>30905.05</v>
      </c>
      <c r="X7" s="53">
        <f>IFERROR(ROUND(M7*0.092903*VLOOKUP(F7,'_Products'!$A$1:$G$23,6,FALSE),0),0)</f>
        <v>2932</v>
      </c>
      <c r="Y7" s="53">
        <f>IFERROR(ROUND(M7*0.092903*VLOOKUP(F7,'_Products'!$A$1:$G$23,7,FALSE),0),0)</f>
        <v>21773</v>
      </c>
      <c r="Z7" s="53">
        <f>Y7*3.412</f>
        <v>74289</v>
      </c>
    </row>
    <row r="8" spans="1:26" x14ac:dyDescent="0.25">
      <c r="A8" s="41" t="s">
        <v>56</v>
      </c>
      <c r="B8" s="42">
        <v>5.33</v>
      </c>
      <c r="C8" s="42">
        <v>21</v>
      </c>
      <c r="D8" s="33">
        <v>4000</v>
      </c>
      <c r="E8" s="33" t="str">
        <f>IFERROR(VLOOKUP(F8,'_Products'!$A$1:$G$23,2,FALSE),"")</f>
        <v>Nationstar</v>
      </c>
      <c r="F8" s="33" t="s">
        <v>127</v>
      </c>
      <c r="G8" s="43">
        <f>IFERROR(VLOOKUP(F8,'_Products'!$A$1:$G$23,3,FALSE),0)</f>
        <v>2.5</v>
      </c>
      <c r="H8" s="42">
        <v>5.33</v>
      </c>
      <c r="I8" s="42">
        <v>21</v>
      </c>
      <c r="J8" s="44">
        <f>IFERROR(ROUND(H8*304.8/G8,0),0)</f>
        <v>650</v>
      </c>
      <c r="K8" s="44">
        <f>IFERROR(ROUND(I8*304.8/G8,0),0)</f>
        <v>2560</v>
      </c>
      <c r="L8" s="45">
        <v>1</v>
      </c>
      <c r="M8" s="46">
        <f>H8*I8*L8</f>
        <v>111.93</v>
      </c>
      <c r="N8" s="47">
        <f>IFERROR(VLOOKUP(F8,'_Products'!$A$1:$G$23,5,FALSE),0)</f>
        <v>2000</v>
      </c>
      <c r="O8" s="47" t="s">
        <v>128</v>
      </c>
      <c r="P8" s="34">
        <v>256.36</v>
      </c>
      <c r="Q8" s="34">
        <f>P8*M8</f>
        <v>28694.85</v>
      </c>
      <c r="R8" s="34">
        <f>SUM('Bundle Equipment'!E36:E36)</f>
        <v>517.16</v>
      </c>
      <c r="S8" s="34">
        <f>MAX(M8*10,500)</f>
        <v>1119.3</v>
      </c>
      <c r="T8" s="48">
        <f>Q8+R8+S8</f>
        <v>30331.31</v>
      </c>
      <c r="U8" s="35">
        <f>V$2</f>
        <v>0.15</v>
      </c>
      <c r="V8" s="48">
        <f>IFERROR(T8/(1-U8),0)</f>
        <v>35683.89</v>
      </c>
      <c r="W8" s="34">
        <f>V8-T8</f>
        <v>5352.58</v>
      </c>
      <c r="X8" s="46">
        <f>IFERROR(ROUND(M8*0.092903*VLOOKUP(F8,'_Products'!$A$1:$G$23,6,FALSE),0),0)</f>
        <v>547</v>
      </c>
      <c r="Y8" s="46">
        <f>IFERROR(ROUND(M8*0.092903*VLOOKUP(F8,'_Products'!$A$1:$G$23,7,FALSE),0),0)</f>
        <v>4062</v>
      </c>
      <c r="Z8" s="46">
        <f>Y8*3.412</f>
        <v>13860</v>
      </c>
    </row>
    <row r="9" spans="1:26" x14ac:dyDescent="0.25">
      <c r="A9" s="26" t="s">
        <v>57</v>
      </c>
      <c r="B9" s="49">
        <v>6</v>
      </c>
      <c r="C9" s="49">
        <v>11</v>
      </c>
      <c r="D9">
        <v>4000</v>
      </c>
      <c r="E9" t="str">
        <f>IFERROR(VLOOKUP(F9,'_Products'!$A$1:$G$23,2,FALSE),"")</f>
        <v>Nationstar</v>
      </c>
      <c r="F9" t="s">
        <v>127</v>
      </c>
      <c r="G9" s="50">
        <f>IFERROR(VLOOKUP(F9,'_Products'!$A$1:$G$23,3,FALSE),0)</f>
        <v>2.5</v>
      </c>
      <c r="H9" s="49">
        <v>6</v>
      </c>
      <c r="I9" s="49">
        <v>11</v>
      </c>
      <c r="J9" s="51">
        <f>IFERROR(ROUND(H9*304.8/G9,0),0)</f>
        <v>732</v>
      </c>
      <c r="K9" s="51">
        <f>IFERROR(ROUND(I9*304.8/G9,0),0)</f>
        <v>1341</v>
      </c>
      <c r="L9" s="52">
        <v>1</v>
      </c>
      <c r="M9" s="53">
        <f>H9*I9*L9</f>
        <v>66</v>
      </c>
      <c r="N9" s="54">
        <f>IFERROR(VLOOKUP(F9,'_Products'!$A$1:$G$23,5,FALSE),0)</f>
        <v>2000</v>
      </c>
      <c r="O9" s="54" t="s">
        <v>128</v>
      </c>
      <c r="P9" s="20">
        <v>256.36</v>
      </c>
      <c r="Q9" s="20">
        <f>P9*M9</f>
        <v>16920.05</v>
      </c>
      <c r="R9" s="20">
        <f>SUM('Bundle Equipment'!E41:E41)</f>
        <v>489.6</v>
      </c>
      <c r="S9" s="20">
        <f>MAX(M9*10,500)</f>
        <v>660</v>
      </c>
      <c r="T9" s="55">
        <f>Q9+R9+S9</f>
        <v>18069.65</v>
      </c>
      <c r="U9" s="27">
        <f>V$2</f>
        <v>0.15</v>
      </c>
      <c r="V9" s="55">
        <f>IFERROR(T9/(1-U9),0)</f>
        <v>21258.41</v>
      </c>
      <c r="W9" s="20">
        <f>V9-T9</f>
        <v>3188.76</v>
      </c>
      <c r="X9" s="53">
        <f>IFERROR(ROUND(M9*0.092903*VLOOKUP(F9,'_Products'!$A$1:$G$23,6,FALSE),0),0)</f>
        <v>323</v>
      </c>
      <c r="Y9" s="53">
        <f>IFERROR(ROUND(M9*0.092903*VLOOKUP(F9,'_Products'!$A$1:$G$23,7,FALSE),0),0)</f>
        <v>2395</v>
      </c>
      <c r="Z9" s="53">
        <f>Y9*3.412</f>
        <v>8172</v>
      </c>
    </row>
    <row r="10" spans="1:26" x14ac:dyDescent="0.25">
      <c r="A10" s="41" t="s">
        <v>58</v>
      </c>
      <c r="B10" s="42">
        <v>11</v>
      </c>
      <c r="C10" s="42">
        <v>100</v>
      </c>
      <c r="D10" s="33">
        <v>4000</v>
      </c>
      <c r="E10" s="33" t="str">
        <f>IFERROR(VLOOKUP(F10,'_Products'!$A$1:$G$23,2,FALSE),"")</f>
        <v>Nationstar</v>
      </c>
      <c r="F10" s="33" t="s">
        <v>127</v>
      </c>
      <c r="G10" s="43">
        <f>IFERROR(VLOOKUP(F10,'_Products'!$A$1:$G$23,3,FALSE),0)</f>
        <v>2.5</v>
      </c>
      <c r="H10" s="42">
        <v>11</v>
      </c>
      <c r="I10" s="42">
        <v>100</v>
      </c>
      <c r="J10" s="44">
        <f>IFERROR(ROUND(H10*304.8/G10,0),0)</f>
        <v>1341</v>
      </c>
      <c r="K10" s="44">
        <f>IFERROR(ROUND(I10*304.8/G10,0),0)</f>
        <v>12192</v>
      </c>
      <c r="L10" s="45">
        <v>1</v>
      </c>
      <c r="M10" s="46">
        <f>H10*I10*L10</f>
        <v>1100</v>
      </c>
      <c r="N10" s="47">
        <f>IFERROR(VLOOKUP(F10,'_Products'!$A$1:$G$23,5,FALSE),0)</f>
        <v>2000</v>
      </c>
      <c r="O10" s="47" t="s">
        <v>128</v>
      </c>
      <c r="P10" s="34">
        <v>256.36</v>
      </c>
      <c r="Q10" s="34">
        <f>P10*M10</f>
        <v>282000.76</v>
      </c>
      <c r="R10" s="34">
        <f>SUM('Bundle Equipment'!E47:E47)</f>
        <v>21060</v>
      </c>
      <c r="S10" s="34">
        <f>MAX(M10*10,500)</f>
        <v>11000</v>
      </c>
      <c r="T10" s="48">
        <f>Q10+R10+S10</f>
        <v>314060.76</v>
      </c>
      <c r="U10" s="35">
        <f>V$2</f>
        <v>0.15</v>
      </c>
      <c r="V10" s="48">
        <f>IFERROR(T10/(1-U10),0)</f>
        <v>369483.25</v>
      </c>
      <c r="W10" s="34">
        <f>V10-T10</f>
        <v>55422.49</v>
      </c>
      <c r="X10" s="46">
        <f>IFERROR(ROUND(M10*0.092903*VLOOKUP(F10,'_Products'!$A$1:$G$23,6,FALSE),0),0)</f>
        <v>5375</v>
      </c>
      <c r="Y10" s="46">
        <f>IFERROR(ROUND(M10*0.092903*VLOOKUP(F10,'_Products'!$A$1:$G$23,7,FALSE),0),0)</f>
        <v>39917</v>
      </c>
      <c r="Z10" s="46">
        <f>Y10*3.412</f>
        <v>136197</v>
      </c>
    </row>
    <row r="11" spans="1:26" x14ac:dyDescent="0.25">
      <c r="A11" s="26" t="s">
        <v>59</v>
      </c>
      <c r="B11" s="49">
        <v>11</v>
      </c>
      <c r="C11" s="49">
        <v>85</v>
      </c>
      <c r="D11">
        <v>4000</v>
      </c>
      <c r="E11" t="str">
        <f>IFERROR(VLOOKUP(F11,'_Products'!$A$1:$G$23,2,FALSE),"")</f>
        <v>Nationstar</v>
      </c>
      <c r="F11" t="s">
        <v>127</v>
      </c>
      <c r="G11" s="50">
        <f>IFERROR(VLOOKUP(F11,'_Products'!$A$1:$G$23,3,FALSE),0)</f>
        <v>2.5</v>
      </c>
      <c r="H11" s="49">
        <v>11</v>
      </c>
      <c r="I11" s="49">
        <v>85</v>
      </c>
      <c r="J11" s="51">
        <f>IFERROR(ROUND(H11*304.8/G11,0),0)</f>
        <v>1341</v>
      </c>
      <c r="K11" s="51">
        <f>IFERROR(ROUND(I11*304.8/G11,0),0)</f>
        <v>10363</v>
      </c>
      <c r="L11" s="52">
        <v>1</v>
      </c>
      <c r="M11" s="53">
        <f>H11*I11*L11</f>
        <v>935</v>
      </c>
      <c r="N11" s="54">
        <f>IFERROR(VLOOKUP(F11,'_Products'!$A$1:$G$23,5,FALSE),0)</f>
        <v>2000</v>
      </c>
      <c r="O11" s="54" t="s">
        <v>128</v>
      </c>
      <c r="P11" s="20">
        <v>256.36</v>
      </c>
      <c r="Q11" s="20">
        <f>P11*M11</f>
        <v>239700.65</v>
      </c>
      <c r="R11" s="20">
        <f>SUM('Bundle Equipment'!E53:E53)</f>
        <v>20961</v>
      </c>
      <c r="S11" s="20">
        <f>MAX(M11*10,500)</f>
        <v>9350</v>
      </c>
      <c r="T11" s="55">
        <f>Q11+R11+S11</f>
        <v>270011.65</v>
      </c>
      <c r="U11" s="27">
        <f>V$2</f>
        <v>0.15</v>
      </c>
      <c r="V11" s="55">
        <f>IFERROR(T11/(1-U11),0)</f>
        <v>317660.76</v>
      </c>
      <c r="W11" s="20">
        <f>V11-T11</f>
        <v>47649.11</v>
      </c>
      <c r="X11" s="53">
        <f>IFERROR(ROUND(M11*0.092903*VLOOKUP(F11,'_Products'!$A$1:$G$23,6,FALSE),0),0)</f>
        <v>4569</v>
      </c>
      <c r="Y11" s="53">
        <f>IFERROR(ROUND(M11*0.092903*VLOOKUP(F11,'_Products'!$A$1:$G$23,7,FALSE),0),0)</f>
        <v>33929</v>
      </c>
      <c r="Z11" s="53">
        <f>Y11*3.412</f>
        <v>115766</v>
      </c>
    </row>
    <row r="12" spans="1:26" x14ac:dyDescent="0.25">
      <c r="A12" s="41" t="s">
        <v>60</v>
      </c>
      <c r="B12" s="42">
        <v>10</v>
      </c>
      <c r="C12" s="42">
        <v>34</v>
      </c>
      <c r="D12" s="33">
        <v>4000</v>
      </c>
      <c r="E12" s="33" t="str">
        <f>IFERROR(VLOOKUP(F12,'_Products'!$A$1:$G$23,2,FALSE),"")</f>
        <v>Nationstar</v>
      </c>
      <c r="F12" s="33" t="s">
        <v>127</v>
      </c>
      <c r="G12" s="43">
        <f>IFERROR(VLOOKUP(F12,'_Products'!$A$1:$G$23,3,FALSE),0)</f>
        <v>2.5</v>
      </c>
      <c r="H12" s="42">
        <v>10</v>
      </c>
      <c r="I12" s="42">
        <v>34</v>
      </c>
      <c r="J12" s="44">
        <f>IFERROR(ROUND(H12*304.8/G12,0),0)</f>
        <v>1219</v>
      </c>
      <c r="K12" s="44">
        <f>IFERROR(ROUND(I12*304.8/G12,0),0)</f>
        <v>4145</v>
      </c>
      <c r="L12" s="45">
        <v>1</v>
      </c>
      <c r="M12" s="46">
        <f>H12*I12*L12</f>
        <v>340</v>
      </c>
      <c r="N12" s="47">
        <f>IFERROR(VLOOKUP(F12,'_Products'!$A$1:$G$23,5,FALSE),0)</f>
        <v>2000</v>
      </c>
      <c r="O12" s="47" t="s">
        <v>128</v>
      </c>
      <c r="P12" s="34">
        <v>256.36</v>
      </c>
      <c r="Q12" s="34">
        <f>P12*M12</f>
        <v>87163.87</v>
      </c>
      <c r="R12" s="34">
        <f>SUM('Bundle Equipment'!E59:E59)</f>
        <v>12654</v>
      </c>
      <c r="S12" s="34">
        <f>MAX(M12*10,500)</f>
        <v>3400</v>
      </c>
      <c r="T12" s="48">
        <f>Q12+R12+S12</f>
        <v>103217.87</v>
      </c>
      <c r="U12" s="35">
        <f>V$2</f>
        <v>0.15</v>
      </c>
      <c r="V12" s="48">
        <f>IFERROR(T12/(1-U12),0)</f>
        <v>121432.79</v>
      </c>
      <c r="W12" s="34">
        <f>V12-T12</f>
        <v>18214.92</v>
      </c>
      <c r="X12" s="46">
        <f>IFERROR(ROUND(M12*0.092903*VLOOKUP(F12,'_Products'!$A$1:$G$23,6,FALSE),0),0)</f>
        <v>1661</v>
      </c>
      <c r="Y12" s="46">
        <f>IFERROR(ROUND(M12*0.092903*VLOOKUP(F12,'_Products'!$A$1:$G$23,7,FALSE),0),0)</f>
        <v>12338</v>
      </c>
      <c r="Z12" s="46">
        <f>Y12*3.412</f>
        <v>42097</v>
      </c>
    </row>
    <row r="13" spans="1:26" x14ac:dyDescent="0.25">
      <c r="A13" s="26" t="s">
        <v>60</v>
      </c>
      <c r="B13" s="49">
        <v>10</v>
      </c>
      <c r="C13" s="49">
        <v>34</v>
      </c>
      <c r="D13">
        <v>4000</v>
      </c>
      <c r="E13" t="str">
        <f>IFERROR(VLOOKUP(F13,'_Products'!$A$1:$G$23,2,FALSE),"")</f>
        <v>LG/Yaham</v>
      </c>
      <c r="F13" t="s">
        <v>129</v>
      </c>
      <c r="G13" s="50">
        <f>IFERROR(VLOOKUP(F13,'_Products'!$A$1:$G$23,3,FALSE),0)</f>
        <v>3.9</v>
      </c>
      <c r="H13" s="49">
        <v>10</v>
      </c>
      <c r="I13" s="49">
        <v>34</v>
      </c>
      <c r="J13" s="51">
        <f>IFERROR(ROUND(H13*304.8/G13,0),0)</f>
        <v>782</v>
      </c>
      <c r="K13" s="51">
        <f>IFERROR(ROUND(I13*304.8/G13,0),0)</f>
        <v>2657</v>
      </c>
      <c r="L13" s="52">
        <v>1</v>
      </c>
      <c r="M13" s="53">
        <f>H13*I13*L13</f>
        <v>340</v>
      </c>
      <c r="N13" s="54">
        <f>IFERROR(VLOOKUP(F13,'_Products'!$A$1:$G$23,5,FALSE),0)</f>
        <v>6000</v>
      </c>
      <c r="O13" s="54" t="s">
        <v>128</v>
      </c>
      <c r="P13" s="20">
        <v>256.36</v>
      </c>
      <c r="Q13" s="20">
        <f>P13*M13</f>
        <v>87163.87</v>
      </c>
      <c r="R13" s="20">
        <f>SUM('Bundle Equipment'!E65:E65)</f>
        <v>12654</v>
      </c>
      <c r="S13" s="20">
        <f>MAX(M13*10,500)</f>
        <v>3400</v>
      </c>
      <c r="T13" s="55">
        <f>Q13+R13+S13</f>
        <v>103217.87</v>
      </c>
      <c r="U13" s="27">
        <f>V$2</f>
        <v>0.15</v>
      </c>
      <c r="V13" s="55">
        <f>IFERROR(T13/(1-U13),0)</f>
        <v>121432.79</v>
      </c>
      <c r="W13" s="20">
        <f>V13-T13</f>
        <v>18214.92</v>
      </c>
      <c r="X13" s="53">
        <f>IFERROR(ROUND(M13*0.092903*VLOOKUP(F13,'_Products'!$A$1:$G$23,6,FALSE),0),0)</f>
        <v>1045</v>
      </c>
      <c r="Y13" s="53">
        <f>IFERROR(ROUND(M13*0.092903*VLOOKUP(F13,'_Products'!$A$1:$G$23,7,FALSE),0),0)</f>
        <v>18952</v>
      </c>
      <c r="Z13" s="53">
        <f>Y13*3.412</f>
        <v>64664</v>
      </c>
    </row>
    <row r="14" spans="1:26" x14ac:dyDescent="0.25">
      <c r="A14" s="41" t="s">
        <v>61</v>
      </c>
      <c r="B14" s="42">
        <v>10</v>
      </c>
      <c r="C14" s="42">
        <v>36</v>
      </c>
      <c r="D14" s="33">
        <v>4000</v>
      </c>
      <c r="E14" s="33" t="str">
        <f>IFERROR(VLOOKUP(F14,'_Products'!$A$1:$G$23,2,FALSE),"")</f>
        <v>Nationstar</v>
      </c>
      <c r="F14" s="33" t="s">
        <v>127</v>
      </c>
      <c r="G14" s="43">
        <f>IFERROR(VLOOKUP(F14,'_Products'!$A$1:$G$23,3,FALSE),0)</f>
        <v>2.5</v>
      </c>
      <c r="H14" s="42">
        <v>10</v>
      </c>
      <c r="I14" s="42">
        <v>36</v>
      </c>
      <c r="J14" s="44">
        <f>IFERROR(ROUND(H14*304.8/G14,0),0)</f>
        <v>1219</v>
      </c>
      <c r="K14" s="44">
        <f>IFERROR(ROUND(I14*304.8/G14,0),0)</f>
        <v>4389</v>
      </c>
      <c r="L14" s="45">
        <v>1</v>
      </c>
      <c r="M14" s="46">
        <f>H14*I14*L14</f>
        <v>360</v>
      </c>
      <c r="N14" s="47">
        <f>IFERROR(VLOOKUP(F14,'_Products'!$A$1:$G$23,5,FALSE),0)</f>
        <v>2000</v>
      </c>
      <c r="O14" s="47" t="s">
        <v>128</v>
      </c>
      <c r="P14" s="34">
        <v>256.36</v>
      </c>
      <c r="Q14" s="34">
        <f>P14*M14</f>
        <v>92291.16</v>
      </c>
      <c r="R14" s="34">
        <f>SUM('Bundle Equipment'!E71:E71)</f>
        <v>12666</v>
      </c>
      <c r="S14" s="34">
        <f>MAX(M14*10,500)</f>
        <v>3600</v>
      </c>
      <c r="T14" s="48">
        <f>Q14+R14+S14</f>
        <v>108557.16</v>
      </c>
      <c r="U14" s="35">
        <f>V$2</f>
        <v>0.15</v>
      </c>
      <c r="V14" s="48">
        <f>IFERROR(T14/(1-U14),0)</f>
        <v>127714.31</v>
      </c>
      <c r="W14" s="34">
        <f>V14-T14</f>
        <v>19157.15</v>
      </c>
      <c r="X14" s="46">
        <f>IFERROR(ROUND(M14*0.092903*VLOOKUP(F14,'_Products'!$A$1:$G$23,6,FALSE),0),0)</f>
        <v>1759</v>
      </c>
      <c r="Y14" s="46">
        <f>IFERROR(ROUND(M14*0.092903*VLOOKUP(F14,'_Products'!$A$1:$G$23,7,FALSE),0),0)</f>
        <v>13064</v>
      </c>
      <c r="Z14" s="46">
        <f>Y14*3.412</f>
        <v>44574</v>
      </c>
    </row>
    <row r="15" spans="1:26" x14ac:dyDescent="0.25">
      <c r="A15" s="26" t="s">
        <v>62</v>
      </c>
      <c r="B15" s="49">
        <v>10</v>
      </c>
      <c r="C15" s="49">
        <v>34</v>
      </c>
      <c r="D15">
        <v>4000</v>
      </c>
      <c r="E15" t="str">
        <f>IFERROR(VLOOKUP(F15,'_Products'!$A$1:$G$23,2,FALSE),"")</f>
        <v>Nationstar</v>
      </c>
      <c r="F15" t="s">
        <v>127</v>
      </c>
      <c r="G15" s="50">
        <f>IFERROR(VLOOKUP(F15,'_Products'!$A$1:$G$23,3,FALSE),0)</f>
        <v>2.5</v>
      </c>
      <c r="H15" s="49">
        <v>10</v>
      </c>
      <c r="I15" s="49">
        <v>34</v>
      </c>
      <c r="J15" s="51">
        <f>IFERROR(ROUND(H15*304.8/G15,0),0)</f>
        <v>1219</v>
      </c>
      <c r="K15" s="51">
        <f>IFERROR(ROUND(I15*304.8/G15,0),0)</f>
        <v>4145</v>
      </c>
      <c r="L15" s="52">
        <v>1</v>
      </c>
      <c r="M15" s="53">
        <f>H15*I15*L15</f>
        <v>340</v>
      </c>
      <c r="N15" s="54">
        <f>IFERROR(VLOOKUP(F15,'_Products'!$A$1:$G$23,5,FALSE),0)</f>
        <v>2000</v>
      </c>
      <c r="O15" s="54" t="s">
        <v>128</v>
      </c>
      <c r="P15" s="20">
        <v>256.36</v>
      </c>
      <c r="Q15" s="20">
        <f>P15*M15</f>
        <v>87163.87</v>
      </c>
      <c r="R15" s="20">
        <f>SUM('Bundle Equipment'!E77:E77)</f>
        <v>12654</v>
      </c>
      <c r="S15" s="20">
        <f>MAX(M15*10,500)</f>
        <v>3400</v>
      </c>
      <c r="T15" s="55">
        <f>Q15+R15+S15</f>
        <v>103217.87</v>
      </c>
      <c r="U15" s="27">
        <f>V$2</f>
        <v>0.15</v>
      </c>
      <c r="V15" s="55">
        <f>IFERROR(T15/(1-U15),0)</f>
        <v>121432.79</v>
      </c>
      <c r="W15" s="20">
        <f>V15-T15</f>
        <v>18214.92</v>
      </c>
      <c r="X15" s="53">
        <f>IFERROR(ROUND(M15*0.092903*VLOOKUP(F15,'_Products'!$A$1:$G$23,6,FALSE),0),0)</f>
        <v>1661</v>
      </c>
      <c r="Y15" s="53">
        <f>IFERROR(ROUND(M15*0.092903*VLOOKUP(F15,'_Products'!$A$1:$G$23,7,FALSE),0),0)</f>
        <v>12338</v>
      </c>
      <c r="Z15" s="53">
        <f>Y15*3.412</f>
        <v>42097</v>
      </c>
    </row>
    <row r="16" spans="1:26" x14ac:dyDescent="0.25">
      <c r="A16" s="41" t="s">
        <v>62</v>
      </c>
      <c r="B16" s="42">
        <v>10</v>
      </c>
      <c r="C16" s="42">
        <v>34</v>
      </c>
      <c r="D16" s="33">
        <v>4000</v>
      </c>
      <c r="E16" s="33" t="str">
        <f>IFERROR(VLOOKUP(F16,'_Products'!$A$1:$G$23,2,FALSE),"")</f>
        <v>LG/Yaham</v>
      </c>
      <c r="F16" s="33" t="s">
        <v>129</v>
      </c>
      <c r="G16" s="43">
        <f>IFERROR(VLOOKUP(F16,'_Products'!$A$1:$G$23,3,FALSE),0)</f>
        <v>3.9</v>
      </c>
      <c r="H16" s="42">
        <v>10</v>
      </c>
      <c r="I16" s="42">
        <v>34</v>
      </c>
      <c r="J16" s="44">
        <f>IFERROR(ROUND(H16*304.8/G16,0),0)</f>
        <v>782</v>
      </c>
      <c r="K16" s="44">
        <f>IFERROR(ROUND(I16*304.8/G16,0),0)</f>
        <v>2657</v>
      </c>
      <c r="L16" s="45">
        <v>1</v>
      </c>
      <c r="M16" s="46">
        <f>H16*I16*L16</f>
        <v>340</v>
      </c>
      <c r="N16" s="47">
        <f>IFERROR(VLOOKUP(F16,'_Products'!$A$1:$G$23,5,FALSE),0)</f>
        <v>6000</v>
      </c>
      <c r="O16" s="47" t="s">
        <v>128</v>
      </c>
      <c r="P16" s="34">
        <v>256.36</v>
      </c>
      <c r="Q16" s="34">
        <f>P16*M16</f>
        <v>87163.87</v>
      </c>
      <c r="R16" s="34">
        <f>SUM('Bundle Equipment'!E83:E83)</f>
        <v>12654</v>
      </c>
      <c r="S16" s="34">
        <f>MAX(M16*10,500)</f>
        <v>3400</v>
      </c>
      <c r="T16" s="48">
        <f>Q16+R16+S16</f>
        <v>103217.87</v>
      </c>
      <c r="U16" s="35">
        <f>V$2</f>
        <v>0.15</v>
      </c>
      <c r="V16" s="48">
        <f>IFERROR(T16/(1-U16),0)</f>
        <v>121432.79</v>
      </c>
      <c r="W16" s="34">
        <f>V16-T16</f>
        <v>18214.92</v>
      </c>
      <c r="X16" s="46">
        <f>IFERROR(ROUND(M16*0.092903*VLOOKUP(F16,'_Products'!$A$1:$G$23,6,FALSE),0),0)</f>
        <v>1045</v>
      </c>
      <c r="Y16" s="46">
        <f>IFERROR(ROUND(M16*0.092903*VLOOKUP(F16,'_Products'!$A$1:$G$23,7,FALSE),0),0)</f>
        <v>18952</v>
      </c>
      <c r="Z16" s="46">
        <f>Y16*3.412</f>
        <v>64664</v>
      </c>
    </row>
    <row r="17" spans="1:26" x14ac:dyDescent="0.25">
      <c r="A17" s="26" t="s">
        <v>63</v>
      </c>
      <c r="B17" s="49">
        <v>8</v>
      </c>
      <c r="C17" s="49">
        <v>28</v>
      </c>
      <c r="D17">
        <v>4000</v>
      </c>
      <c r="E17" t="str">
        <f>IFERROR(VLOOKUP(F17,'_Products'!$A$1:$G$23,2,FALSE),"")</f>
        <v>Nationstar</v>
      </c>
      <c r="F17" t="s">
        <v>127</v>
      </c>
      <c r="G17" s="50">
        <f>IFERROR(VLOOKUP(F17,'_Products'!$A$1:$G$23,3,FALSE),0)</f>
        <v>2.5</v>
      </c>
      <c r="H17" s="49">
        <v>8</v>
      </c>
      <c r="I17" s="49">
        <v>28</v>
      </c>
      <c r="J17" s="51">
        <f>IFERROR(ROUND(H17*304.8/G17,0),0)</f>
        <v>975</v>
      </c>
      <c r="K17" s="51">
        <f>IFERROR(ROUND(I17*304.8/G17,0),0)</f>
        <v>3414</v>
      </c>
      <c r="L17" s="52">
        <v>1</v>
      </c>
      <c r="M17" s="53">
        <f>H17*I17*L17</f>
        <v>224</v>
      </c>
      <c r="N17" s="54">
        <f>IFERROR(VLOOKUP(F17,'_Products'!$A$1:$G$23,5,FALSE),0)</f>
        <v>2000</v>
      </c>
      <c r="O17" s="54" t="s">
        <v>128</v>
      </c>
      <c r="P17" s="20">
        <v>256.36</v>
      </c>
      <c r="Q17" s="20">
        <f>P17*M17</f>
        <v>57425.61</v>
      </c>
      <c r="R17" s="20">
        <f>SUM('Bundle Equipment'!E88:E88)</f>
        <v>584.4</v>
      </c>
      <c r="S17" s="20">
        <f>MAX(M17*10,500)</f>
        <v>2240</v>
      </c>
      <c r="T17" s="55">
        <f>Q17+R17+S17</f>
        <v>60250.01</v>
      </c>
      <c r="U17" s="27">
        <f>V$2</f>
        <v>0.15</v>
      </c>
      <c r="V17" s="55">
        <f>IFERROR(T17/(1-U17),0)</f>
        <v>70882.36</v>
      </c>
      <c r="W17" s="20">
        <f>V17-T17</f>
        <v>10632.35</v>
      </c>
      <c r="X17" s="53">
        <f>IFERROR(ROUND(M17*0.092903*VLOOKUP(F17,'_Products'!$A$1:$G$23,6,FALSE),0),0)</f>
        <v>1095</v>
      </c>
      <c r="Y17" s="53">
        <f>IFERROR(ROUND(M17*0.092903*VLOOKUP(F17,'_Products'!$A$1:$G$23,7,FALSE),0),0)</f>
        <v>8128</v>
      </c>
      <c r="Z17" s="53">
        <f>Y17*3.412</f>
        <v>27733</v>
      </c>
    </row>
    <row r="18" spans="1:26" x14ac:dyDescent="0.25">
      <c r="A18" s="41" t="s">
        <v>64</v>
      </c>
      <c r="B18" s="42">
        <v>4</v>
      </c>
      <c r="C18" s="42">
        <v>6</v>
      </c>
      <c r="D18" s="33">
        <v>4000</v>
      </c>
      <c r="E18" s="33" t="str">
        <f>IFERROR(VLOOKUP(F18,'_Products'!$A$1:$G$23,2,FALSE),"")</f>
        <v>Nationstar</v>
      </c>
      <c r="F18" s="33" t="s">
        <v>127</v>
      </c>
      <c r="G18" s="43">
        <f>IFERROR(VLOOKUP(F18,'_Products'!$A$1:$G$23,3,FALSE),0)</f>
        <v>2.5</v>
      </c>
      <c r="H18" s="42">
        <v>4</v>
      </c>
      <c r="I18" s="42">
        <v>6</v>
      </c>
      <c r="J18" s="44">
        <f>IFERROR(ROUND(H18*304.8/G18,0),0)</f>
        <v>488</v>
      </c>
      <c r="K18" s="44">
        <f>IFERROR(ROUND(I18*304.8/G18,0),0)</f>
        <v>732</v>
      </c>
      <c r="L18" s="45">
        <v>1</v>
      </c>
      <c r="M18" s="46">
        <f>H18*I18*L18</f>
        <v>24</v>
      </c>
      <c r="N18" s="47">
        <f>IFERROR(VLOOKUP(F18,'_Products'!$A$1:$G$23,5,FALSE),0)</f>
        <v>2000</v>
      </c>
      <c r="O18" s="47" t="s">
        <v>128</v>
      </c>
      <c r="P18" s="34">
        <v>256.36</v>
      </c>
      <c r="Q18" s="34">
        <f>P18*M18</f>
        <v>6152.75</v>
      </c>
      <c r="R18" s="34">
        <f>SUM('Bundle Equipment'!E93:E93)</f>
        <v>464.4</v>
      </c>
      <c r="S18" s="34">
        <f>MAX(M18*10,500)</f>
        <v>500</v>
      </c>
      <c r="T18" s="48">
        <f>Q18+R18+S18</f>
        <v>7117.15</v>
      </c>
      <c r="U18" s="35">
        <f>V$2</f>
        <v>0.15</v>
      </c>
      <c r="V18" s="48">
        <f>IFERROR(T18/(1-U18),0)</f>
        <v>8373.12</v>
      </c>
      <c r="W18" s="34">
        <f>V18-T18</f>
        <v>1255.97</v>
      </c>
      <c r="X18" s="46">
        <f>IFERROR(ROUND(M18*0.092903*VLOOKUP(F18,'_Products'!$A$1:$G$23,6,FALSE),0),0)</f>
        <v>117</v>
      </c>
      <c r="Y18" s="46">
        <f>IFERROR(ROUND(M18*0.092903*VLOOKUP(F18,'_Products'!$A$1:$G$23,7,FALSE),0),0)</f>
        <v>871</v>
      </c>
      <c r="Z18" s="46">
        <f>Y18*3.412</f>
        <v>2972</v>
      </c>
    </row>
    <row r="19" spans="1:26" x14ac:dyDescent="0.25">
      <c r="A19" s="26" t="s">
        <v>65</v>
      </c>
      <c r="B19" s="49">
        <v>9</v>
      </c>
      <c r="C19" s="49">
        <v>16</v>
      </c>
      <c r="D19">
        <v>4000</v>
      </c>
      <c r="E19" t="str">
        <f>IFERROR(VLOOKUP(F19,'_Products'!$A$1:$G$23,2,FALSE),"")</f>
        <v>Nationstar</v>
      </c>
      <c r="F19" t="s">
        <v>127</v>
      </c>
      <c r="G19" s="50">
        <f>IFERROR(VLOOKUP(F19,'_Products'!$A$1:$G$23,3,FALSE),0)</f>
        <v>2.5</v>
      </c>
      <c r="H19" s="49">
        <v>9</v>
      </c>
      <c r="I19" s="49">
        <v>16</v>
      </c>
      <c r="J19" s="51">
        <f>IFERROR(ROUND(H19*304.8/G19,0),0)</f>
        <v>1097</v>
      </c>
      <c r="K19" s="51">
        <f>IFERROR(ROUND(I19*304.8/G19,0),0)</f>
        <v>1951</v>
      </c>
      <c r="L19" s="52">
        <v>1</v>
      </c>
      <c r="M19" s="53">
        <f>H19*I19*L19</f>
        <v>144</v>
      </c>
      <c r="N19" s="54">
        <f>IFERROR(VLOOKUP(F19,'_Products'!$A$1:$G$23,5,FALSE),0)</f>
        <v>2000</v>
      </c>
      <c r="O19" s="54" t="s">
        <v>128</v>
      </c>
      <c r="P19" s="20">
        <v>256.36</v>
      </c>
      <c r="Q19" s="20">
        <f>P19*M19</f>
        <v>36916.47</v>
      </c>
      <c r="R19" s="20">
        <f>SUM('Bundle Equipment'!E98:E98)</f>
        <v>536.4</v>
      </c>
      <c r="S19" s="20">
        <f>MAX(M19*10,500)</f>
        <v>1440</v>
      </c>
      <c r="T19" s="55">
        <f>Q19+R19+S19</f>
        <v>38892.87</v>
      </c>
      <c r="U19" s="27">
        <f>V$2</f>
        <v>0.15</v>
      </c>
      <c r="V19" s="55">
        <f>IFERROR(T19/(1-U19),0)</f>
        <v>45756.32</v>
      </c>
      <c r="W19" s="20">
        <f>V19-T19</f>
        <v>6863.45</v>
      </c>
      <c r="X19" s="53">
        <f>IFERROR(ROUND(M19*0.092903*VLOOKUP(F19,'_Products'!$A$1:$G$23,6,FALSE),0),0)</f>
        <v>704</v>
      </c>
      <c r="Y19" s="53">
        <f>IFERROR(ROUND(M19*0.092903*VLOOKUP(F19,'_Products'!$A$1:$G$23,7,FALSE),0),0)</f>
        <v>5225</v>
      </c>
      <c r="Z19" s="53">
        <f>Y19*3.412</f>
        <v>17828</v>
      </c>
    </row>
    <row r="20" spans="1:26" x14ac:dyDescent="0.25">
      <c r="A20" s="41" t="s">
        <v>66</v>
      </c>
      <c r="B20" s="42">
        <v>22</v>
      </c>
      <c r="C20" s="42">
        <v>3</v>
      </c>
      <c r="D20" s="33">
        <v>4000</v>
      </c>
      <c r="E20" s="33" t="str">
        <f>IFERROR(VLOOKUP(F20,'_Products'!$A$1:$G$23,2,FALSE),"")</f>
        <v>Nationstar</v>
      </c>
      <c r="F20" s="33" t="s">
        <v>127</v>
      </c>
      <c r="G20" s="43">
        <f>IFERROR(VLOOKUP(F20,'_Products'!$A$1:$G$23,3,FALSE),0)</f>
        <v>2.5</v>
      </c>
      <c r="H20" s="42">
        <v>22</v>
      </c>
      <c r="I20" s="42">
        <v>3</v>
      </c>
      <c r="J20" s="44">
        <f>IFERROR(ROUND(H20*304.8/G20,0),0)</f>
        <v>2682</v>
      </c>
      <c r="K20" s="44">
        <f>IFERROR(ROUND(I20*304.8/G20,0),0)</f>
        <v>366</v>
      </c>
      <c r="L20" s="45">
        <v>1</v>
      </c>
      <c r="M20" s="46">
        <f>H20*I20*L20</f>
        <v>66</v>
      </c>
      <c r="N20" s="47">
        <f>IFERROR(VLOOKUP(F20,'_Products'!$A$1:$G$23,5,FALSE),0)</f>
        <v>2000</v>
      </c>
      <c r="O20" s="47" t="s">
        <v>128</v>
      </c>
      <c r="P20" s="34">
        <v>256.36</v>
      </c>
      <c r="Q20" s="34">
        <f>P20*M20</f>
        <v>16920.05</v>
      </c>
      <c r="R20" s="34">
        <f>SUM('Bundle Equipment'!E103:E103)</f>
        <v>489.6</v>
      </c>
      <c r="S20" s="34">
        <f>MAX(M20*10,500)</f>
        <v>660</v>
      </c>
      <c r="T20" s="48">
        <f>Q20+R20+S20</f>
        <v>18069.65</v>
      </c>
      <c r="U20" s="35">
        <f>V$2</f>
        <v>0.15</v>
      </c>
      <c r="V20" s="48">
        <f>IFERROR(T20/(1-U20),0)</f>
        <v>21258.41</v>
      </c>
      <c r="W20" s="34">
        <f>V20-T20</f>
        <v>3188.76</v>
      </c>
      <c r="X20" s="46">
        <f>IFERROR(ROUND(M20*0.092903*VLOOKUP(F20,'_Products'!$A$1:$G$23,6,FALSE),0),0)</f>
        <v>323</v>
      </c>
      <c r="Y20" s="46">
        <f>IFERROR(ROUND(M20*0.092903*VLOOKUP(F20,'_Products'!$A$1:$G$23,7,FALSE),0),0)</f>
        <v>2395</v>
      </c>
      <c r="Z20" s="46">
        <f>Y20*3.412</f>
        <v>8172</v>
      </c>
    </row>
    <row r="21" spans="1:26" x14ac:dyDescent="0.25">
      <c r="A21" s="26" t="s">
        <v>66</v>
      </c>
      <c r="B21" s="49">
        <v>19</v>
      </c>
      <c r="C21" s="49">
        <v>3</v>
      </c>
      <c r="D21">
        <v>4000</v>
      </c>
      <c r="E21" t="str">
        <f>IFERROR(VLOOKUP(F21,'_Products'!$A$1:$G$23,2,FALSE),"")</f>
        <v>LG/Yaham</v>
      </c>
      <c r="F21" t="s">
        <v>129</v>
      </c>
      <c r="G21" s="50">
        <f>IFERROR(VLOOKUP(F21,'_Products'!$A$1:$G$23,3,FALSE),0)</f>
        <v>3.9</v>
      </c>
      <c r="H21" s="49">
        <v>19</v>
      </c>
      <c r="I21" s="49">
        <v>3</v>
      </c>
      <c r="J21" s="51">
        <f>IFERROR(ROUND(H21*304.8/G21,0),0)</f>
        <v>1485</v>
      </c>
      <c r="K21" s="51">
        <f>IFERROR(ROUND(I21*304.8/G21,0),0)</f>
        <v>234</v>
      </c>
      <c r="L21" s="52">
        <v>1</v>
      </c>
      <c r="M21" s="53">
        <f>H21*I21*L21</f>
        <v>57</v>
      </c>
      <c r="N21" s="54">
        <f>IFERROR(VLOOKUP(F21,'_Products'!$A$1:$G$23,5,FALSE),0)</f>
        <v>6000</v>
      </c>
      <c r="O21" s="54" t="s">
        <v>128</v>
      </c>
      <c r="P21" s="20">
        <v>256.36</v>
      </c>
      <c r="Q21" s="20">
        <f>P21*M21</f>
        <v>14612.77</v>
      </c>
      <c r="R21" s="20">
        <f>SUM('Bundle Equipment'!E108:E108)</f>
        <v>484.2</v>
      </c>
      <c r="S21" s="20">
        <f>MAX(M21*10,500)</f>
        <v>570</v>
      </c>
      <c r="T21" s="55">
        <f>Q21+R21+S21</f>
        <v>15666.97</v>
      </c>
      <c r="U21" s="27">
        <f>V$2</f>
        <v>0.15</v>
      </c>
      <c r="V21" s="55">
        <f>IFERROR(T21/(1-U21),0)</f>
        <v>18431.73</v>
      </c>
      <c r="W21" s="20">
        <f>V21-T21</f>
        <v>2764.76</v>
      </c>
      <c r="X21" s="53">
        <f>IFERROR(ROUND(M21*0.092903*VLOOKUP(F21,'_Products'!$A$1:$G$23,6,FALSE),0),0)</f>
        <v>175</v>
      </c>
      <c r="Y21" s="53">
        <f>IFERROR(ROUND(M21*0.092903*VLOOKUP(F21,'_Products'!$A$1:$G$23,7,FALSE),0),0)</f>
        <v>3177</v>
      </c>
      <c r="Z21" s="53">
        <f>Y21*3.412</f>
        <v>10840</v>
      </c>
    </row>
    <row r="22" spans="1:26" x14ac:dyDescent="0.25">
      <c r="A22" s="41" t="s">
        <v>66</v>
      </c>
      <c r="B22" s="42">
        <v>22</v>
      </c>
      <c r="C22" s="42">
        <v>3.17</v>
      </c>
      <c r="D22" s="33">
        <v>4000</v>
      </c>
      <c r="E22" s="33" t="str">
        <f>IFERROR(VLOOKUP(F22,'_Products'!$A$1:$G$23,2,FALSE),"")</f>
        <v>LG/Yaham</v>
      </c>
      <c r="F22" s="33" t="s">
        <v>129</v>
      </c>
      <c r="G22" s="43">
        <f>IFERROR(VLOOKUP(F22,'_Products'!$A$1:$G$23,3,FALSE),0)</f>
        <v>3.9</v>
      </c>
      <c r="H22" s="42">
        <v>22</v>
      </c>
      <c r="I22" s="42">
        <v>3.17</v>
      </c>
      <c r="J22" s="44">
        <f>IFERROR(ROUND(H22*304.8/G22,0),0)</f>
        <v>1719</v>
      </c>
      <c r="K22" s="44">
        <f>IFERROR(ROUND(I22*304.8/G22,0),0)</f>
        <v>248</v>
      </c>
      <c r="L22" s="45">
        <v>1</v>
      </c>
      <c r="M22" s="46">
        <f>H22*I22*L22</f>
        <v>69.74</v>
      </c>
      <c r="N22" s="47">
        <f>IFERROR(VLOOKUP(F22,'_Products'!$A$1:$G$23,5,FALSE),0)</f>
        <v>6000</v>
      </c>
      <c r="O22" s="47" t="s">
        <v>128</v>
      </c>
      <c r="P22" s="34">
        <v>256.36</v>
      </c>
      <c r="Q22" s="34">
        <f>P22*M22</f>
        <v>17878.84</v>
      </c>
      <c r="R22" s="34">
        <f>SUM('Bundle Equipment'!E113:E113)</f>
        <v>491.84000000000003</v>
      </c>
      <c r="S22" s="34">
        <f>MAX(M22*10,500)</f>
        <v>697.4</v>
      </c>
      <c r="T22" s="48">
        <f>Q22+R22+S22</f>
        <v>19068.08</v>
      </c>
      <c r="U22" s="35">
        <f>V$2</f>
        <v>0.15</v>
      </c>
      <c r="V22" s="48">
        <f>IFERROR(T22/(1-U22),0)</f>
        <v>22433.04</v>
      </c>
      <c r="W22" s="34">
        <f>V22-T22</f>
        <v>3364.96</v>
      </c>
      <c r="X22" s="46">
        <f>IFERROR(ROUND(M22*0.092903*VLOOKUP(F22,'_Products'!$A$1:$G$23,6,FALSE),0),0)</f>
        <v>214</v>
      </c>
      <c r="Y22" s="46">
        <f>IFERROR(ROUND(M22*0.092903*VLOOKUP(F22,'_Products'!$A$1:$G$23,7,FALSE),0),0)</f>
        <v>3887</v>
      </c>
      <c r="Z22" s="46">
        <f>Y22*3.412</f>
        <v>13262</v>
      </c>
    </row>
    <row r="23" spans="1:26" x14ac:dyDescent="0.25">
      <c r="A23" s="26" t="s">
        <v>66</v>
      </c>
      <c r="B23" s="49">
        <v>22</v>
      </c>
      <c r="C23" s="49">
        <v>3</v>
      </c>
      <c r="D23">
        <v>4000</v>
      </c>
      <c r="E23" t="str">
        <f>IFERROR(VLOOKUP(F23,'_Products'!$A$1:$G$23,2,FALSE),"")</f>
        <v>LG/Yaham</v>
      </c>
      <c r="F23" t="s">
        <v>129</v>
      </c>
      <c r="G23" s="50">
        <f>IFERROR(VLOOKUP(F23,'_Products'!$A$1:$G$23,3,FALSE),0)</f>
        <v>3.9</v>
      </c>
      <c r="H23" s="49">
        <v>22</v>
      </c>
      <c r="I23" s="49">
        <v>3</v>
      </c>
      <c r="J23" s="51">
        <f>IFERROR(ROUND(H23*304.8/G23,0),0)</f>
        <v>1719</v>
      </c>
      <c r="K23" s="51">
        <f>IFERROR(ROUND(I23*304.8/G23,0),0)</f>
        <v>234</v>
      </c>
      <c r="L23" s="52">
        <v>1</v>
      </c>
      <c r="M23" s="53">
        <f>H23*I23*L23</f>
        <v>66</v>
      </c>
      <c r="N23" s="54">
        <f>IFERROR(VLOOKUP(F23,'_Products'!$A$1:$G$23,5,FALSE),0)</f>
        <v>6000</v>
      </c>
      <c r="O23" s="54" t="s">
        <v>128</v>
      </c>
      <c r="P23" s="20">
        <v>256.36</v>
      </c>
      <c r="Q23" s="20">
        <f>P23*M23</f>
        <v>16920.05</v>
      </c>
      <c r="R23" s="20">
        <f>SUM('Bundle Equipment'!E118:E118)</f>
        <v>489.6</v>
      </c>
      <c r="S23" s="20">
        <f>MAX(M23*10,500)</f>
        <v>660</v>
      </c>
      <c r="T23" s="55">
        <f>Q23+R23+S23</f>
        <v>18069.65</v>
      </c>
      <c r="U23" s="27">
        <f>V$2</f>
        <v>0.15</v>
      </c>
      <c r="V23" s="55">
        <f>IFERROR(T23/(1-U23),0)</f>
        <v>21258.41</v>
      </c>
      <c r="W23" s="20">
        <f>V23-T23</f>
        <v>3188.76</v>
      </c>
      <c r="X23" s="53">
        <f>IFERROR(ROUND(M23*0.092903*VLOOKUP(F23,'_Products'!$A$1:$G$23,6,FALSE),0),0)</f>
        <v>203</v>
      </c>
      <c r="Y23" s="53">
        <f>IFERROR(ROUND(M23*0.092903*VLOOKUP(F23,'_Products'!$A$1:$G$23,7,FALSE),0),0)</f>
        <v>3679</v>
      </c>
      <c r="Z23" s="53">
        <f>Y23*3.412</f>
        <v>12553</v>
      </c>
    </row>
    <row r="24" spans="1:26" x14ac:dyDescent="0.25">
      <c r="A24" s="41" t="s">
        <v>66</v>
      </c>
      <c r="B24" s="42">
        <v>22</v>
      </c>
      <c r="C24" s="42">
        <v>3</v>
      </c>
      <c r="D24" s="33">
        <v>4000</v>
      </c>
      <c r="E24" s="33" t="str">
        <f>IFERROR(VLOOKUP(F24,'_Products'!$A$1:$G$23,2,FALSE),"")</f>
        <v>LG/Yaham</v>
      </c>
      <c r="F24" s="33" t="s">
        <v>129</v>
      </c>
      <c r="G24" s="43">
        <f>IFERROR(VLOOKUP(F24,'_Products'!$A$1:$G$23,3,FALSE),0)</f>
        <v>3.9</v>
      </c>
      <c r="H24" s="42">
        <v>22</v>
      </c>
      <c r="I24" s="42">
        <v>3</v>
      </c>
      <c r="J24" s="44">
        <f>IFERROR(ROUND(H24*304.8/G24,0),0)</f>
        <v>1719</v>
      </c>
      <c r="K24" s="44">
        <f>IFERROR(ROUND(I24*304.8/G24,0),0)</f>
        <v>234</v>
      </c>
      <c r="L24" s="45">
        <v>1</v>
      </c>
      <c r="M24" s="46">
        <f>H24*I24*L24</f>
        <v>66</v>
      </c>
      <c r="N24" s="47">
        <f>IFERROR(VLOOKUP(F24,'_Products'!$A$1:$G$23,5,FALSE),0)</f>
        <v>6000</v>
      </c>
      <c r="O24" s="47" t="s">
        <v>128</v>
      </c>
      <c r="P24" s="34">
        <v>256.36</v>
      </c>
      <c r="Q24" s="34">
        <f>P24*M24</f>
        <v>16920.05</v>
      </c>
      <c r="R24" s="34">
        <f>SUM('Bundle Equipment'!E123:E123)</f>
        <v>489.6</v>
      </c>
      <c r="S24" s="34">
        <f>MAX(M24*10,500)</f>
        <v>660</v>
      </c>
      <c r="T24" s="48">
        <f>Q24+R24+S24</f>
        <v>18069.65</v>
      </c>
      <c r="U24" s="35">
        <f>V$2</f>
        <v>0.15</v>
      </c>
      <c r="V24" s="48">
        <f>IFERROR(T24/(1-U24),0)</f>
        <v>21258.41</v>
      </c>
      <c r="W24" s="34">
        <f>V24-T24</f>
        <v>3188.76</v>
      </c>
      <c r="X24" s="46">
        <f>IFERROR(ROUND(M24*0.092903*VLOOKUP(F24,'_Products'!$A$1:$G$23,6,FALSE),0),0)</f>
        <v>203</v>
      </c>
      <c r="Y24" s="46">
        <f>IFERROR(ROUND(M24*0.092903*VLOOKUP(F24,'_Products'!$A$1:$G$23,7,FALSE),0),0)</f>
        <v>3679</v>
      </c>
      <c r="Z24" s="46">
        <f>Y24*3.412</f>
        <v>12553</v>
      </c>
    </row>
    <row r="25" spans="1:26" x14ac:dyDescent="0.25">
      <c r="A25" s="26" t="s">
        <v>66</v>
      </c>
      <c r="B25" s="49">
        <v>8</v>
      </c>
      <c r="C25" s="49">
        <v>29</v>
      </c>
      <c r="D25">
        <v>4000</v>
      </c>
      <c r="E25" t="str">
        <f>IFERROR(VLOOKUP(F25,'_Products'!$A$1:$G$23,2,FALSE),"")</f>
        <v>LG/Yaham</v>
      </c>
      <c r="F25" t="s">
        <v>129</v>
      </c>
      <c r="G25" s="50">
        <f>IFERROR(VLOOKUP(F25,'_Products'!$A$1:$G$23,3,FALSE),0)</f>
        <v>3.9</v>
      </c>
      <c r="H25" s="49">
        <v>8</v>
      </c>
      <c r="I25" s="49">
        <v>29</v>
      </c>
      <c r="J25" s="51">
        <f>IFERROR(ROUND(H25*304.8/G25,0),0)</f>
        <v>625</v>
      </c>
      <c r="K25" s="51">
        <f>IFERROR(ROUND(I25*304.8/G25,0),0)</f>
        <v>2266</v>
      </c>
      <c r="L25" s="52">
        <v>1</v>
      </c>
      <c r="M25" s="53">
        <f>H25*I25*L25</f>
        <v>232</v>
      </c>
      <c r="N25" s="54">
        <f>IFERROR(VLOOKUP(F25,'_Products'!$A$1:$G$23,5,FALSE),0)</f>
        <v>6000</v>
      </c>
      <c r="O25" s="54" t="s">
        <v>128</v>
      </c>
      <c r="P25" s="20">
        <v>256.36</v>
      </c>
      <c r="Q25" s="20">
        <f>P25*M25</f>
        <v>59476.53</v>
      </c>
      <c r="R25" s="20">
        <f>SUM('Bundle Equipment'!E128:E128)</f>
        <v>589.2</v>
      </c>
      <c r="S25" s="20">
        <f>MAX(M25*10,500)</f>
        <v>2320</v>
      </c>
      <c r="T25" s="55">
        <f>Q25+R25+S25</f>
        <v>62385.73</v>
      </c>
      <c r="U25" s="27">
        <f>V$2</f>
        <v>0.15</v>
      </c>
      <c r="V25" s="55">
        <f>IFERROR(T25/(1-U25),0)</f>
        <v>73394.98</v>
      </c>
      <c r="W25" s="20">
        <f>V25-T25</f>
        <v>11009.25</v>
      </c>
      <c r="X25" s="53">
        <f>IFERROR(ROUND(M25*0.092903*VLOOKUP(F25,'_Products'!$A$1:$G$23,6,FALSE),0),0)</f>
        <v>713</v>
      </c>
      <c r="Y25" s="53">
        <f>IFERROR(ROUND(M25*0.092903*VLOOKUP(F25,'_Products'!$A$1:$G$23,7,FALSE),0),0)</f>
        <v>12932</v>
      </c>
      <c r="Z25" s="53">
        <f>Y25*3.412</f>
        <v>44124</v>
      </c>
    </row>
    <row r="26" spans="1:26" x14ac:dyDescent="0.25">
      <c r="A26" s="41" t="s">
        <v>66</v>
      </c>
      <c r="B26" s="42">
        <v>4.08</v>
      </c>
      <c r="C26" s="42">
        <v>37.25</v>
      </c>
      <c r="D26" s="33">
        <v>4000</v>
      </c>
      <c r="E26" s="33" t="str">
        <f>IFERROR(VLOOKUP(F26,'_Products'!$A$1:$G$23,2,FALSE),"")</f>
        <v>LG/Yaham</v>
      </c>
      <c r="F26" s="33" t="s">
        <v>129</v>
      </c>
      <c r="G26" s="43">
        <f>IFERROR(VLOOKUP(F26,'_Products'!$A$1:$G$23,3,FALSE),0)</f>
        <v>3.9</v>
      </c>
      <c r="H26" s="42">
        <v>4.08</v>
      </c>
      <c r="I26" s="42">
        <v>37.25</v>
      </c>
      <c r="J26" s="44">
        <f>IFERROR(ROUND(H26*304.8/G26,0),0)</f>
        <v>319</v>
      </c>
      <c r="K26" s="44">
        <f>IFERROR(ROUND(I26*304.8/G26,0),0)</f>
        <v>2911</v>
      </c>
      <c r="L26" s="45">
        <v>1</v>
      </c>
      <c r="M26" s="46">
        <f>H26*I26*L26</f>
        <v>151.98</v>
      </c>
      <c r="N26" s="47">
        <f>IFERROR(VLOOKUP(F26,'_Products'!$A$1:$G$23,5,FALSE),0)</f>
        <v>6000</v>
      </c>
      <c r="O26" s="47" t="s">
        <v>128</v>
      </c>
      <c r="P26" s="34">
        <v>256.36</v>
      </c>
      <c r="Q26" s="34">
        <f>P26*M26</f>
        <v>38962.26</v>
      </c>
      <c r="R26" s="34">
        <f>SUM('Bundle Equipment'!E133:E133)</f>
        <v>541.19</v>
      </c>
      <c r="S26" s="34">
        <f>MAX(M26*10,500)</f>
        <v>1519.8</v>
      </c>
      <c r="T26" s="48">
        <f>Q26+R26+S26</f>
        <v>41023.25</v>
      </c>
      <c r="U26" s="35">
        <f>V$2</f>
        <v>0.15</v>
      </c>
      <c r="V26" s="48">
        <f>IFERROR(T26/(1-U26),0)</f>
        <v>48262.65</v>
      </c>
      <c r="W26" s="34">
        <f>V26-T26</f>
        <v>7239.4</v>
      </c>
      <c r="X26" s="46">
        <f>IFERROR(ROUND(M26*0.092903*VLOOKUP(F26,'_Products'!$A$1:$G$23,6,FALSE),0),0)</f>
        <v>467</v>
      </c>
      <c r="Y26" s="46">
        <f>IFERROR(ROUND(M26*0.092903*VLOOKUP(F26,'_Products'!$A$1:$G$23,7,FALSE),0),0)</f>
        <v>8472</v>
      </c>
      <c r="Z26" s="46">
        <f>Y26*3.412</f>
        <v>28906</v>
      </c>
    </row>
    <row r="27" spans="1:26" x14ac:dyDescent="0.25">
      <c r="A27" s="26" t="s">
        <v>67</v>
      </c>
      <c r="B27" s="49">
        <v>9</v>
      </c>
      <c r="C27" s="49">
        <v>37.25</v>
      </c>
      <c r="D27">
        <v>4000</v>
      </c>
      <c r="E27" t="str">
        <f>IFERROR(VLOOKUP(F27,'_Products'!$A$1:$G$23,2,FALSE),"")</f>
        <v>Nationstar</v>
      </c>
      <c r="F27" t="s">
        <v>127</v>
      </c>
      <c r="G27" s="50">
        <f>IFERROR(VLOOKUP(F27,'_Products'!$A$1:$G$23,3,FALSE),0)</f>
        <v>2.5</v>
      </c>
      <c r="H27" s="49">
        <v>9</v>
      </c>
      <c r="I27" s="49">
        <v>37.25</v>
      </c>
      <c r="J27" s="51">
        <f>IFERROR(ROUND(H27*304.8/G27,0),0)</f>
        <v>1097</v>
      </c>
      <c r="K27" s="51">
        <f>IFERROR(ROUND(I27*304.8/G27,0),0)</f>
        <v>4542</v>
      </c>
      <c r="L27" s="52">
        <v>1</v>
      </c>
      <c r="M27" s="53">
        <f>H27*I27*L27</f>
        <v>335.25</v>
      </c>
      <c r="N27" s="54">
        <f>IFERROR(VLOOKUP(F27,'_Products'!$A$1:$G$23,5,FALSE),0)</f>
        <v>2000</v>
      </c>
      <c r="O27" s="54" t="s">
        <v>128</v>
      </c>
      <c r="P27" s="20">
        <v>256.36</v>
      </c>
      <c r="Q27" s="20">
        <f>P27*M27</f>
        <v>85946.13</v>
      </c>
      <c r="R27" s="20">
        <f>SUM('Bundle Equipment'!E139:E139)</f>
        <v>12651.15</v>
      </c>
      <c r="S27" s="20">
        <f>MAX(M27*10,500)</f>
        <v>3352.5</v>
      </c>
      <c r="T27" s="55">
        <f>Q27+R27+S27</f>
        <v>101949.78</v>
      </c>
      <c r="U27" s="27">
        <f>V$2</f>
        <v>0.15</v>
      </c>
      <c r="V27" s="55">
        <f>IFERROR(T27/(1-U27),0)</f>
        <v>119940.92</v>
      </c>
      <c r="W27" s="20">
        <f>V27-T27</f>
        <v>17991.14</v>
      </c>
      <c r="X27" s="53">
        <f>IFERROR(ROUND(M27*0.092903*VLOOKUP(F27,'_Products'!$A$1:$G$23,6,FALSE),0),0)</f>
        <v>1638</v>
      </c>
      <c r="Y27" s="53">
        <f>IFERROR(ROUND(M27*0.092903*VLOOKUP(F27,'_Products'!$A$1:$G$23,7,FALSE),0),0)</f>
        <v>12166</v>
      </c>
      <c r="Z27" s="53">
        <f>Y27*3.412</f>
        <v>41510</v>
      </c>
    </row>
    <row r="28" spans="1:26" x14ac:dyDescent="0.25">
      <c r="A28" s="41" t="s">
        <v>64</v>
      </c>
      <c r="B28" s="42">
        <v>4</v>
      </c>
      <c r="C28" s="42">
        <v>6</v>
      </c>
      <c r="D28" s="33">
        <v>4000</v>
      </c>
      <c r="E28" s="33" t="str">
        <f>IFERROR(VLOOKUP(F28,'_Products'!$A$1:$G$23,2,FALSE),"")</f>
        <v>LG/Yaham</v>
      </c>
      <c r="F28" s="33" t="s">
        <v>129</v>
      </c>
      <c r="G28" s="43">
        <f>IFERROR(VLOOKUP(F28,'_Products'!$A$1:$G$23,3,FALSE),0)</f>
        <v>3.9</v>
      </c>
      <c r="H28" s="42">
        <v>4</v>
      </c>
      <c r="I28" s="42">
        <v>6</v>
      </c>
      <c r="J28" s="44">
        <f>IFERROR(ROUND(H28*304.8/G28,0),0)</f>
        <v>313</v>
      </c>
      <c r="K28" s="44">
        <f>IFERROR(ROUND(I28*304.8/G28,0),0)</f>
        <v>469</v>
      </c>
      <c r="L28" s="45">
        <v>1</v>
      </c>
      <c r="M28" s="46">
        <f>H28*I28*L28</f>
        <v>24</v>
      </c>
      <c r="N28" s="47">
        <f>IFERROR(VLOOKUP(F28,'_Products'!$A$1:$G$23,5,FALSE),0)</f>
        <v>6000</v>
      </c>
      <c r="O28" s="47" t="s">
        <v>128</v>
      </c>
      <c r="P28" s="34">
        <v>256.36</v>
      </c>
      <c r="Q28" s="34">
        <f>P28*M28</f>
        <v>6152.75</v>
      </c>
      <c r="R28" s="34">
        <f>SUM('Bundle Equipment'!E144:E144)</f>
        <v>464.4</v>
      </c>
      <c r="S28" s="34">
        <f>MAX(M28*10,500)</f>
        <v>500</v>
      </c>
      <c r="T28" s="48">
        <f>Q28+R28+S28</f>
        <v>7117.15</v>
      </c>
      <c r="U28" s="35">
        <f>V$2</f>
        <v>0.15</v>
      </c>
      <c r="V28" s="48">
        <f>IFERROR(T28/(1-U28),0)</f>
        <v>8373.12</v>
      </c>
      <c r="W28" s="34">
        <f>V28-T28</f>
        <v>1255.97</v>
      </c>
      <c r="X28" s="46">
        <f>IFERROR(ROUND(M28*0.092903*VLOOKUP(F28,'_Products'!$A$1:$G$23,6,FALSE),0),0)</f>
        <v>74</v>
      </c>
      <c r="Y28" s="46">
        <f>IFERROR(ROUND(M28*0.092903*VLOOKUP(F28,'_Products'!$A$1:$G$23,7,FALSE),0),0)</f>
        <v>1338</v>
      </c>
      <c r="Z28" s="46">
        <f>Y28*3.412</f>
        <v>4565</v>
      </c>
    </row>
    <row r="29" spans="1:26" x14ac:dyDescent="0.25">
      <c r="A29" s="26" t="s">
        <v>67</v>
      </c>
      <c r="B29" s="49">
        <v>9</v>
      </c>
      <c r="C29" s="49">
        <v>16</v>
      </c>
      <c r="D29">
        <v>4000</v>
      </c>
      <c r="E29" t="str">
        <f>IFERROR(VLOOKUP(F29,'_Products'!$A$1:$G$23,2,FALSE),"")</f>
        <v>LG/Yaham</v>
      </c>
      <c r="F29" t="s">
        <v>129</v>
      </c>
      <c r="G29" s="50">
        <f>IFERROR(VLOOKUP(F29,'_Products'!$A$1:$G$23,3,FALSE),0)</f>
        <v>3.9</v>
      </c>
      <c r="H29" s="49">
        <v>9</v>
      </c>
      <c r="I29" s="49">
        <v>16</v>
      </c>
      <c r="J29" s="51">
        <f>IFERROR(ROUND(H29*304.8/G29,0),0)</f>
        <v>703</v>
      </c>
      <c r="K29" s="51">
        <f>IFERROR(ROUND(I29*304.8/G29,0),0)</f>
        <v>1250</v>
      </c>
      <c r="L29" s="52">
        <v>1</v>
      </c>
      <c r="M29" s="53">
        <f>H29*I29*L29</f>
        <v>144</v>
      </c>
      <c r="N29" s="54">
        <f>IFERROR(VLOOKUP(F29,'_Products'!$A$1:$G$23,5,FALSE),0)</f>
        <v>6000</v>
      </c>
      <c r="O29" s="54" t="s">
        <v>128</v>
      </c>
      <c r="P29" s="20">
        <v>256.36</v>
      </c>
      <c r="Q29" s="20">
        <f>P29*M29</f>
        <v>36916.47</v>
      </c>
      <c r="R29" s="20">
        <f>SUM('Bundle Equipment'!E149:E149)</f>
        <v>536.4</v>
      </c>
      <c r="S29" s="20">
        <f>MAX(M29*10,500)</f>
        <v>1440</v>
      </c>
      <c r="T29" s="55">
        <f>Q29+R29+S29</f>
        <v>38892.87</v>
      </c>
      <c r="U29" s="27">
        <f>V$2</f>
        <v>0.15</v>
      </c>
      <c r="V29" s="55">
        <f>IFERROR(T29/(1-U29),0)</f>
        <v>45756.32</v>
      </c>
      <c r="W29" s="20">
        <f>V29-T29</f>
        <v>6863.45</v>
      </c>
      <c r="X29" s="53">
        <f>IFERROR(ROUND(M29*0.092903*VLOOKUP(F29,'_Products'!$A$1:$G$23,6,FALSE),0),0)</f>
        <v>442</v>
      </c>
      <c r="Y29" s="53">
        <f>IFERROR(ROUND(M29*0.092903*VLOOKUP(F29,'_Products'!$A$1:$G$23,7,FALSE),0),0)</f>
        <v>8027</v>
      </c>
      <c r="Z29" s="53">
        <f>Y29*3.412</f>
        <v>27388</v>
      </c>
    </row>
    <row r="30" spans="1:26" x14ac:dyDescent="0.25">
      <c r="A30" s="41" t="s">
        <v>64</v>
      </c>
      <c r="B30" s="42">
        <v>4</v>
      </c>
      <c r="C30" s="42">
        <v>6</v>
      </c>
      <c r="D30" s="33">
        <v>4000</v>
      </c>
      <c r="E30" s="33" t="str">
        <f>IFERROR(VLOOKUP(F30,'_Products'!$A$1:$G$23,2,FALSE),"")</f>
        <v>LG/Yaham</v>
      </c>
      <c r="F30" s="33" t="s">
        <v>129</v>
      </c>
      <c r="G30" s="43">
        <f>IFERROR(VLOOKUP(F30,'_Products'!$A$1:$G$23,3,FALSE),0)</f>
        <v>3.9</v>
      </c>
      <c r="H30" s="42">
        <v>4</v>
      </c>
      <c r="I30" s="42">
        <v>6</v>
      </c>
      <c r="J30" s="44">
        <f>IFERROR(ROUND(H30*304.8/G30,0),0)</f>
        <v>313</v>
      </c>
      <c r="K30" s="44">
        <f>IFERROR(ROUND(I30*304.8/G30,0),0)</f>
        <v>469</v>
      </c>
      <c r="L30" s="45">
        <v>1</v>
      </c>
      <c r="M30" s="46">
        <f>H30*I30*L30</f>
        <v>24</v>
      </c>
      <c r="N30" s="47">
        <f>IFERROR(VLOOKUP(F30,'_Products'!$A$1:$G$23,5,FALSE),0)</f>
        <v>6000</v>
      </c>
      <c r="O30" s="47" t="s">
        <v>128</v>
      </c>
      <c r="P30" s="34">
        <v>256.36</v>
      </c>
      <c r="Q30" s="34">
        <f>P30*M30</f>
        <v>6152.75</v>
      </c>
      <c r="R30" s="34">
        <f>SUM('Bundle Equipment'!E154:E154)</f>
        <v>464.4</v>
      </c>
      <c r="S30" s="34">
        <f>MAX(M30*10,500)</f>
        <v>500</v>
      </c>
      <c r="T30" s="48">
        <f>Q30+R30+S30</f>
        <v>7117.15</v>
      </c>
      <c r="U30" s="35">
        <f>V$2</f>
        <v>0.15</v>
      </c>
      <c r="V30" s="48">
        <f>IFERROR(T30/(1-U30),0)</f>
        <v>8373.12</v>
      </c>
      <c r="W30" s="34">
        <f>V30-T30</f>
        <v>1255.97</v>
      </c>
      <c r="X30" s="46">
        <f>IFERROR(ROUND(M30*0.092903*VLOOKUP(F30,'_Products'!$A$1:$G$23,6,FALSE),0),0)</f>
        <v>74</v>
      </c>
      <c r="Y30" s="46">
        <f>IFERROR(ROUND(M30*0.092903*VLOOKUP(F30,'_Products'!$A$1:$G$23,7,FALSE),0),0)</f>
        <v>1338</v>
      </c>
      <c r="Z30" s="46">
        <f>Y30*3.412</f>
        <v>4565</v>
      </c>
    </row>
    <row r="31" spans="1:26" x14ac:dyDescent="0.25">
      <c r="A31" s="26" t="s">
        <v>64</v>
      </c>
      <c r="B31" s="49">
        <v>4</v>
      </c>
      <c r="C31" s="49">
        <v>6</v>
      </c>
      <c r="D31">
        <v>4000</v>
      </c>
      <c r="E31" t="str">
        <f>IFERROR(VLOOKUP(F31,'_Products'!$A$1:$G$23,2,FALSE),"")</f>
        <v>LG/Yaham</v>
      </c>
      <c r="F31" t="s">
        <v>129</v>
      </c>
      <c r="G31" s="50">
        <f>IFERROR(VLOOKUP(F31,'_Products'!$A$1:$G$23,3,FALSE),0)</f>
        <v>3.9</v>
      </c>
      <c r="H31" s="49">
        <v>4</v>
      </c>
      <c r="I31" s="49">
        <v>6</v>
      </c>
      <c r="J31" s="51">
        <f>IFERROR(ROUND(H31*304.8/G31,0),0)</f>
        <v>313</v>
      </c>
      <c r="K31" s="51">
        <f>IFERROR(ROUND(I31*304.8/G31,0),0)</f>
        <v>469</v>
      </c>
      <c r="L31" s="52">
        <v>1</v>
      </c>
      <c r="M31" s="53">
        <f>H31*I31*L31</f>
        <v>24</v>
      </c>
      <c r="N31" s="54">
        <f>IFERROR(VLOOKUP(F31,'_Products'!$A$1:$G$23,5,FALSE),0)</f>
        <v>6000</v>
      </c>
      <c r="O31" s="54" t="s">
        <v>128</v>
      </c>
      <c r="P31" s="20">
        <v>256.36</v>
      </c>
      <c r="Q31" s="20">
        <f>P31*M31</f>
        <v>6152.75</v>
      </c>
      <c r="R31" s="20">
        <f>SUM('Bundle Equipment'!E159:E159)</f>
        <v>464.4</v>
      </c>
      <c r="S31" s="20">
        <f>MAX(M31*10,500)</f>
        <v>500</v>
      </c>
      <c r="T31" s="55">
        <f>Q31+R31+S31</f>
        <v>7117.15</v>
      </c>
      <c r="U31" s="27">
        <f>V$2</f>
        <v>0.15</v>
      </c>
      <c r="V31" s="55">
        <f>IFERROR(T31/(1-U31),0)</f>
        <v>8373.12</v>
      </c>
      <c r="W31" s="20">
        <f>V31-T31</f>
        <v>1255.97</v>
      </c>
      <c r="X31" s="53">
        <f>IFERROR(ROUND(M31*0.092903*VLOOKUP(F31,'_Products'!$A$1:$G$23,6,FALSE),0),0)</f>
        <v>74</v>
      </c>
      <c r="Y31" s="53">
        <f>IFERROR(ROUND(M31*0.092903*VLOOKUP(F31,'_Products'!$A$1:$G$23,7,FALSE),0),0)</f>
        <v>1338</v>
      </c>
      <c r="Z31" s="53">
        <f>Y31*3.412</f>
        <v>4565</v>
      </c>
    </row>
    <row r="32" spans="1:26" x14ac:dyDescent="0.25">
      <c r="A32" s="41" t="s">
        <v>65</v>
      </c>
      <c r="B32" s="42">
        <v>9</v>
      </c>
      <c r="C32" s="42">
        <v>16</v>
      </c>
      <c r="D32" s="33">
        <v>4000</v>
      </c>
      <c r="E32" s="33" t="str">
        <f>IFERROR(VLOOKUP(F32,'_Products'!$A$1:$G$23,2,FALSE),"")</f>
        <v>LG/Yaham</v>
      </c>
      <c r="F32" s="33" t="s">
        <v>129</v>
      </c>
      <c r="G32" s="43">
        <f>IFERROR(VLOOKUP(F32,'_Products'!$A$1:$G$23,3,FALSE),0)</f>
        <v>3.9</v>
      </c>
      <c r="H32" s="42">
        <v>9</v>
      </c>
      <c r="I32" s="42">
        <v>16</v>
      </c>
      <c r="J32" s="44">
        <f>IFERROR(ROUND(H32*304.8/G32,0),0)</f>
        <v>703</v>
      </c>
      <c r="K32" s="44">
        <f>IFERROR(ROUND(I32*304.8/G32,0),0)</f>
        <v>1250</v>
      </c>
      <c r="L32" s="45">
        <v>1</v>
      </c>
      <c r="M32" s="46">
        <f>H32*I32*L32</f>
        <v>144</v>
      </c>
      <c r="N32" s="47">
        <f>IFERROR(VLOOKUP(F32,'_Products'!$A$1:$G$23,5,FALSE),0)</f>
        <v>6000</v>
      </c>
      <c r="O32" s="47" t="s">
        <v>128</v>
      </c>
      <c r="P32" s="34">
        <v>256.36</v>
      </c>
      <c r="Q32" s="34">
        <f>P32*M32</f>
        <v>36916.47</v>
      </c>
      <c r="R32" s="34">
        <f>SUM('Bundle Equipment'!E164:E164)</f>
        <v>536.4</v>
      </c>
      <c r="S32" s="34">
        <f>MAX(M32*10,500)</f>
        <v>1440</v>
      </c>
      <c r="T32" s="48">
        <f>Q32+R32+S32</f>
        <v>38892.87</v>
      </c>
      <c r="U32" s="35">
        <f>V$2</f>
        <v>0.15</v>
      </c>
      <c r="V32" s="48">
        <f>IFERROR(T32/(1-U32),0)</f>
        <v>45756.32</v>
      </c>
      <c r="W32" s="34">
        <f>V32-T32</f>
        <v>6863.45</v>
      </c>
      <c r="X32" s="46">
        <f>IFERROR(ROUND(M32*0.092903*VLOOKUP(F32,'_Products'!$A$1:$G$23,6,FALSE),0),0)</f>
        <v>442</v>
      </c>
      <c r="Y32" s="46">
        <f>IFERROR(ROUND(M32*0.092903*VLOOKUP(F32,'_Products'!$A$1:$G$23,7,FALSE),0),0)</f>
        <v>8027</v>
      </c>
      <c r="Z32" s="46">
        <f>Y32*3.412</f>
        <v>27388</v>
      </c>
    </row>
    <row r="33" spans="1:26" x14ac:dyDescent="0.25">
      <c r="A33" s="26" t="s">
        <v>68</v>
      </c>
      <c r="B33" s="49">
        <v>3</v>
      </c>
      <c r="C33" s="49">
        <v>20</v>
      </c>
      <c r="D33">
        <v>8000</v>
      </c>
      <c r="E33" t="str">
        <f>IFERROR(VLOOKUP(F33,'_Products'!$A$1:$G$23,2,FALSE),"")</f>
        <v>Yaham</v>
      </c>
      <c r="F33" t="s">
        <v>130</v>
      </c>
      <c r="G33" s="50">
        <f>IFERROR(VLOOKUP(F33,'_Products'!$A$1:$G$23,3,FALSE),0)</f>
        <v>10</v>
      </c>
      <c r="H33" s="49">
        <v>3</v>
      </c>
      <c r="I33" s="49">
        <v>20</v>
      </c>
      <c r="J33" s="51">
        <f>IFERROR(ROUND(H33*304.8/G33,0),0)</f>
        <v>0</v>
      </c>
      <c r="K33" s="51">
        <f>IFERROR(ROUND(I33*304.8/G33,0),0)</f>
        <v>0</v>
      </c>
      <c r="L33" s="52">
        <v>1</v>
      </c>
      <c r="M33" s="53">
        <f>H33*I33*L33</f>
        <v>60</v>
      </c>
      <c r="N33" s="54">
        <f>IFERROR(VLOOKUP(F33,'_Products'!$A$1:$G$23,5,FALSE),0)</f>
        <v>7500</v>
      </c>
      <c r="O33" s="54" t="s">
        <v>128</v>
      </c>
      <c r="P33" s="20">
        <v>123.72</v>
      </c>
      <c r="Q33" s="20">
        <f>P33*M33</f>
        <v>7423.35</v>
      </c>
      <c r="R33" s="20">
        <f>SUM('Bundle Equipment'!E171:E171)</f>
        <v>3706</v>
      </c>
      <c r="S33" s="20">
        <f>MAX(M33*10,500)</f>
        <v>600</v>
      </c>
      <c r="T33" s="55">
        <f>Q33+R33+S33</f>
        <v>11729.35</v>
      </c>
      <c r="U33" s="27">
        <f>V$2</f>
        <v>0.15</v>
      </c>
      <c r="V33" s="55">
        <f>IFERROR(T33/(1-U33),0)</f>
        <v>13799.24</v>
      </c>
      <c r="W33" s="20">
        <f>V33-T33</f>
        <v>2069.89</v>
      </c>
      <c r="X33" s="53">
        <f>IFERROR(ROUND(M33*0.092903*VLOOKUP(F33,'_Products'!$A$1:$G$23,6,FALSE),0),0)</f>
        <v>469</v>
      </c>
      <c r="Y33" s="53">
        <f>IFERROR(ROUND(M33*0.092903*VLOOKUP(F33,'_Products'!$A$1:$G$23,7,FALSE),0),0)</f>
        <v>2632</v>
      </c>
      <c r="Z33" s="53">
        <f>Y33*3.412</f>
        <v>8980</v>
      </c>
    </row>
    <row r="34" spans="1:26" x14ac:dyDescent="0.25">
      <c r="A34" s="41" t="s">
        <v>68</v>
      </c>
      <c r="B34" s="42">
        <v>3</v>
      </c>
      <c r="C34" s="42">
        <v>20.49</v>
      </c>
      <c r="D34" s="33">
        <v>8000</v>
      </c>
      <c r="E34" s="33" t="str">
        <f>IFERROR(VLOOKUP(F34,'_Products'!$A$1:$G$23,2,FALSE),"")</f>
        <v>Yaham</v>
      </c>
      <c r="F34" s="33" t="s">
        <v>130</v>
      </c>
      <c r="G34" s="43">
        <f>IFERROR(VLOOKUP(F34,'_Products'!$A$1:$G$23,3,FALSE),0)</f>
        <v>10</v>
      </c>
      <c r="H34" s="42">
        <v>3</v>
      </c>
      <c r="I34" s="42">
        <v>20.49</v>
      </c>
      <c r="J34" s="44">
        <f>IFERROR(ROUND(H34*304.8/G34,0),0)</f>
        <v>91</v>
      </c>
      <c r="K34" s="44">
        <f>IFERROR(ROUND(I34*304.8/G34,0),0)</f>
        <v>625</v>
      </c>
      <c r="L34" s="45">
        <v>1</v>
      </c>
      <c r="M34" s="46">
        <f>H34*I34*L34</f>
        <v>61.47</v>
      </c>
      <c r="N34" s="47">
        <f>IFERROR(VLOOKUP(F34,'_Products'!$A$1:$G$23,5,FALSE),0)</f>
        <v>7500</v>
      </c>
      <c r="O34" s="47" t="s">
        <v>128</v>
      </c>
      <c r="P34" s="34">
        <v>123.72</v>
      </c>
      <c r="Q34" s="34">
        <f>P34*M34</f>
        <v>7605.22</v>
      </c>
      <c r="R34" s="34">
        <f>SUM('Bundle Equipment'!E178:E178)</f>
        <v>3724.52</v>
      </c>
      <c r="S34" s="34">
        <f>MAX(M34*10,500)</f>
        <v>614.7</v>
      </c>
      <c r="T34" s="48">
        <f>Q34+R34+S34</f>
        <v>11944.44</v>
      </c>
      <c r="U34" s="35">
        <f>V$2</f>
        <v>0.15</v>
      </c>
      <c r="V34" s="48">
        <f>IFERROR(T34/(1-U34),0)</f>
        <v>14052.28</v>
      </c>
      <c r="W34" s="34">
        <f>V34-T34</f>
        <v>2107.84</v>
      </c>
      <c r="X34" s="46">
        <f>IFERROR(ROUND(M34*0.092903*VLOOKUP(F34,'_Products'!$A$1:$G$23,6,FALSE),0),0)</f>
        <v>481</v>
      </c>
      <c r="Y34" s="46">
        <f>IFERROR(ROUND(M34*0.092903*VLOOKUP(F34,'_Products'!$A$1:$G$23,7,FALSE),0),0)</f>
        <v>2697</v>
      </c>
      <c r="Z34" s="46">
        <f>Y34*3.412</f>
        <v>9202</v>
      </c>
    </row>
    <row r="35" spans="1:26" x14ac:dyDescent="0.25">
      <c r="A35" s="26" t="s">
        <v>68</v>
      </c>
      <c r="B35" s="49">
        <v>3</v>
      </c>
      <c r="C35" s="49">
        <v>35.21</v>
      </c>
      <c r="D35">
        <v>8000</v>
      </c>
      <c r="E35" t="str">
        <f>IFERROR(VLOOKUP(F35,'_Products'!$A$1:$G$23,2,FALSE),"")</f>
        <v>Yaham</v>
      </c>
      <c r="F35" t="s">
        <v>130</v>
      </c>
      <c r="G35" s="50">
        <f>IFERROR(VLOOKUP(F35,'_Products'!$A$1:$G$23,3,FALSE),0)</f>
        <v>10</v>
      </c>
      <c r="H35" s="49">
        <v>3</v>
      </c>
      <c r="I35" s="49">
        <v>35.21</v>
      </c>
      <c r="J35" s="51">
        <f>IFERROR(ROUND(H35*304.8/G35,0),0)</f>
        <v>91</v>
      </c>
      <c r="K35" s="51">
        <f>IFERROR(ROUND(I35*304.8/G35,0),0)</f>
        <v>1073</v>
      </c>
      <c r="L35" s="52">
        <v>1</v>
      </c>
      <c r="M35" s="53">
        <f>H35*I35*L35</f>
        <v>105.63</v>
      </c>
      <c r="N35" s="54">
        <f>IFERROR(VLOOKUP(F35,'_Products'!$A$1:$G$23,5,FALSE),0)</f>
        <v>7500</v>
      </c>
      <c r="O35" s="54" t="s">
        <v>128</v>
      </c>
      <c r="P35" s="20">
        <v>123.72</v>
      </c>
      <c r="Q35" s="20">
        <f>P35*M35</f>
        <v>13068.81</v>
      </c>
      <c r="R35" s="20">
        <f>SUM('Bundle Equipment'!E185:E185)</f>
        <v>4280.9400000000005</v>
      </c>
      <c r="S35" s="20">
        <f>MAX(M35*10,500)</f>
        <v>1056.3</v>
      </c>
      <c r="T35" s="55">
        <f>Q35+R35+S35</f>
        <v>18406.05</v>
      </c>
      <c r="U35" s="27">
        <f>V$2</f>
        <v>0.15</v>
      </c>
      <c r="V35" s="55">
        <f>IFERROR(T35/(1-U35),0)</f>
        <v>21654.18</v>
      </c>
      <c r="W35" s="20">
        <f>V35-T35</f>
        <v>3248.13</v>
      </c>
      <c r="X35" s="53">
        <f>IFERROR(ROUND(M35*0.092903*VLOOKUP(F35,'_Products'!$A$1:$G$23,6,FALSE),0),0)</f>
        <v>826</v>
      </c>
      <c r="Y35" s="53">
        <f>IFERROR(ROUND(M35*0.092903*VLOOKUP(F35,'_Products'!$A$1:$G$23,7,FALSE),0),0)</f>
        <v>4634</v>
      </c>
      <c r="Z35" s="53">
        <f>Y35*3.412</f>
        <v>15811</v>
      </c>
    </row>
    <row r="36" spans="1:26" x14ac:dyDescent="0.25">
      <c r="A36" s="41" t="s">
        <v>68</v>
      </c>
      <c r="B36" s="42">
        <v>3</v>
      </c>
      <c r="C36" s="42">
        <v>35.31</v>
      </c>
      <c r="D36" s="33">
        <v>8000</v>
      </c>
      <c r="E36" s="33" t="str">
        <f>IFERROR(VLOOKUP(F36,'_Products'!$A$1:$G$23,2,FALSE),"")</f>
        <v>Yaham</v>
      </c>
      <c r="F36" s="33" t="s">
        <v>130</v>
      </c>
      <c r="G36" s="43">
        <f>IFERROR(VLOOKUP(F36,'_Products'!$A$1:$G$23,3,FALSE),0)</f>
        <v>10</v>
      </c>
      <c r="H36" s="42">
        <v>3</v>
      </c>
      <c r="I36" s="42">
        <v>35.31</v>
      </c>
      <c r="J36" s="44">
        <f>IFERROR(ROUND(H36*304.8/G36,0),0)</f>
        <v>91</v>
      </c>
      <c r="K36" s="44">
        <f>IFERROR(ROUND(I36*304.8/G36,0),0)</f>
        <v>1076</v>
      </c>
      <c r="L36" s="45">
        <v>1</v>
      </c>
      <c r="M36" s="46">
        <f>H36*I36*L36</f>
        <v>105.93</v>
      </c>
      <c r="N36" s="47">
        <f>IFERROR(VLOOKUP(F36,'_Products'!$A$1:$G$23,5,FALSE),0)</f>
        <v>7500</v>
      </c>
      <c r="O36" s="47" t="s">
        <v>128</v>
      </c>
      <c r="P36" s="34">
        <v>123.72</v>
      </c>
      <c r="Q36" s="34">
        <f>P36*M36</f>
        <v>13105.92</v>
      </c>
      <c r="R36" s="34">
        <f>SUM('Bundle Equipment'!E192:E192)</f>
        <v>4284.72</v>
      </c>
      <c r="S36" s="34">
        <f>MAX(M36*10,500)</f>
        <v>1059.3</v>
      </c>
      <c r="T36" s="48">
        <f>Q36+R36+S36</f>
        <v>18449.94</v>
      </c>
      <c r="U36" s="35">
        <f>V$2</f>
        <v>0.15</v>
      </c>
      <c r="V36" s="48">
        <f>IFERROR(T36/(1-U36),0)</f>
        <v>21705.81</v>
      </c>
      <c r="W36" s="34">
        <f>V36-T36</f>
        <v>3255.87</v>
      </c>
      <c r="X36" s="46">
        <f>IFERROR(ROUND(M36*0.092903*VLOOKUP(F36,'_Products'!$A$1:$G$23,6,FALSE),0),0)</f>
        <v>829</v>
      </c>
      <c r="Y36" s="46">
        <f>IFERROR(ROUND(M36*0.092903*VLOOKUP(F36,'_Products'!$A$1:$G$23,7,FALSE),0),0)</f>
        <v>4647</v>
      </c>
      <c r="Z36" s="46">
        <f>Y36*3.412</f>
        <v>15856</v>
      </c>
    </row>
    <row r="37" spans="1:26" x14ac:dyDescent="0.25">
      <c r="A37" s="26" t="s">
        <v>69</v>
      </c>
      <c r="B37" s="49">
        <v>4</v>
      </c>
      <c r="C37" s="49">
        <v>35.41</v>
      </c>
      <c r="D37">
        <v>8000</v>
      </c>
      <c r="E37" t="str">
        <f>IFERROR(VLOOKUP(F37,'_Products'!$A$1:$G$23,2,FALSE),"")</f>
        <v>Yaham</v>
      </c>
      <c r="F37" t="s">
        <v>130</v>
      </c>
      <c r="G37" s="50">
        <f>IFERROR(VLOOKUP(F37,'_Products'!$A$1:$G$23,3,FALSE),0)</f>
        <v>10</v>
      </c>
      <c r="H37" s="49">
        <v>4</v>
      </c>
      <c r="I37" s="49">
        <v>35.41</v>
      </c>
      <c r="J37" s="51">
        <f>IFERROR(ROUND(H37*304.8/G37,0),0)</f>
        <v>0</v>
      </c>
      <c r="K37" s="51">
        <f>IFERROR(ROUND(I37*304.8/G37,0),0)</f>
        <v>0</v>
      </c>
      <c r="L37" s="52">
        <v>1</v>
      </c>
      <c r="M37" s="53">
        <f>H37*I37*L37</f>
        <v>141.64</v>
      </c>
      <c r="N37" s="54">
        <f>IFERROR(VLOOKUP(F37,'_Products'!$A$1:$G$23,5,FALSE),0)</f>
        <v>7500</v>
      </c>
      <c r="O37" s="54" t="s">
        <v>128</v>
      </c>
      <c r="P37" s="20">
        <v>123.72</v>
      </c>
      <c r="Q37" s="20">
        <f>P37*M37</f>
        <v>17524.06</v>
      </c>
      <c r="R37" s="20">
        <f>SUM('Bundle Equipment'!E199:E199)</f>
        <v>4734.66</v>
      </c>
      <c r="S37" s="20">
        <f>MAX(M37*10,500)</f>
        <v>1416.4</v>
      </c>
      <c r="T37" s="55">
        <f>Q37+R37+S37</f>
        <v>23675.12</v>
      </c>
      <c r="U37" s="27">
        <f>V$2</f>
        <v>0.15</v>
      </c>
      <c r="V37" s="55">
        <f>IFERROR(T37/(1-U37),0)</f>
        <v>27853.08</v>
      </c>
      <c r="W37" s="20">
        <f>V37-T37</f>
        <v>4177.96</v>
      </c>
      <c r="X37" s="53">
        <f>IFERROR(ROUND(M37*0.092903*VLOOKUP(F37,'_Products'!$A$1:$G$23,6,FALSE),0),0)</f>
        <v>1108</v>
      </c>
      <c r="Y37" s="53">
        <f>IFERROR(ROUND(M37*0.092903*VLOOKUP(F37,'_Products'!$A$1:$G$23,7,FALSE),0),0)</f>
        <v>6214</v>
      </c>
      <c r="Z37" s="53">
        <f>Y37*3.412</f>
        <v>21202</v>
      </c>
    </row>
    <row r="38" spans="1:26" x14ac:dyDescent="0.25">
      <c r="A38" s="41" t="s">
        <v>69</v>
      </c>
      <c r="B38" s="42">
        <v>4</v>
      </c>
      <c r="C38" s="42">
        <v>20.49</v>
      </c>
      <c r="D38" s="33">
        <v>8000</v>
      </c>
      <c r="E38" s="33" t="str">
        <f>IFERROR(VLOOKUP(F38,'_Products'!$A$1:$G$23,2,FALSE),"")</f>
        <v>Yaham</v>
      </c>
      <c r="F38" s="33" t="s">
        <v>130</v>
      </c>
      <c r="G38" s="43">
        <f>IFERROR(VLOOKUP(F38,'_Products'!$A$1:$G$23,3,FALSE),0)</f>
        <v>10</v>
      </c>
      <c r="H38" s="42">
        <v>4</v>
      </c>
      <c r="I38" s="42">
        <v>20.49</v>
      </c>
      <c r="J38" s="44">
        <f>IFERROR(ROUND(H38*304.8/G38,0),0)</f>
        <v>122</v>
      </c>
      <c r="K38" s="44">
        <f>IFERROR(ROUND(I38*304.8/G38,0),0)</f>
        <v>625</v>
      </c>
      <c r="L38" s="45">
        <v>1</v>
      </c>
      <c r="M38" s="46">
        <f>H38*I38*L38</f>
        <v>81.96</v>
      </c>
      <c r="N38" s="47">
        <f>IFERROR(VLOOKUP(F38,'_Products'!$A$1:$G$23,5,FALSE),0)</f>
        <v>7500</v>
      </c>
      <c r="O38" s="47" t="s">
        <v>128</v>
      </c>
      <c r="P38" s="34">
        <v>123.72</v>
      </c>
      <c r="Q38" s="34">
        <f>P38*M38</f>
        <v>10140.3</v>
      </c>
      <c r="R38" s="34">
        <f>SUM('Bundle Equipment'!E206:E206)</f>
        <v>3982.7</v>
      </c>
      <c r="S38" s="34">
        <f>MAX(M38*10,500)</f>
        <v>819.6</v>
      </c>
      <c r="T38" s="48">
        <f>Q38+R38+S38</f>
        <v>14942.6</v>
      </c>
      <c r="U38" s="35">
        <f>V$2</f>
        <v>0.15</v>
      </c>
      <c r="V38" s="48">
        <f>IFERROR(T38/(1-U38),0)</f>
        <v>17579.53</v>
      </c>
      <c r="W38" s="34">
        <f>V38-T38</f>
        <v>2636.93</v>
      </c>
      <c r="X38" s="46">
        <f>IFERROR(ROUND(M38*0.092903*VLOOKUP(F38,'_Products'!$A$1:$G$23,6,FALSE),0),0)</f>
        <v>641</v>
      </c>
      <c r="Y38" s="46">
        <f>IFERROR(ROUND(M38*0.092903*VLOOKUP(F38,'_Products'!$A$1:$G$23,7,FALSE),0),0)</f>
        <v>3595</v>
      </c>
      <c r="Z38" s="46">
        <f>Y38*3.412</f>
        <v>12266</v>
      </c>
    </row>
    <row r="39" spans="1:26" x14ac:dyDescent="0.25">
      <c r="A39" s="26" t="s">
        <v>69</v>
      </c>
      <c r="B39" s="49">
        <v>4</v>
      </c>
      <c r="C39" s="49">
        <v>35.21</v>
      </c>
      <c r="D39">
        <v>8000</v>
      </c>
      <c r="E39" t="str">
        <f>IFERROR(VLOOKUP(F39,'_Products'!$A$1:$G$23,2,FALSE),"")</f>
        <v>Yaham</v>
      </c>
      <c r="F39" t="s">
        <v>130</v>
      </c>
      <c r="G39" s="50">
        <f>IFERROR(VLOOKUP(F39,'_Products'!$A$1:$G$23,3,FALSE),0)</f>
        <v>10</v>
      </c>
      <c r="H39" s="49">
        <v>4</v>
      </c>
      <c r="I39" s="49">
        <v>35.21</v>
      </c>
      <c r="J39" s="51">
        <f>IFERROR(ROUND(H39*304.8/G39,0),0)</f>
        <v>122</v>
      </c>
      <c r="K39" s="51">
        <f>IFERROR(ROUND(I39*304.8/G39,0),0)</f>
        <v>1073</v>
      </c>
      <c r="L39" s="52">
        <v>1</v>
      </c>
      <c r="M39" s="53">
        <f>H39*I39*L39</f>
        <v>140.84</v>
      </c>
      <c r="N39" s="54">
        <f>IFERROR(VLOOKUP(F39,'_Products'!$A$1:$G$23,5,FALSE),0)</f>
        <v>7500</v>
      </c>
      <c r="O39" s="54" t="s">
        <v>128</v>
      </c>
      <c r="P39" s="20">
        <v>123.72</v>
      </c>
      <c r="Q39" s="20">
        <f>P39*M39</f>
        <v>17425.08</v>
      </c>
      <c r="R39" s="20">
        <f>SUM('Bundle Equipment'!E213:E213)</f>
        <v>4724.58</v>
      </c>
      <c r="S39" s="20">
        <f>MAX(M39*10,500)</f>
        <v>1408.4</v>
      </c>
      <c r="T39" s="55">
        <f>Q39+R39+S39</f>
        <v>23558.06</v>
      </c>
      <c r="U39" s="27">
        <f>V$2</f>
        <v>0.15</v>
      </c>
      <c r="V39" s="55">
        <f>IFERROR(T39/(1-U39),0)</f>
        <v>27715.36</v>
      </c>
      <c r="W39" s="20">
        <f>V39-T39</f>
        <v>4157.3</v>
      </c>
      <c r="X39" s="53">
        <f>IFERROR(ROUND(M39*0.092903*VLOOKUP(F39,'_Products'!$A$1:$G$23,6,FALSE),0),0)</f>
        <v>1102</v>
      </c>
      <c r="Y39" s="53">
        <f>IFERROR(ROUND(M39*0.092903*VLOOKUP(F39,'_Products'!$A$1:$G$23,7,FALSE),0),0)</f>
        <v>6178</v>
      </c>
      <c r="Z39" s="53">
        <f>Y39*3.412</f>
        <v>21079</v>
      </c>
    </row>
    <row r="40" spans="1:26" x14ac:dyDescent="0.25">
      <c r="A40" s="41" t="s">
        <v>70</v>
      </c>
      <c r="B40" s="42">
        <v>70</v>
      </c>
      <c r="C40" s="42">
        <v>35.31</v>
      </c>
      <c r="D40" s="33">
        <v>8000</v>
      </c>
      <c r="E40" s="33" t="str">
        <f>IFERROR(VLOOKUP(F40,'_Products'!$A$1:$G$23,2,FALSE),"")</f>
        <v>Yaham</v>
      </c>
      <c r="F40" s="33" t="s">
        <v>130</v>
      </c>
      <c r="G40" s="43">
        <f>IFERROR(VLOOKUP(F40,'_Products'!$A$1:$G$23,3,FALSE),0)</f>
        <v>10</v>
      </c>
      <c r="H40" s="42">
        <v>70</v>
      </c>
      <c r="I40" s="42">
        <v>35.31</v>
      </c>
      <c r="J40" s="44">
        <f>IFERROR(ROUND(H40*304.8/G40,0),0)</f>
        <v>0</v>
      </c>
      <c r="K40" s="44">
        <f>IFERROR(ROUND(I40*304.8/G40,0),0)</f>
        <v>0</v>
      </c>
      <c r="L40" s="45">
        <v>1</v>
      </c>
      <c r="M40" s="46">
        <f>H40*I40*L40</f>
        <v>2471.7</v>
      </c>
      <c r="N40" s="47">
        <f>IFERROR(VLOOKUP(F40,'_Products'!$A$1:$G$23,5,FALSE),0)</f>
        <v>7500</v>
      </c>
      <c r="O40" s="47" t="s">
        <v>128</v>
      </c>
      <c r="P40" s="34">
        <v>123.72</v>
      </c>
      <c r="Q40" s="34">
        <f>P40*M40</f>
        <v>305805.02</v>
      </c>
      <c r="R40" s="34">
        <f>SUM('Bundle Equipment'!E221:E221)</f>
        <v>46093.42</v>
      </c>
      <c r="S40" s="34">
        <f>MAX(M40*10,500)</f>
        <v>24717</v>
      </c>
      <c r="T40" s="48">
        <f>Q40+R40+S40</f>
        <v>376615.44</v>
      </c>
      <c r="U40" s="35">
        <f>V$2</f>
        <v>0.15</v>
      </c>
      <c r="V40" s="48">
        <f>IFERROR(T40/(1-U40),0)</f>
        <v>443076.99</v>
      </c>
      <c r="W40" s="34">
        <f>V40-T40</f>
        <v>66461.55</v>
      </c>
      <c r="X40" s="46">
        <f>IFERROR(ROUND(M40*0.092903*VLOOKUP(F40,'_Products'!$A$1:$G$23,6,FALSE),0),0)</f>
        <v>19335</v>
      </c>
      <c r="Y40" s="46">
        <f>IFERROR(ROUND(M40*0.092903*VLOOKUP(F40,'_Products'!$A$1:$G$23,7,FALSE),0),0)</f>
        <v>108431</v>
      </c>
      <c r="Z40" s="46">
        <f>Y40*3.412</f>
        <v>369967</v>
      </c>
    </row>
    <row r="41" spans="1:26" x14ac:dyDescent="0.25">
      <c r="A41" s="26" t="s">
        <v>71</v>
      </c>
      <c r="B41" s="49">
        <v>70</v>
      </c>
      <c r="C41" s="49">
        <v>252</v>
      </c>
      <c r="D41">
        <v>8000</v>
      </c>
      <c r="E41" t="str">
        <f>IFERROR(VLOOKUP(F41,'_Products'!$A$1:$G$23,2,FALSE),"")</f>
        <v>Yaham</v>
      </c>
      <c r="F41" t="s">
        <v>130</v>
      </c>
      <c r="G41" s="50">
        <f>IFERROR(VLOOKUP(F41,'_Products'!$A$1:$G$23,3,FALSE),0)</f>
        <v>10</v>
      </c>
      <c r="H41" s="49">
        <v>70</v>
      </c>
      <c r="I41" s="49">
        <v>252</v>
      </c>
      <c r="J41" s="51">
        <f>IFERROR(ROUND(H41*304.8/G41,0),0)</f>
        <v>0</v>
      </c>
      <c r="K41" s="51">
        <f>IFERROR(ROUND(I41*304.8/G41,0),0)</f>
        <v>0</v>
      </c>
      <c r="L41" s="52">
        <v>1</v>
      </c>
      <c r="M41" s="53">
        <f>H41*I41*L41</f>
        <v>17640</v>
      </c>
      <c r="N41" s="54">
        <f>IFERROR(VLOOKUP(F41,'_Products'!$A$1:$G$23,5,FALSE),0)</f>
        <v>7500</v>
      </c>
      <c r="O41" s="54" t="s">
        <v>128</v>
      </c>
      <c r="P41" s="20">
        <v>123.72</v>
      </c>
      <c r="Q41" s="20">
        <f>P41*M41</f>
        <v>2182465.78</v>
      </c>
      <c r="R41" s="20">
        <f>SUM('Bundle Equipment'!E229:E229)</f>
        <v>253564</v>
      </c>
      <c r="S41" s="20">
        <f>MAX(M41*10,500)</f>
        <v>176400</v>
      </c>
      <c r="T41" s="55">
        <f>Q41+R41+S41</f>
        <v>2612429.78</v>
      </c>
      <c r="U41" s="27">
        <f>V$2</f>
        <v>0.15</v>
      </c>
      <c r="V41" s="55">
        <f>IFERROR(T41/(1-U41),0)</f>
        <v>3073446.8</v>
      </c>
      <c r="W41" s="20">
        <f>V41-T41</f>
        <v>461017.02</v>
      </c>
      <c r="X41" s="53">
        <f>IFERROR(ROUND(M41*0.092903*VLOOKUP(F41,'_Products'!$A$1:$G$23,6,FALSE),0),0)</f>
        <v>137988</v>
      </c>
      <c r="Y41" s="53">
        <f>IFERROR(ROUND(M41*0.092903*VLOOKUP(F41,'_Products'!$A$1:$G$23,7,FALSE),0),0)</f>
        <v>773846</v>
      </c>
      <c r="Z41" s="53">
        <f>Y41*3.412</f>
        <v>2640363</v>
      </c>
    </row>
    <row r="42" spans="1:26" x14ac:dyDescent="0.25">
      <c r="A42" s="41" t="s">
        <v>72</v>
      </c>
      <c r="B42" s="42">
        <v>17</v>
      </c>
      <c r="C42" s="42">
        <v>28</v>
      </c>
      <c r="D42" s="33">
        <v>8000</v>
      </c>
      <c r="E42" s="33" t="str">
        <f>IFERROR(VLOOKUP(F42,'_Products'!$A$1:$G$23,2,FALSE),"")</f>
        <v>Yaham</v>
      </c>
      <c r="F42" s="33" t="s">
        <v>130</v>
      </c>
      <c r="G42" s="43">
        <f>IFERROR(VLOOKUP(F42,'_Products'!$A$1:$G$23,3,FALSE),0)</f>
        <v>10</v>
      </c>
      <c r="H42" s="42">
        <v>17</v>
      </c>
      <c r="I42" s="42">
        <v>28</v>
      </c>
      <c r="J42" s="44">
        <f>IFERROR(ROUND(H42*304.8/G42,0),0)</f>
        <v>0</v>
      </c>
      <c r="K42" s="44">
        <f>IFERROR(ROUND(I42*304.8/G42,0),0)</f>
        <v>0</v>
      </c>
      <c r="L42" s="45">
        <v>1</v>
      </c>
      <c r="M42" s="46">
        <f>H42*I42*L42</f>
        <v>476</v>
      </c>
      <c r="N42" s="47">
        <f>IFERROR(VLOOKUP(F42,'_Products'!$A$1:$G$23,5,FALSE),0)</f>
        <v>7500</v>
      </c>
      <c r="O42" s="47" t="s">
        <v>128</v>
      </c>
      <c r="P42" s="34">
        <v>123.72</v>
      </c>
      <c r="Q42" s="34">
        <f>P42*M42</f>
        <v>58891.94</v>
      </c>
      <c r="R42" s="34">
        <f>SUM('Bundle Equipment'!E237:E237)</f>
        <v>20947.6</v>
      </c>
      <c r="S42" s="34">
        <f>MAX(M42*10,500)</f>
        <v>4760</v>
      </c>
      <c r="T42" s="48">
        <f>Q42+R42+S42</f>
        <v>84599.54</v>
      </c>
      <c r="U42" s="35">
        <f>V$2</f>
        <v>0.15</v>
      </c>
      <c r="V42" s="48">
        <f>IFERROR(T42/(1-U42),0)</f>
        <v>99528.87</v>
      </c>
      <c r="W42" s="34">
        <f>V42-T42</f>
        <v>14929.33</v>
      </c>
      <c r="X42" s="46">
        <f>IFERROR(ROUND(M42*0.092903*VLOOKUP(F42,'_Products'!$A$1:$G$23,6,FALSE),0),0)</f>
        <v>3723</v>
      </c>
      <c r="Y42" s="46">
        <f>IFERROR(ROUND(M42*0.092903*VLOOKUP(F42,'_Products'!$A$1:$G$23,7,FALSE),0),0)</f>
        <v>20882</v>
      </c>
      <c r="Z42" s="46">
        <f>Y42*3.412</f>
        <v>71249</v>
      </c>
    </row>
    <row r="43" spans="1:26" x14ac:dyDescent="0.25">
      <c r="A43" s="26" t="s">
        <v>73</v>
      </c>
      <c r="B43" s="49">
        <v>17.58</v>
      </c>
      <c r="C43" s="49">
        <v>28.92</v>
      </c>
      <c r="D43">
        <v>8000</v>
      </c>
      <c r="E43" t="str">
        <f>IFERROR(VLOOKUP(F43,'_Products'!$A$1:$G$23,2,FALSE),"")</f>
        <v>Yaham</v>
      </c>
      <c r="F43" t="s">
        <v>130</v>
      </c>
      <c r="G43" s="50">
        <f>IFERROR(VLOOKUP(F43,'_Products'!$A$1:$G$23,3,FALSE),0)</f>
        <v>10</v>
      </c>
      <c r="H43" s="49">
        <v>17.58</v>
      </c>
      <c r="I43" s="49">
        <v>28.92</v>
      </c>
      <c r="J43" s="51">
        <f>IFERROR(ROUND(H43*304.8/G43,0),0)</f>
        <v>0</v>
      </c>
      <c r="K43" s="51">
        <f>IFERROR(ROUND(I43*304.8/G43,0),0)</f>
        <v>0</v>
      </c>
      <c r="L43" s="52">
        <v>1</v>
      </c>
      <c r="M43" s="53">
        <f>H43*I43*L43</f>
        <v>508.41</v>
      </c>
      <c r="N43" s="54">
        <f>IFERROR(VLOOKUP(F43,'_Products'!$A$1:$G$23,5,FALSE),0)</f>
        <v>7500</v>
      </c>
      <c r="O43" s="54" t="s">
        <v>128</v>
      </c>
      <c r="P43" s="20">
        <v>123.72</v>
      </c>
      <c r="Q43" s="20">
        <f>P43*M43</f>
        <v>62901.78</v>
      </c>
      <c r="R43" s="20">
        <f>SUM('Bundle Equipment'!E245:E245)</f>
        <v>21355.97</v>
      </c>
      <c r="S43" s="20">
        <f>MAX(M43*10,500)</f>
        <v>5084.1</v>
      </c>
      <c r="T43" s="55">
        <f>Q43+R43+S43</f>
        <v>89341.85</v>
      </c>
      <c r="U43" s="27">
        <f>V$2</f>
        <v>0.15</v>
      </c>
      <c r="V43" s="55">
        <f>IFERROR(T43/(1-U43),0)</f>
        <v>105108.06</v>
      </c>
      <c r="W43" s="20">
        <f>V43-T43</f>
        <v>15766.21</v>
      </c>
      <c r="X43" s="53">
        <f>IFERROR(ROUND(M43*0.092903*VLOOKUP(F43,'_Products'!$A$1:$G$23,6,FALSE),0),0)</f>
        <v>3977</v>
      </c>
      <c r="Y43" s="53">
        <f>IFERROR(ROUND(M43*0.092903*VLOOKUP(F43,'_Products'!$A$1:$G$23,7,FALSE),0),0)</f>
        <v>22303</v>
      </c>
      <c r="Z43" s="53">
        <f>Y43*3.412</f>
        <v>76098</v>
      </c>
    </row>
    <row r="44" spans="1:26" x14ac:dyDescent="0.25">
      <c r="A44" s="41" t="s">
        <v>74</v>
      </c>
      <c r="B44" s="42">
        <v>17.58</v>
      </c>
      <c r="C44" s="42">
        <v>7.75</v>
      </c>
      <c r="D44" s="33">
        <v>8000</v>
      </c>
      <c r="E44" s="33" t="str">
        <f>IFERROR(VLOOKUP(F44,'_Products'!$A$1:$G$23,2,FALSE),"")</f>
        <v>Yaham</v>
      </c>
      <c r="F44" s="33" t="s">
        <v>130</v>
      </c>
      <c r="G44" s="43">
        <f>IFERROR(VLOOKUP(F44,'_Products'!$A$1:$G$23,3,FALSE),0)</f>
        <v>10</v>
      </c>
      <c r="H44" s="42">
        <v>17.58</v>
      </c>
      <c r="I44" s="42">
        <v>7.75</v>
      </c>
      <c r="J44" s="44">
        <f>IFERROR(ROUND(H44*304.8/G44,0),0)</f>
        <v>0</v>
      </c>
      <c r="K44" s="44">
        <f>IFERROR(ROUND(I44*304.8/G44,0),0)</f>
        <v>0</v>
      </c>
      <c r="L44" s="45">
        <v>1</v>
      </c>
      <c r="M44" s="46">
        <f>H44*I44*L44</f>
        <v>136.24</v>
      </c>
      <c r="N44" s="47">
        <f>IFERROR(VLOOKUP(F44,'_Products'!$A$1:$G$23,5,FALSE),0)</f>
        <v>7500</v>
      </c>
      <c r="O44" s="47" t="s">
        <v>128</v>
      </c>
      <c r="P44" s="34">
        <v>123.72</v>
      </c>
      <c r="Q44" s="34">
        <f>P44*M44</f>
        <v>16855.95</v>
      </c>
      <c r="R44" s="34">
        <f>SUM('Bundle Equipment'!E252:E252)</f>
        <v>4666.62</v>
      </c>
      <c r="S44" s="34">
        <f>MAX(M44*10,500)</f>
        <v>1362.4</v>
      </c>
      <c r="T44" s="48">
        <f>Q44+R44+S44</f>
        <v>22884.97</v>
      </c>
      <c r="U44" s="35">
        <f>V$2</f>
        <v>0.15</v>
      </c>
      <c r="V44" s="48">
        <f>IFERROR(T44/(1-U44),0)</f>
        <v>26923.49</v>
      </c>
      <c r="W44" s="34">
        <f>V44-T44</f>
        <v>4038.52</v>
      </c>
      <c r="X44" s="46">
        <f>IFERROR(ROUND(M44*0.092903*VLOOKUP(F44,'_Products'!$A$1:$G$23,6,FALSE),0),0)</f>
        <v>1066</v>
      </c>
      <c r="Y44" s="46">
        <f>IFERROR(ROUND(M44*0.092903*VLOOKUP(F44,'_Products'!$A$1:$G$23,7,FALSE),0),0)</f>
        <v>5977</v>
      </c>
      <c r="Z44" s="46">
        <f>Y44*3.412</f>
        <v>20394</v>
      </c>
    </row>
    <row r="45" spans="1:26" x14ac:dyDescent="0.25">
      <c r="A45" s="26" t="s">
        <v>75</v>
      </c>
      <c r="B45" s="49">
        <v>35.72</v>
      </c>
      <c r="C45" s="49">
        <v>7.75</v>
      </c>
      <c r="D45">
        <v>8000</v>
      </c>
      <c r="E45" t="str">
        <f>IFERROR(VLOOKUP(F45,'_Products'!$A$1:$G$23,2,FALSE),"")</f>
        <v>Yaham</v>
      </c>
      <c r="F45" t="s">
        <v>130</v>
      </c>
      <c r="G45" s="50">
        <f>IFERROR(VLOOKUP(F45,'_Products'!$A$1:$G$23,3,FALSE),0)</f>
        <v>10</v>
      </c>
      <c r="H45" s="49">
        <v>35.72</v>
      </c>
      <c r="I45" s="49">
        <v>7.75</v>
      </c>
      <c r="J45" s="51">
        <f>IFERROR(ROUND(H45*304.8/G45,0),0)</f>
        <v>0</v>
      </c>
      <c r="K45" s="51">
        <f>IFERROR(ROUND(I45*304.8/G45,0),0)</f>
        <v>0</v>
      </c>
      <c r="L45" s="52">
        <v>1</v>
      </c>
      <c r="M45" s="53">
        <f>H45*I45*L45</f>
        <v>276.83</v>
      </c>
      <c r="N45" s="54">
        <f>IFERROR(VLOOKUP(F45,'_Products'!$A$1:$G$23,5,FALSE),0)</f>
        <v>7500</v>
      </c>
      <c r="O45" s="54" t="s">
        <v>128</v>
      </c>
      <c r="P45" s="20">
        <v>123.72</v>
      </c>
      <c r="Q45" s="20">
        <f>P45*M45</f>
        <v>34250.11</v>
      </c>
      <c r="R45" s="20">
        <f>SUM('Bundle Equipment'!E259:E259)</f>
        <v>6438.0599999999995</v>
      </c>
      <c r="S45" s="20">
        <f>MAX(M45*10,500)</f>
        <v>2768.3</v>
      </c>
      <c r="T45" s="55">
        <f>Q45+R45+S45</f>
        <v>43456.47</v>
      </c>
      <c r="U45" s="27">
        <f>V$2</f>
        <v>0.15</v>
      </c>
      <c r="V45" s="55">
        <f>IFERROR(T45/(1-U45),0)</f>
        <v>51125.26</v>
      </c>
      <c r="W45" s="20">
        <f>V45-T45</f>
        <v>7668.79</v>
      </c>
      <c r="X45" s="53">
        <f>IFERROR(ROUND(M45*0.092903*VLOOKUP(F45,'_Products'!$A$1:$G$23,6,FALSE),0),0)</f>
        <v>2165</v>
      </c>
      <c r="Y45" s="53">
        <f>IFERROR(ROUND(M45*0.092903*VLOOKUP(F45,'_Products'!$A$1:$G$23,7,FALSE),0),0)</f>
        <v>12144</v>
      </c>
      <c r="Z45" s="53">
        <f>Y45*3.412</f>
        <v>41435</v>
      </c>
    </row>
    <row r="46" spans="1:26" x14ac:dyDescent="0.25">
      <c r="A46" s="41" t="s">
        <v>76</v>
      </c>
      <c r="B46" s="42">
        <v>1.66</v>
      </c>
      <c r="C46" s="42">
        <v>7.75</v>
      </c>
      <c r="D46" s="33">
        <v>8000</v>
      </c>
      <c r="E46" s="33" t="str">
        <f>IFERROR(VLOOKUP(F46,'_Products'!$A$1:$G$23,2,FALSE),"")</f>
        <v>Yaham</v>
      </c>
      <c r="F46" s="33" t="s">
        <v>130</v>
      </c>
      <c r="G46" s="43">
        <f>IFERROR(VLOOKUP(F46,'_Products'!$A$1:$G$23,3,FALSE),0)</f>
        <v>10</v>
      </c>
      <c r="H46" s="42">
        <v>1.66</v>
      </c>
      <c r="I46" s="42">
        <v>7.75</v>
      </c>
      <c r="J46" s="44">
        <f>IFERROR(ROUND(H46*304.8/G46,0),0)</f>
        <v>0</v>
      </c>
      <c r="K46" s="44">
        <f>IFERROR(ROUND(I46*304.8/G46,0),0)</f>
        <v>0</v>
      </c>
      <c r="L46" s="45">
        <v>1</v>
      </c>
      <c r="M46" s="46">
        <f>H46*I46*L46</f>
        <v>12.87</v>
      </c>
      <c r="N46" s="47">
        <f>IFERROR(VLOOKUP(F46,'_Products'!$A$1:$G$23,5,FALSE),0)</f>
        <v>7500</v>
      </c>
      <c r="O46" s="47" t="s">
        <v>128</v>
      </c>
      <c r="P46" s="34">
        <v>123.72</v>
      </c>
      <c r="Q46" s="34">
        <f>P46*M46</f>
        <v>1592.3</v>
      </c>
      <c r="R46" s="34">
        <f>SUM('Bundle Equipment'!E266:E266)</f>
        <v>3112.1600000000003</v>
      </c>
      <c r="S46" s="34">
        <f>MAX(M46*10,500)</f>
        <v>500</v>
      </c>
      <c r="T46" s="48">
        <f>Q46+R46+S46</f>
        <v>5204.46</v>
      </c>
      <c r="U46" s="35">
        <f>V$2</f>
        <v>0.15</v>
      </c>
      <c r="V46" s="48">
        <f>IFERROR(T46/(1-U46),0)</f>
        <v>6122.89</v>
      </c>
      <c r="W46" s="34">
        <f>V46-T46</f>
        <v>918.43</v>
      </c>
      <c r="X46" s="46">
        <f>IFERROR(ROUND(M46*0.092903*VLOOKUP(F46,'_Products'!$A$1:$G$23,6,FALSE),0),0)</f>
        <v>101</v>
      </c>
      <c r="Y46" s="46">
        <f>IFERROR(ROUND(M46*0.092903*VLOOKUP(F46,'_Products'!$A$1:$G$23,7,FALSE),0),0)</f>
        <v>565</v>
      </c>
      <c r="Z46" s="46">
        <f>Y46*3.412</f>
        <v>1928</v>
      </c>
    </row>
    <row r="47" spans="1:26" x14ac:dyDescent="0.25">
      <c r="A47" s="26" t="s">
        <v>77</v>
      </c>
      <c r="B47" s="49">
        <v>5.5</v>
      </c>
      <c r="C47" s="49">
        <v>185.5</v>
      </c>
      <c r="D47">
        <v>8000</v>
      </c>
      <c r="E47" t="str">
        <f>IFERROR(VLOOKUP(F47,'_Products'!$A$1:$G$23,2,FALSE),"")</f>
        <v>Yaham</v>
      </c>
      <c r="F47" t="s">
        <v>130</v>
      </c>
      <c r="G47" s="50">
        <f>IFERROR(VLOOKUP(F47,'_Products'!$A$1:$G$23,3,FALSE),0)</f>
        <v>10</v>
      </c>
      <c r="H47" s="49">
        <v>5.5</v>
      </c>
      <c r="I47" s="49">
        <v>185.5</v>
      </c>
      <c r="J47" s="51">
        <f>IFERROR(ROUND(H47*304.8/G47,0),0)</f>
        <v>0</v>
      </c>
      <c r="K47" s="51">
        <f>IFERROR(ROUND(I47*304.8/G47,0),0)</f>
        <v>0</v>
      </c>
      <c r="L47" s="52">
        <v>1</v>
      </c>
      <c r="M47" s="53">
        <f>H47*I47*L47</f>
        <v>1020.25</v>
      </c>
      <c r="N47" s="54">
        <f>IFERROR(VLOOKUP(F47,'_Products'!$A$1:$G$23,5,FALSE),0)</f>
        <v>7500</v>
      </c>
      <c r="O47" s="54" t="s">
        <v>128</v>
      </c>
      <c r="P47" s="20">
        <v>123.72</v>
      </c>
      <c r="Q47" s="20">
        <f>P47*M47</f>
        <v>126227.93</v>
      </c>
      <c r="R47" s="20">
        <f>SUM('Bundle Equipment'!E274:E274)</f>
        <v>27805.15</v>
      </c>
      <c r="S47" s="20">
        <f>MAX(M47*10,500)</f>
        <v>10202.5</v>
      </c>
      <c r="T47" s="55">
        <f>Q47+R47+S47</f>
        <v>164235.58</v>
      </c>
      <c r="U47" s="27">
        <f>V$2</f>
        <v>0.15</v>
      </c>
      <c r="V47" s="55">
        <f>IFERROR(T47/(1-U47),0)</f>
        <v>193218.33</v>
      </c>
      <c r="W47" s="20">
        <f>V47-T47</f>
        <v>28982.75</v>
      </c>
      <c r="X47" s="53">
        <f>IFERROR(ROUND(M47*0.092903*VLOOKUP(F47,'_Products'!$A$1:$G$23,6,FALSE),0),0)</f>
        <v>7981</v>
      </c>
      <c r="Y47" s="53">
        <f>IFERROR(ROUND(M47*0.092903*VLOOKUP(F47,'_Products'!$A$1:$G$23,7,FALSE),0),0)</f>
        <v>44757</v>
      </c>
      <c r="Z47" s="53">
        <f>Y47*3.412</f>
        <v>152711</v>
      </c>
    </row>
    <row r="48" spans="1:26" x14ac:dyDescent="0.25">
      <c r="A48" s="41" t="s">
        <v>77</v>
      </c>
      <c r="B48" s="42">
        <v>32.83</v>
      </c>
      <c r="C48" s="42">
        <v>2.87</v>
      </c>
      <c r="D48" s="33">
        <v>8000</v>
      </c>
      <c r="E48" s="33" t="str">
        <f>IFERROR(VLOOKUP(F48,'_Products'!$A$1:$G$23,2,FALSE),"")</f>
        <v>Yaham</v>
      </c>
      <c r="F48" s="33" t="s">
        <v>130</v>
      </c>
      <c r="G48" s="43">
        <f>IFERROR(VLOOKUP(F48,'_Products'!$A$1:$G$23,3,FALSE),0)</f>
        <v>10</v>
      </c>
      <c r="H48" s="42">
        <v>32.83</v>
      </c>
      <c r="I48" s="42">
        <v>2.87</v>
      </c>
      <c r="J48" s="44">
        <f>IFERROR(ROUND(H48*304.8/G48,0),0)</f>
        <v>1001</v>
      </c>
      <c r="K48" s="44">
        <f>IFERROR(ROUND(I48*304.8/G48,0),0)</f>
        <v>87</v>
      </c>
      <c r="L48" s="45">
        <v>1</v>
      </c>
      <c r="M48" s="46">
        <f>H48*I48*L48</f>
        <v>94.22</v>
      </c>
      <c r="N48" s="47">
        <f>IFERROR(VLOOKUP(F48,'_Products'!$A$1:$G$23,5,FALSE),0)</f>
        <v>7500</v>
      </c>
      <c r="O48" s="47" t="s">
        <v>128</v>
      </c>
      <c r="P48" s="34">
        <v>123.72</v>
      </c>
      <c r="Q48" s="34">
        <f>P48*M48</f>
        <v>11657.14</v>
      </c>
      <c r="R48" s="34">
        <f>SUM('Bundle Equipment'!E280:E280)</f>
        <v>1637.17</v>
      </c>
      <c r="S48" s="34">
        <f>MAX(M48*10,500)</f>
        <v>942.2</v>
      </c>
      <c r="T48" s="48">
        <f>Q48+R48+S48</f>
        <v>14236.51</v>
      </c>
      <c r="U48" s="35">
        <f>V$2</f>
        <v>0.15</v>
      </c>
      <c r="V48" s="48">
        <f>IFERROR(T48/(1-U48),0)</f>
        <v>16748.84</v>
      </c>
      <c r="W48" s="34">
        <f>V48-T48</f>
        <v>2512.33</v>
      </c>
      <c r="X48" s="46">
        <f>IFERROR(ROUND(M48*0.092903*VLOOKUP(F48,'_Products'!$A$1:$G$23,6,FALSE),0),0)</f>
        <v>737</v>
      </c>
      <c r="Y48" s="46">
        <f>IFERROR(ROUND(M48*0.092903*VLOOKUP(F48,'_Products'!$A$1:$G$23,7,FALSE),0),0)</f>
        <v>4133</v>
      </c>
      <c r="Z48" s="46">
        <f>Y48*3.412</f>
        <v>14102</v>
      </c>
    </row>
    <row r="49" spans="1:26" x14ac:dyDescent="0.25">
      <c r="A49" s="26" t="s">
        <v>77</v>
      </c>
      <c r="B49" s="49">
        <v>5.81</v>
      </c>
      <c r="C49" s="49">
        <v>22.65</v>
      </c>
      <c r="D49">
        <v>8000</v>
      </c>
      <c r="E49" t="str">
        <f>IFERROR(VLOOKUP(F49,'_Products'!$A$1:$G$23,2,FALSE),"")</f>
        <v>Yaham</v>
      </c>
      <c r="F49" t="s">
        <v>130</v>
      </c>
      <c r="G49" s="50">
        <f>IFERROR(VLOOKUP(F49,'_Products'!$A$1:$G$23,3,FALSE),0)</f>
        <v>10</v>
      </c>
      <c r="H49" s="49">
        <v>5.81</v>
      </c>
      <c r="I49" s="49">
        <v>22.65</v>
      </c>
      <c r="J49" s="51">
        <f>IFERROR(ROUND(H49*304.8/G49,0),0)</f>
        <v>177</v>
      </c>
      <c r="K49" s="51">
        <f>IFERROR(ROUND(I49*304.8/G49,0),0)</f>
        <v>690</v>
      </c>
      <c r="L49" s="52">
        <v>1</v>
      </c>
      <c r="M49" s="53">
        <f>H49*I49*L49</f>
        <v>131.6</v>
      </c>
      <c r="N49" s="54">
        <f>IFERROR(VLOOKUP(F49,'_Products'!$A$1:$G$23,5,FALSE),0)</f>
        <v>7500</v>
      </c>
      <c r="O49" s="54" t="s">
        <v>128</v>
      </c>
      <c r="P49" s="20">
        <v>123.72</v>
      </c>
      <c r="Q49" s="20">
        <f>P49*M49</f>
        <v>16281.89</v>
      </c>
      <c r="R49" s="20">
        <f>SUM('Bundle Equipment'!E286:E286)</f>
        <v>2108.16</v>
      </c>
      <c r="S49" s="20">
        <f>MAX(M49*10,500)</f>
        <v>1316</v>
      </c>
      <c r="T49" s="55">
        <f>Q49+R49+S49</f>
        <v>19706.05</v>
      </c>
      <c r="U49" s="27">
        <f>V$2</f>
        <v>0.15</v>
      </c>
      <c r="V49" s="55">
        <f>IFERROR(T49/(1-U49),0)</f>
        <v>23183.59</v>
      </c>
      <c r="W49" s="20">
        <f>V49-T49</f>
        <v>3477.54</v>
      </c>
      <c r="X49" s="53">
        <f>IFERROR(ROUND(M49*0.092903*VLOOKUP(F49,'_Products'!$A$1:$G$23,6,FALSE),0),0)</f>
        <v>1029</v>
      </c>
      <c r="Y49" s="53">
        <f>IFERROR(ROUND(M49*0.092903*VLOOKUP(F49,'_Products'!$A$1:$G$23,7,FALSE),0),0)</f>
        <v>5773</v>
      </c>
      <c r="Z49" s="53">
        <f>Y49*3.412</f>
        <v>19697</v>
      </c>
    </row>
    <row r="50" spans="1:26" x14ac:dyDescent="0.25">
      <c r="A50" s="41" t="s">
        <v>78</v>
      </c>
      <c r="B50" s="42">
        <v>32.25</v>
      </c>
      <c r="C50" s="42">
        <v>53.33</v>
      </c>
      <c r="D50" s="33">
        <v>8000</v>
      </c>
      <c r="E50" s="33" t="str">
        <f>IFERROR(VLOOKUP(F50,'_Products'!$A$1:$G$23,2,FALSE),"")</f>
        <v>Yaham</v>
      </c>
      <c r="F50" s="33" t="s">
        <v>130</v>
      </c>
      <c r="G50" s="43">
        <f>IFERROR(VLOOKUP(F50,'_Products'!$A$1:$G$23,3,FALSE),0)</f>
        <v>10</v>
      </c>
      <c r="H50" s="42">
        <v>32.25</v>
      </c>
      <c r="I50" s="42">
        <v>53.33</v>
      </c>
      <c r="J50" s="44">
        <f>IFERROR(ROUND(H50*304.8/G50,0),0)</f>
        <v>0</v>
      </c>
      <c r="K50" s="44">
        <f>IFERROR(ROUND(I50*304.8/G50,0),0)</f>
        <v>0</v>
      </c>
      <c r="L50" s="45">
        <v>1</v>
      </c>
      <c r="M50" s="46">
        <f>H50*I50*L50</f>
        <v>1719.89</v>
      </c>
      <c r="N50" s="47">
        <f>IFERROR(VLOOKUP(F50,'_Products'!$A$1:$G$23,5,FALSE),0)</f>
        <v>7500</v>
      </c>
      <c r="O50" s="47" t="s">
        <v>128</v>
      </c>
      <c r="P50" s="34">
        <v>123.72</v>
      </c>
      <c r="Q50" s="34">
        <f>P50*M50</f>
        <v>212789.18</v>
      </c>
      <c r="R50" s="34">
        <f>SUM('Bundle Equipment'!E294:E294)</f>
        <v>36620.61</v>
      </c>
      <c r="S50" s="34">
        <f>MAX(M50*10,500)</f>
        <v>17198.9</v>
      </c>
      <c r="T50" s="48">
        <f>Q50+R50+S50</f>
        <v>266608.69</v>
      </c>
      <c r="U50" s="35">
        <f>V$2</f>
        <v>0.15</v>
      </c>
      <c r="V50" s="48">
        <f>IFERROR(T50/(1-U50),0)</f>
        <v>313657.28</v>
      </c>
      <c r="W50" s="34">
        <f>V50-T50</f>
        <v>47048.59</v>
      </c>
      <c r="X50" s="46">
        <f>IFERROR(ROUND(M50*0.092903*VLOOKUP(F50,'_Products'!$A$1:$G$23,6,FALSE),0),0)</f>
        <v>13454</v>
      </c>
      <c r="Y50" s="46">
        <f>IFERROR(ROUND(M50*0.092903*VLOOKUP(F50,'_Products'!$A$1:$G$23,7,FALSE),0),0)</f>
        <v>75450</v>
      </c>
      <c r="Z50" s="46">
        <f>Y50*3.412</f>
        <v>257435</v>
      </c>
    </row>
    <row r="52" spans="1:26" x14ac:dyDescent="0.25">
      <c r="A52" s="56" t="s">
        <v>131</v>
      </c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7">
        <f>SUM(M4:M50)</f>
        <v>33186.380000000005</v>
      </c>
      <c r="N52" s="56"/>
      <c r="O52" s="56"/>
      <c r="P52" s="56"/>
      <c r="Q52" s="58">
        <f>SUM(Q4:Q50)</f>
        <v>5167157.170000002</v>
      </c>
      <c r="R52" s="58">
        <f>SUM(R4:R50)</f>
        <v>634987.58</v>
      </c>
      <c r="S52" s="58">
        <f>SUM(S4:S50)</f>
        <v>333275.10000000003</v>
      </c>
      <c r="T52" s="58">
        <f>SUM(T4:T50)</f>
        <v>6135419.850000001</v>
      </c>
      <c r="U52" s="59">
        <f>IFERROR(1-T52/V52,0)</f>
        <v>0.15</v>
      </c>
      <c r="V52" s="58">
        <f>SUM(V4:V50)</f>
        <v>7218141.02</v>
      </c>
      <c r="W52" s="58">
        <f>SUM(W4:W50)</f>
        <v>1082721.1699999995</v>
      </c>
      <c r="X52" s="57">
        <f>SUM(X4:X50)</f>
        <v>0</v>
      </c>
      <c r="Y52" s="57">
        <f>SUM(Y4:Y50)</f>
        <v>0</v>
      </c>
      <c r="Z52" s="57">
        <f>SUM(Z4:Z50)</f>
        <v>0</v>
      </c>
    </row>
  </sheetData>
  <mergeCells count="1">
    <mergeCell ref="A1:W1"/>
  </mergeCells>
  <dataValidations count="2">
    <dataValidation type="list" allowBlank="1" showErrorMessage="1" errorTitle="Invalid Product" error="Select a product from the dropdown list" sqref="F10:F50">
      <formula1>'_Products'!$A$1:$A$23</formula1>
    </dataValidation>
    <dataValidation type="list" allowBlank="1" showErrorMessage="1" errorTitle="Invalid Product" error="Select a product from the dropdown list" sqref="F4:F50">
      <formula1>'_Products'!$A$1:$A$23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FormatPr defaultRowHeight="15" outlineLevelRow="0" outlineLevelCol="0" x14ac:dyDescent="55"/>
  <sheetData>
    <row r="1" spans="1:7" x14ac:dyDescent="0.25">
      <c r="A1" t="s">
        <v>420</v>
      </c>
      <c r="B1" t="s">
        <v>421</v>
      </c>
      <c r="C1">
        <v>10</v>
      </c>
      <c r="D1">
        <v>260.13</v>
      </c>
      <c r="E1">
        <v>1500</v>
      </c>
      <c r="F1">
        <v>19.6</v>
      </c>
      <c r="G1">
        <v>298</v>
      </c>
    </row>
    <row r="2" spans="1:7" x14ac:dyDescent="0.25">
      <c r="A2" t="s">
        <v>127</v>
      </c>
      <c r="B2" t="s">
        <v>422</v>
      </c>
      <c r="C2">
        <v>2.5</v>
      </c>
      <c r="D2">
        <v>501.68</v>
      </c>
      <c r="E2">
        <v>2000</v>
      </c>
      <c r="F2">
        <v>52.6</v>
      </c>
      <c r="G2">
        <v>390.6</v>
      </c>
    </row>
    <row r="3" spans="1:7" x14ac:dyDescent="0.25">
      <c r="A3" t="s">
        <v>423</v>
      </c>
      <c r="B3" t="s">
        <v>421</v>
      </c>
      <c r="C3">
        <v>4</v>
      </c>
      <c r="D3">
        <v>390.19</v>
      </c>
      <c r="E3">
        <v>2000</v>
      </c>
      <c r="F3">
        <v>45.4</v>
      </c>
      <c r="G3">
        <v>488.3</v>
      </c>
    </row>
    <row r="4" spans="1:7" x14ac:dyDescent="0.25">
      <c r="A4" t="s">
        <v>424</v>
      </c>
      <c r="B4" t="s">
        <v>425</v>
      </c>
      <c r="C4">
        <v>1.2</v>
      </c>
      <c r="D4">
        <v>429.96</v>
      </c>
      <c r="E4">
        <v>2000</v>
      </c>
      <c r="F4">
        <v>55</v>
      </c>
      <c r="G4">
        <v>590</v>
      </c>
    </row>
    <row r="5" spans="1:7" x14ac:dyDescent="0.25">
      <c r="A5" t="s">
        <v>426</v>
      </c>
      <c r="B5" t="s">
        <v>425</v>
      </c>
      <c r="C5">
        <v>1.8</v>
      </c>
      <c r="D5">
        <v>325.16</v>
      </c>
      <c r="E5">
        <v>2000</v>
      </c>
      <c r="F5">
        <v>55</v>
      </c>
      <c r="G5">
        <v>540</v>
      </c>
    </row>
    <row r="6" spans="1:7" x14ac:dyDescent="0.25">
      <c r="A6" t="s">
        <v>427</v>
      </c>
      <c r="B6" t="s">
        <v>428</v>
      </c>
      <c r="C6">
        <v>1.5</v>
      </c>
      <c r="D6">
        <v>929.03</v>
      </c>
      <c r="E6">
        <v>1000</v>
      </c>
      <c r="F6">
        <v>55</v>
      </c>
      <c r="G6">
        <v>350</v>
      </c>
    </row>
    <row r="7" spans="1:7" x14ac:dyDescent="0.25">
      <c r="A7" t="s">
        <v>429</v>
      </c>
      <c r="B7" t="s">
        <v>428</v>
      </c>
      <c r="C7">
        <v>3.91</v>
      </c>
      <c r="D7">
        <v>113.34</v>
      </c>
      <c r="E7">
        <v>1000</v>
      </c>
      <c r="F7">
        <v>48</v>
      </c>
      <c r="G7">
        <v>400</v>
      </c>
    </row>
    <row r="8" spans="1:7" x14ac:dyDescent="0.25">
      <c r="A8" t="s">
        <v>430</v>
      </c>
      <c r="B8" t="s">
        <v>428</v>
      </c>
      <c r="C8">
        <v>2.5</v>
      </c>
      <c r="D8">
        <v>277.59</v>
      </c>
      <c r="E8">
        <v>1000</v>
      </c>
      <c r="F8">
        <v>50</v>
      </c>
      <c r="G8">
        <v>390</v>
      </c>
    </row>
    <row r="9" spans="1:7" x14ac:dyDescent="0.25">
      <c r="A9" t="s">
        <v>431</v>
      </c>
      <c r="B9" t="s">
        <v>428</v>
      </c>
      <c r="C9">
        <v>3.91</v>
      </c>
      <c r="D9">
        <v>111.67</v>
      </c>
      <c r="E9">
        <v>1000</v>
      </c>
      <c r="F9">
        <v>45</v>
      </c>
      <c r="G9">
        <v>400</v>
      </c>
    </row>
    <row r="10" spans="1:7" x14ac:dyDescent="0.25">
      <c r="A10" t="s">
        <v>129</v>
      </c>
      <c r="B10" t="s">
        <v>425</v>
      </c>
      <c r="C10">
        <v>3.9</v>
      </c>
      <c r="D10">
        <v>260.13</v>
      </c>
      <c r="E10">
        <v>6000</v>
      </c>
      <c r="F10">
        <v>33.07</v>
      </c>
      <c r="G10">
        <v>600</v>
      </c>
    </row>
    <row r="11" spans="1:7" x14ac:dyDescent="0.25">
      <c r="A11" t="s">
        <v>130</v>
      </c>
      <c r="B11" t="s">
        <v>432</v>
      </c>
      <c r="C11">
        <v>10</v>
      </c>
      <c r="D11">
        <v>206.62</v>
      </c>
      <c r="E11">
        <v>7500</v>
      </c>
      <c r="F11">
        <v>84.2</v>
      </c>
      <c r="G11">
        <v>472.2</v>
      </c>
    </row>
    <row r="12" spans="1:7" x14ac:dyDescent="0.25">
      <c r="A12" t="s">
        <v>433</v>
      </c>
      <c r="B12" t="s">
        <v>432</v>
      </c>
      <c r="C12">
        <v>10</v>
      </c>
      <c r="D12">
        <v>112.23</v>
      </c>
      <c r="E12">
        <v>2000</v>
      </c>
      <c r="F12">
        <v>46.6</v>
      </c>
      <c r="G12">
        <v>401.5</v>
      </c>
    </row>
    <row r="13" spans="1:7" x14ac:dyDescent="0.25">
      <c r="A13" t="s">
        <v>434</v>
      </c>
      <c r="B13" t="s">
        <v>432</v>
      </c>
      <c r="C13">
        <v>2.5</v>
      </c>
      <c r="D13">
        <v>251.58</v>
      </c>
      <c r="E13">
        <v>2000</v>
      </c>
      <c r="F13">
        <v>50.2</v>
      </c>
      <c r="G13">
        <v>401.5</v>
      </c>
    </row>
    <row r="14" spans="1:7" x14ac:dyDescent="0.25">
      <c r="A14" t="s">
        <v>435</v>
      </c>
      <c r="B14" t="s">
        <v>432</v>
      </c>
      <c r="C14">
        <v>4</v>
      </c>
      <c r="D14">
        <v>178.1</v>
      </c>
      <c r="E14">
        <v>2000</v>
      </c>
      <c r="F14">
        <v>46.6</v>
      </c>
      <c r="G14">
        <v>401.5</v>
      </c>
    </row>
    <row r="15" spans="1:7" x14ac:dyDescent="0.25">
      <c r="A15" t="s">
        <v>436</v>
      </c>
      <c r="B15" t="s">
        <v>432</v>
      </c>
      <c r="C15">
        <v>6</v>
      </c>
      <c r="D15">
        <v>136.57</v>
      </c>
      <c r="E15">
        <v>2000</v>
      </c>
      <c r="F15">
        <v>46.6</v>
      </c>
      <c r="G15">
        <v>401.5</v>
      </c>
    </row>
    <row r="16" spans="1:7" x14ac:dyDescent="0.25">
      <c r="A16" t="s">
        <v>437</v>
      </c>
      <c r="B16" t="s">
        <v>432</v>
      </c>
      <c r="C16">
        <v>10</v>
      </c>
      <c r="D16">
        <v>116.22</v>
      </c>
      <c r="E16">
        <v>2000</v>
      </c>
      <c r="F16">
        <v>62.2</v>
      </c>
      <c r="G16">
        <v>401.5</v>
      </c>
    </row>
    <row r="17" spans="1:7" x14ac:dyDescent="0.25">
      <c r="A17" t="s">
        <v>438</v>
      </c>
      <c r="B17" t="s">
        <v>432</v>
      </c>
      <c r="C17">
        <v>10</v>
      </c>
      <c r="D17">
        <v>176.52</v>
      </c>
      <c r="E17">
        <v>10000</v>
      </c>
      <c r="F17">
        <v>101</v>
      </c>
      <c r="G17">
        <v>638.9</v>
      </c>
    </row>
    <row r="18" spans="1:7" x14ac:dyDescent="0.25">
      <c r="A18" t="s">
        <v>439</v>
      </c>
      <c r="B18" t="s">
        <v>432</v>
      </c>
      <c r="C18">
        <v>6</v>
      </c>
      <c r="D18">
        <v>293.3</v>
      </c>
      <c r="E18">
        <v>10000</v>
      </c>
      <c r="F18">
        <v>101</v>
      </c>
      <c r="G18">
        <v>638.9</v>
      </c>
    </row>
    <row r="19" spans="1:7" x14ac:dyDescent="0.25">
      <c r="A19" t="s">
        <v>440</v>
      </c>
      <c r="B19" t="s">
        <v>432</v>
      </c>
      <c r="C19">
        <v>10.417</v>
      </c>
      <c r="D19">
        <v>154.78</v>
      </c>
      <c r="E19">
        <v>10000</v>
      </c>
      <c r="F19">
        <v>65</v>
      </c>
      <c r="G19">
        <v>650</v>
      </c>
    </row>
    <row r="20" spans="1:7" x14ac:dyDescent="0.25">
      <c r="A20" t="s">
        <v>441</v>
      </c>
      <c r="B20" t="s">
        <v>432</v>
      </c>
      <c r="C20">
        <v>2.5</v>
      </c>
      <c r="D20">
        <v>536.33</v>
      </c>
      <c r="E20">
        <v>3000</v>
      </c>
      <c r="F20">
        <v>80.8</v>
      </c>
      <c r="G20">
        <v>578.7</v>
      </c>
    </row>
    <row r="21" spans="1:7" x14ac:dyDescent="0.25">
      <c r="A21" t="s">
        <v>442</v>
      </c>
      <c r="B21" t="s">
        <v>432</v>
      </c>
      <c r="C21">
        <v>3.91</v>
      </c>
      <c r="D21">
        <v>232.54</v>
      </c>
      <c r="E21">
        <v>7000</v>
      </c>
      <c r="F21">
        <v>68.3</v>
      </c>
      <c r="G21">
        <v>650</v>
      </c>
    </row>
    <row r="22" spans="1:7" x14ac:dyDescent="0.25">
      <c r="A22" t="s">
        <v>443</v>
      </c>
      <c r="B22" t="s">
        <v>432</v>
      </c>
      <c r="C22">
        <v>5.95</v>
      </c>
      <c r="D22">
        <v>260.13</v>
      </c>
      <c r="E22">
        <v>10000</v>
      </c>
      <c r="F22">
        <v>65</v>
      </c>
      <c r="G22">
        <v>650</v>
      </c>
    </row>
    <row r="23" spans="1:7" x14ac:dyDescent="0.25">
      <c r="A23" t="s">
        <v>444</v>
      </c>
      <c r="B23" t="s">
        <v>432</v>
      </c>
      <c r="C23">
        <v>8.33</v>
      </c>
      <c r="D23">
        <v>194.07</v>
      </c>
      <c r="E23">
        <v>10000</v>
      </c>
      <c r="F23">
        <v>65</v>
      </c>
      <c r="G23">
        <v>650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EE2E6"/>
  </sheetPr>
  <dimension ref="A1:O51"/>
  <sheetFormatPr defaultRowHeight="15" outlineLevelRow="0" outlineLevelCol="0" x14ac:dyDescent="55"/>
  <cols>
    <col min="1" max="1" width="36" customWidth="1"/>
    <col min="2" max="2" width="8" customWidth="1"/>
    <col min="3" max="7" width="12" customWidth="1"/>
    <col min="8" max="8" width="10" customWidth="1"/>
    <col min="9" max="9" width="12" customWidth="1"/>
    <col min="10" max="11" width="10" customWidth="1"/>
    <col min="12" max="12" width="12" customWidth="1"/>
    <col min="13" max="14" width="14" customWidth="1"/>
    <col min="15" max="15" width="12" customWidth="1"/>
  </cols>
  <sheetData>
    <row r="1" ht="36" customHeight="1" spans="1:15" x14ac:dyDescent="0.25">
      <c r="A1" s="1" t="s">
        <v>132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2" t="s">
        <v>133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ht="28" customHeight="1" spans="1:15" x14ac:dyDescent="0.25">
      <c r="A4" s="60" t="s">
        <v>134</v>
      </c>
      <c r="B4" s="60" t="s">
        <v>115</v>
      </c>
      <c r="C4" s="60" t="s">
        <v>135</v>
      </c>
      <c r="D4" s="60" t="s">
        <v>136</v>
      </c>
      <c r="E4" s="60" t="s">
        <v>137</v>
      </c>
      <c r="F4" s="60" t="s">
        <v>138</v>
      </c>
      <c r="G4" s="60" t="s">
        <v>139</v>
      </c>
      <c r="H4" s="60" t="s">
        <v>140</v>
      </c>
      <c r="I4" s="60" t="s">
        <v>141</v>
      </c>
      <c r="J4" s="60" t="s">
        <v>118</v>
      </c>
      <c r="K4" s="60" t="s">
        <v>11</v>
      </c>
      <c r="L4" s="60" t="s">
        <v>124</v>
      </c>
      <c r="M4" s="60" t="s">
        <v>125</v>
      </c>
      <c r="N4" s="60" t="s">
        <v>142</v>
      </c>
      <c r="O4" s="60" t="s">
        <v>126</v>
      </c>
    </row>
    <row r="5" spans="1:15" x14ac:dyDescent="0.25">
      <c r="A5" s="33" t="str">
        <f>'LED Cost Sheet'!A4</f>
        <v>FIELD RIBBON NORTH — FIELD RIBBON NORTH</v>
      </c>
      <c r="B5" s="33">
        <f>'LED Cost Sheet'!I4</f>
        <v>1</v>
      </c>
      <c r="C5" s="33" t="str">
        <f>'LED Cost Sheet'!D4</f>
        <v>3.9mm</v>
      </c>
      <c r="D5" s="33">
        <f>'LED Cost Sheet'!E4</f>
        <v>3</v>
      </c>
      <c r="E5" s="33">
        <f>'LED Cost Sheet'!F4</f>
        <v>320</v>
      </c>
      <c r="F5" s="33">
        <f>'LED Cost Sheet'!G4</f>
        <v>234</v>
      </c>
      <c r="G5" s="33">
        <f>'LED Cost Sheet'!H4</f>
        <v>25009</v>
      </c>
      <c r="H5" s="46">
        <f>D5*E5*B5</f>
        <v>960</v>
      </c>
      <c r="I5" s="33">
        <f>'LED Cost Sheet'!K4</f>
        <v>8000</v>
      </c>
      <c r="J5" s="33" t="str">
        <f>'LED Cost Sheet'!L4</f>
        <v>Front</v>
      </c>
      <c r="K5" s="33" t="s">
        <v>143</v>
      </c>
      <c r="L5" s="46">
        <f>'LED Cost Sheet'!U4</f>
        <v>4049</v>
      </c>
      <c r="M5" s="46">
        <f>'LED Cost Sheet'!V4</f>
        <v>43550</v>
      </c>
      <c r="N5" s="61">
        <f>IFERROR((F5*G5*B5)/400000,0)</f>
        <v>14.63</v>
      </c>
      <c r="O5" s="46">
        <f>'LED Cost Sheet'!W4</f>
        <v>148593</v>
      </c>
    </row>
    <row r="6" spans="1:15" x14ac:dyDescent="0.25">
      <c r="A6" t="str">
        <f>'LED Cost Sheet'!A5</f>
        <v>FIELD RIBBON EAST — FIELD RIBBON EAST</v>
      </c>
      <c r="B6">
        <f>'LED Cost Sheet'!I5</f>
        <v>1</v>
      </c>
      <c r="C6" t="str">
        <f>'LED Cost Sheet'!D5</f>
        <v>3.9mm</v>
      </c>
      <c r="D6">
        <f>'LED Cost Sheet'!E5</f>
        <v>3</v>
      </c>
      <c r="E6">
        <f>'LED Cost Sheet'!F5</f>
        <v>200</v>
      </c>
      <c r="F6">
        <f>'LED Cost Sheet'!G5</f>
        <v>234</v>
      </c>
      <c r="G6">
        <f>'LED Cost Sheet'!H5</f>
        <v>15631</v>
      </c>
      <c r="H6" s="53">
        <f>D6*E6*B6</f>
        <v>600</v>
      </c>
      <c r="I6">
        <f>'LED Cost Sheet'!K5</f>
        <v>8000</v>
      </c>
      <c r="J6" t="str">
        <f>'LED Cost Sheet'!L5</f>
        <v>Front</v>
      </c>
      <c r="K6" t="s">
        <v>143</v>
      </c>
      <c r="L6" s="53">
        <f>'LED Cost Sheet'!U5</f>
        <v>2531</v>
      </c>
      <c r="M6" s="53">
        <f>'LED Cost Sheet'!V5</f>
        <v>27219</v>
      </c>
      <c r="N6" s="62">
        <f>IFERROR((F6*G6*B6)/400000,0)</f>
        <v>9.14</v>
      </c>
      <c r="O6" s="53">
        <f>'LED Cost Sheet'!W5</f>
        <v>92871</v>
      </c>
    </row>
    <row r="7" spans="1:15" x14ac:dyDescent="0.25">
      <c r="A7" s="33" t="str">
        <f>'LED Cost Sheet'!A6</f>
        <v>TEAM ROOM — TEAM ROOM</v>
      </c>
      <c r="B7" s="33">
        <f>'LED Cost Sheet'!I6</f>
        <v>1</v>
      </c>
      <c r="C7" s="33" t="str">
        <f>'LED Cost Sheet'!D6</f>
        <v>3.9mm</v>
      </c>
      <c r="D7" s="33">
        <f>'LED Cost Sheet'!E6</f>
        <v>8</v>
      </c>
      <c r="E7" s="33">
        <f>'LED Cost Sheet'!F6</f>
        <v>14</v>
      </c>
      <c r="F7" s="33">
        <f>'LED Cost Sheet'!G6</f>
        <v>625</v>
      </c>
      <c r="G7" s="33">
        <f>'LED Cost Sheet'!H6</f>
        <v>1094</v>
      </c>
      <c r="H7" s="46">
        <f>D7*E7*B7</f>
        <v>112</v>
      </c>
      <c r="I7" s="33">
        <f>'LED Cost Sheet'!K6</f>
        <v>4000</v>
      </c>
      <c r="J7" s="33" t="str">
        <f>'LED Cost Sheet'!L6</f>
        <v>Front</v>
      </c>
      <c r="K7" s="33" t="s">
        <v>143</v>
      </c>
      <c r="L7" s="46">
        <f>'LED Cost Sheet'!U6</f>
        <v>472</v>
      </c>
      <c r="M7" s="46">
        <f>'LED Cost Sheet'!V6</f>
        <v>5081</v>
      </c>
      <c r="N7" s="61">
        <f>IFERROR((F7*G7*B7)/400000,0)</f>
        <v>1.71</v>
      </c>
      <c r="O7" s="46">
        <f>'LED Cost Sheet'!W6</f>
        <v>17336</v>
      </c>
    </row>
    <row r="8" spans="1:15" x14ac:dyDescent="0.25">
      <c r="A8" t="str">
        <f>'LED Cost Sheet'!A7</f>
        <v>FIELD RIBBON WEST — FIELD RIBBON WEST</v>
      </c>
      <c r="B8">
        <f>'LED Cost Sheet'!I7</f>
        <v>1</v>
      </c>
      <c r="C8" t="str">
        <f>'LED Cost Sheet'!D7</f>
        <v>3.9mm</v>
      </c>
      <c r="D8">
        <f>'LED Cost Sheet'!E7</f>
        <v>3</v>
      </c>
      <c r="E8">
        <f>'LED Cost Sheet'!F7</f>
        <v>200</v>
      </c>
      <c r="F8">
        <f>'LED Cost Sheet'!G7</f>
        <v>234</v>
      </c>
      <c r="G8">
        <f>'LED Cost Sheet'!H7</f>
        <v>15631</v>
      </c>
      <c r="H8" s="53">
        <f>D8*E8*B8</f>
        <v>600</v>
      </c>
      <c r="I8">
        <f>'LED Cost Sheet'!K7</f>
        <v>8000</v>
      </c>
      <c r="J8" t="str">
        <f>'LED Cost Sheet'!L7</f>
        <v>Front</v>
      </c>
      <c r="K8" t="s">
        <v>143</v>
      </c>
      <c r="L8" s="53">
        <f>'LED Cost Sheet'!U7</f>
        <v>2531</v>
      </c>
      <c r="M8" s="53">
        <f>'LED Cost Sheet'!V7</f>
        <v>27219</v>
      </c>
      <c r="N8" s="62">
        <f>IFERROR((F8*G8*B8)/400000,0)</f>
        <v>9.14</v>
      </c>
      <c r="O8" s="53">
        <f>'LED Cost Sheet'!W7</f>
        <v>92871</v>
      </c>
    </row>
    <row r="9" spans="1:15" x14ac:dyDescent="0.25">
      <c r="A9" s="33" t="str">
        <f>'LED Cost Sheet'!A8</f>
        <v>INCIDENT COMMAND — INCIDENT COMMANT</v>
      </c>
      <c r="B9" s="33">
        <f>'LED Cost Sheet'!I8</f>
        <v>1</v>
      </c>
      <c r="C9" s="33" t="str">
        <f>'LED Cost Sheet'!D8</f>
        <v>3.9mm</v>
      </c>
      <c r="D9" s="33">
        <f>'LED Cost Sheet'!E8</f>
        <v>5.33</v>
      </c>
      <c r="E9" s="33">
        <f>'LED Cost Sheet'!F8</f>
        <v>21</v>
      </c>
      <c r="F9" s="33">
        <f>'LED Cost Sheet'!G8</f>
        <v>417</v>
      </c>
      <c r="G9" s="33">
        <f>'LED Cost Sheet'!H8</f>
        <v>1641</v>
      </c>
      <c r="H9" s="46">
        <f>D9*E9*B9</f>
        <v>111.93</v>
      </c>
      <c r="I9" s="33">
        <f>'LED Cost Sheet'!K8</f>
        <v>4000</v>
      </c>
      <c r="J9" s="33" t="str">
        <f>'LED Cost Sheet'!L8</f>
        <v>Front</v>
      </c>
      <c r="K9" s="33" t="s">
        <v>143</v>
      </c>
      <c r="L9" s="46">
        <f>'LED Cost Sheet'!U8</f>
        <v>472</v>
      </c>
      <c r="M9" s="46">
        <f>'LED Cost Sheet'!V8</f>
        <v>5078</v>
      </c>
      <c r="N9" s="61">
        <f>IFERROR((F9*G9*B9)/400000,0)</f>
        <v>1.71</v>
      </c>
      <c r="O9" s="46">
        <f>'LED Cost Sheet'!W8</f>
        <v>17326</v>
      </c>
    </row>
    <row r="10" spans="1:15" x14ac:dyDescent="0.25">
      <c r="A10" t="str">
        <f>'LED Cost Sheet'!A9</f>
        <v>DEF UNIT — DEF UNIT</v>
      </c>
      <c r="B10">
        <f>'LED Cost Sheet'!I9</f>
        <v>1</v>
      </c>
      <c r="C10" t="str">
        <f>'LED Cost Sheet'!D9</f>
        <v>3.9mm</v>
      </c>
      <c r="D10">
        <f>'LED Cost Sheet'!E9</f>
        <v>6</v>
      </c>
      <c r="E10">
        <f>'LED Cost Sheet'!F9</f>
        <v>11</v>
      </c>
      <c r="F10">
        <f>'LED Cost Sheet'!G9</f>
        <v>469</v>
      </c>
      <c r="G10">
        <f>'LED Cost Sheet'!H9</f>
        <v>860</v>
      </c>
      <c r="H10" s="53">
        <f>D10*E10*B10</f>
        <v>66</v>
      </c>
      <c r="I10">
        <f>'LED Cost Sheet'!K9</f>
        <v>4000</v>
      </c>
      <c r="J10" t="str">
        <f>'LED Cost Sheet'!L9</f>
        <v>Front</v>
      </c>
      <c r="K10" t="s">
        <v>143</v>
      </c>
      <c r="L10" s="53">
        <f>'LED Cost Sheet'!U9</f>
        <v>278</v>
      </c>
      <c r="M10" s="53">
        <f>'LED Cost Sheet'!V9</f>
        <v>2994</v>
      </c>
      <c r="N10" s="62">
        <f>IFERROR((F10*G10*B10)/400000,0)</f>
        <v>1.01</v>
      </c>
      <c r="O10" s="53">
        <f>'LED Cost Sheet'!W9</f>
        <v>10216</v>
      </c>
    </row>
    <row r="11" spans="1:15" x14ac:dyDescent="0.25">
      <c r="A11" s="33" t="str">
        <f>'LED Cost Sheet'!A10</f>
        <v>NORTH CORRIDOR — NORTH CORRIDOR</v>
      </c>
      <c r="B11" s="33">
        <f>'LED Cost Sheet'!I10</f>
        <v>1</v>
      </c>
      <c r="C11" s="33" t="str">
        <f>'LED Cost Sheet'!D10</f>
        <v>3.9mm</v>
      </c>
      <c r="D11" s="33">
        <f>'LED Cost Sheet'!E10</f>
        <v>11</v>
      </c>
      <c r="E11" s="33">
        <f>'LED Cost Sheet'!F10</f>
        <v>100</v>
      </c>
      <c r="F11" s="33">
        <f>'LED Cost Sheet'!G10</f>
        <v>860</v>
      </c>
      <c r="G11" s="33">
        <f>'LED Cost Sheet'!H10</f>
        <v>7815</v>
      </c>
      <c r="H11" s="46">
        <f>D11*E11*B11</f>
        <v>1100</v>
      </c>
      <c r="I11" s="33">
        <f>'LED Cost Sheet'!K10</f>
        <v>4000</v>
      </c>
      <c r="J11" s="33" t="str">
        <f>'LED Cost Sheet'!L10</f>
        <v>Front</v>
      </c>
      <c r="K11" s="33" t="s">
        <v>143</v>
      </c>
      <c r="L11" s="46">
        <f>'LED Cost Sheet'!U10</f>
        <v>4640</v>
      </c>
      <c r="M11" s="46">
        <f>'LED Cost Sheet'!V10</f>
        <v>49901</v>
      </c>
      <c r="N11" s="61">
        <f>IFERROR((F11*G11*B11)/400000,0)</f>
        <v>16.8</v>
      </c>
      <c r="O11" s="46">
        <f>'LED Cost Sheet'!W10</f>
        <v>170262</v>
      </c>
    </row>
    <row r="12" spans="1:15" x14ac:dyDescent="0.25">
      <c r="A12" t="str">
        <f>'LED Cost Sheet'!A11</f>
        <v>SOUTH CORRIDOR — SOUTH CORRIDOR</v>
      </c>
      <c r="B12">
        <f>'LED Cost Sheet'!I11</f>
        <v>1</v>
      </c>
      <c r="C12" t="str">
        <f>'LED Cost Sheet'!D11</f>
        <v>3.9mm</v>
      </c>
      <c r="D12">
        <f>'LED Cost Sheet'!E11</f>
        <v>11</v>
      </c>
      <c r="E12">
        <f>'LED Cost Sheet'!F11</f>
        <v>85</v>
      </c>
      <c r="F12">
        <f>'LED Cost Sheet'!G11</f>
        <v>860</v>
      </c>
      <c r="G12">
        <f>'LED Cost Sheet'!H11</f>
        <v>6643</v>
      </c>
      <c r="H12" s="53">
        <f>D12*E12*B12</f>
        <v>935</v>
      </c>
      <c r="I12">
        <f>'LED Cost Sheet'!K11</f>
        <v>4000</v>
      </c>
      <c r="J12" t="str">
        <f>'LED Cost Sheet'!L11</f>
        <v>Front</v>
      </c>
      <c r="K12" t="s">
        <v>143</v>
      </c>
      <c r="L12" s="53">
        <f>'LED Cost Sheet'!U11</f>
        <v>3944</v>
      </c>
      <c r="M12" s="53">
        <f>'LED Cost Sheet'!V11</f>
        <v>42416</v>
      </c>
      <c r="N12" s="62">
        <f>IFERROR((F12*G12*B12)/400000,0)</f>
        <v>14.28</v>
      </c>
      <c r="O12" s="53">
        <f>'LED Cost Sheet'!W11</f>
        <v>144723</v>
      </c>
    </row>
    <row r="13" spans="1:15" x14ac:dyDescent="0.25">
      <c r="A13" s="33" t="str">
        <f>'LED Cost Sheet'!A12</f>
        <v>S.E. CORRIDOR (CEILING) — S.E. CORRIDOR (CEILING)</v>
      </c>
      <c r="B13" s="33">
        <f>'LED Cost Sheet'!I12</f>
        <v>1</v>
      </c>
      <c r="C13" s="33" t="str">
        <f>'LED Cost Sheet'!D12</f>
        <v>3.9mm</v>
      </c>
      <c r="D13" s="33">
        <f>'LED Cost Sheet'!E12</f>
        <v>10</v>
      </c>
      <c r="E13" s="33">
        <f>'LED Cost Sheet'!F12</f>
        <v>34</v>
      </c>
      <c r="F13" s="33">
        <f>'LED Cost Sheet'!G12</f>
        <v>782</v>
      </c>
      <c r="G13" s="33">
        <f>'LED Cost Sheet'!H12</f>
        <v>2657</v>
      </c>
      <c r="H13" s="46">
        <f>D13*E13*B13</f>
        <v>340</v>
      </c>
      <c r="I13" s="33">
        <f>'LED Cost Sheet'!K12</f>
        <v>4000</v>
      </c>
      <c r="J13" s="33" t="str">
        <f>'LED Cost Sheet'!L12</f>
        <v>Front</v>
      </c>
      <c r="K13" s="33" t="s">
        <v>143</v>
      </c>
      <c r="L13" s="46">
        <f>'LED Cost Sheet'!U12</f>
        <v>1434</v>
      </c>
      <c r="M13" s="46">
        <f>'LED Cost Sheet'!V12</f>
        <v>15424</v>
      </c>
      <c r="N13" s="61">
        <f>IFERROR((F13*G13*B13)/400000,0)</f>
        <v>5.19</v>
      </c>
      <c r="O13" s="46">
        <f>'LED Cost Sheet'!W12</f>
        <v>52627</v>
      </c>
    </row>
    <row r="14" spans="1:15" x14ac:dyDescent="0.25">
      <c r="A14" t="str">
        <f>'LED Cost Sheet'!A13</f>
        <v>S.E. CORRIDOR (CEILING) — S.E. CORRIDOR (CEILING)</v>
      </c>
      <c r="B14">
        <f>'LED Cost Sheet'!I13</f>
        <v>1</v>
      </c>
      <c r="C14" t="str">
        <f>'LED Cost Sheet'!D13</f>
        <v>3.9mm</v>
      </c>
      <c r="D14">
        <f>'LED Cost Sheet'!E13</f>
        <v>10</v>
      </c>
      <c r="E14">
        <f>'LED Cost Sheet'!F13</f>
        <v>34</v>
      </c>
      <c r="F14">
        <f>'LED Cost Sheet'!G13</f>
        <v>782</v>
      </c>
      <c r="G14">
        <f>'LED Cost Sheet'!H13</f>
        <v>2657</v>
      </c>
      <c r="H14" s="53">
        <f>D14*E14*B14</f>
        <v>340</v>
      </c>
      <c r="I14">
        <f>'LED Cost Sheet'!K13</f>
        <v>4000</v>
      </c>
      <c r="J14" t="str">
        <f>'LED Cost Sheet'!L13</f>
        <v>Front</v>
      </c>
      <c r="K14" t="s">
        <v>143</v>
      </c>
      <c r="L14" s="53">
        <f>'LED Cost Sheet'!U13</f>
        <v>1434</v>
      </c>
      <c r="M14" s="53">
        <f>'LED Cost Sheet'!V13</f>
        <v>15424</v>
      </c>
      <c r="N14" s="62">
        <f>IFERROR((F14*G14*B14)/400000,0)</f>
        <v>5.19</v>
      </c>
      <c r="O14" s="53">
        <f>'LED Cost Sheet'!W13</f>
        <v>52627</v>
      </c>
    </row>
    <row r="15" spans="1:15" x14ac:dyDescent="0.25">
      <c r="A15" s="33" t="str">
        <f>'LED Cost Sheet'!A14</f>
        <v>EAST CORRIDOR (CEILING) — EAST CORRIDOR (CEILING)</v>
      </c>
      <c r="B15" s="33">
        <f>'LED Cost Sheet'!I14</f>
        <v>1</v>
      </c>
      <c r="C15" s="33" t="str">
        <f>'LED Cost Sheet'!D14</f>
        <v>3.9mm</v>
      </c>
      <c r="D15" s="33">
        <f>'LED Cost Sheet'!E14</f>
        <v>10</v>
      </c>
      <c r="E15" s="33">
        <f>'LED Cost Sheet'!F14</f>
        <v>36</v>
      </c>
      <c r="F15" s="33">
        <f>'LED Cost Sheet'!G14</f>
        <v>782</v>
      </c>
      <c r="G15" s="33">
        <f>'LED Cost Sheet'!H14</f>
        <v>2814</v>
      </c>
      <c r="H15" s="46">
        <f>D15*E15*B15</f>
        <v>360</v>
      </c>
      <c r="I15" s="33">
        <f>'LED Cost Sheet'!K14</f>
        <v>4000</v>
      </c>
      <c r="J15" s="33" t="str">
        <f>'LED Cost Sheet'!L14</f>
        <v>Front</v>
      </c>
      <c r="K15" s="33" t="s">
        <v>143</v>
      </c>
      <c r="L15" s="46">
        <f>'LED Cost Sheet'!U14</f>
        <v>1518</v>
      </c>
      <c r="M15" s="46">
        <f>'LED Cost Sheet'!V14</f>
        <v>16331</v>
      </c>
      <c r="N15" s="61">
        <f>IFERROR((F15*G15*B15)/400000,0)</f>
        <v>5.5</v>
      </c>
      <c r="O15" s="46">
        <f>'LED Cost Sheet'!W14</f>
        <v>55721</v>
      </c>
    </row>
    <row r="16" spans="1:15" x14ac:dyDescent="0.25">
      <c r="A16" t="str">
        <f>'LED Cost Sheet'!A15</f>
        <v>N.E. CORRIDOR (CEILING) — N.E. CORRIDOR (CEILING)</v>
      </c>
      <c r="B16">
        <f>'LED Cost Sheet'!I15</f>
        <v>1</v>
      </c>
      <c r="C16" t="str">
        <f>'LED Cost Sheet'!D15</f>
        <v>3.9mm</v>
      </c>
      <c r="D16">
        <f>'LED Cost Sheet'!E15</f>
        <v>10</v>
      </c>
      <c r="E16">
        <f>'LED Cost Sheet'!F15</f>
        <v>34</v>
      </c>
      <c r="F16">
        <f>'LED Cost Sheet'!G15</f>
        <v>782</v>
      </c>
      <c r="G16">
        <f>'LED Cost Sheet'!H15</f>
        <v>2657</v>
      </c>
      <c r="H16" s="53">
        <f>D16*E16*B16</f>
        <v>340</v>
      </c>
      <c r="I16">
        <f>'LED Cost Sheet'!K15</f>
        <v>4000</v>
      </c>
      <c r="J16" t="str">
        <f>'LED Cost Sheet'!L15</f>
        <v>Front</v>
      </c>
      <c r="K16" t="s">
        <v>143</v>
      </c>
      <c r="L16" s="53">
        <f>'LED Cost Sheet'!U15</f>
        <v>1434</v>
      </c>
      <c r="M16" s="53">
        <f>'LED Cost Sheet'!V15</f>
        <v>15424</v>
      </c>
      <c r="N16" s="62">
        <f>IFERROR((F16*G16*B16)/400000,0)</f>
        <v>5.19</v>
      </c>
      <c r="O16" s="53">
        <f>'LED Cost Sheet'!W15</f>
        <v>52627</v>
      </c>
    </row>
    <row r="17" spans="1:15" x14ac:dyDescent="0.25">
      <c r="A17" s="33" t="str">
        <f>'LED Cost Sheet'!A16</f>
        <v>N.E. CORRIDOR (CEILING) — N.E. CORRIDOR (CEILING)</v>
      </c>
      <c r="B17" s="33">
        <f>'LED Cost Sheet'!I16</f>
        <v>1</v>
      </c>
      <c r="C17" s="33" t="str">
        <f>'LED Cost Sheet'!D16</f>
        <v>3.9mm</v>
      </c>
      <c r="D17" s="33">
        <f>'LED Cost Sheet'!E16</f>
        <v>10</v>
      </c>
      <c r="E17" s="33">
        <f>'LED Cost Sheet'!F16</f>
        <v>34</v>
      </c>
      <c r="F17" s="33">
        <f>'LED Cost Sheet'!G16</f>
        <v>782</v>
      </c>
      <c r="G17" s="33">
        <f>'LED Cost Sheet'!H16</f>
        <v>2657</v>
      </c>
      <c r="H17" s="46">
        <f>D17*E17*B17</f>
        <v>340</v>
      </c>
      <c r="I17" s="33">
        <f>'LED Cost Sheet'!K16</f>
        <v>4000</v>
      </c>
      <c r="J17" s="33" t="str">
        <f>'LED Cost Sheet'!L16</f>
        <v>Front</v>
      </c>
      <c r="K17" s="33" t="s">
        <v>143</v>
      </c>
      <c r="L17" s="46">
        <f>'LED Cost Sheet'!U16</f>
        <v>1434</v>
      </c>
      <c r="M17" s="46">
        <f>'LED Cost Sheet'!V16</f>
        <v>15424</v>
      </c>
      <c r="N17" s="61">
        <f>IFERROR((F17*G17*B17)/400000,0)</f>
        <v>5.19</v>
      </c>
      <c r="O17" s="46">
        <f>'LED Cost Sheet'!W16</f>
        <v>52627</v>
      </c>
    </row>
    <row r="18" spans="1:15" x14ac:dyDescent="0.25">
      <c r="A18" t="str">
        <f>'LED Cost Sheet'!A17</f>
        <v>LARGE ADMIN ROOM — LARGE ADMIN ROOM</v>
      </c>
      <c r="B18">
        <f>'LED Cost Sheet'!I17</f>
        <v>1</v>
      </c>
      <c r="C18" t="str">
        <f>'LED Cost Sheet'!D17</f>
        <v>3.9mm</v>
      </c>
      <c r="D18">
        <f>'LED Cost Sheet'!E17</f>
        <v>8</v>
      </c>
      <c r="E18">
        <f>'LED Cost Sheet'!F17</f>
        <v>28</v>
      </c>
      <c r="F18">
        <f>'LED Cost Sheet'!G17</f>
        <v>625</v>
      </c>
      <c r="G18">
        <f>'LED Cost Sheet'!H17</f>
        <v>2188</v>
      </c>
      <c r="H18" s="53">
        <f>D18*E18*B18</f>
        <v>224</v>
      </c>
      <c r="I18">
        <f>'LED Cost Sheet'!K17</f>
        <v>4000</v>
      </c>
      <c r="J18" t="str">
        <f>'LED Cost Sheet'!L17</f>
        <v>Front</v>
      </c>
      <c r="K18" t="s">
        <v>143</v>
      </c>
      <c r="L18" s="53">
        <f>'LED Cost Sheet'!U17</f>
        <v>945</v>
      </c>
      <c r="M18" s="53">
        <f>'LED Cost Sheet'!V17</f>
        <v>10162</v>
      </c>
      <c r="N18" s="62">
        <f>IFERROR((F18*G18*B18)/400000,0)</f>
        <v>3.42</v>
      </c>
      <c r="O18" s="53">
        <f>'LED Cost Sheet'!W17</f>
        <v>34673</v>
      </c>
    </row>
    <row r="19" spans="1:15" x14ac:dyDescent="0.25">
      <c r="A19" s="33" t="str">
        <f>'LED Cost Sheet'!A18</f>
        <v>ELEV LOBBY — ELEV LOBBY</v>
      </c>
      <c r="B19" s="33">
        <f>'LED Cost Sheet'!I18</f>
        <v>1</v>
      </c>
      <c r="C19" s="33" t="str">
        <f>'LED Cost Sheet'!D18</f>
        <v>3.9mm</v>
      </c>
      <c r="D19" s="33">
        <f>'LED Cost Sheet'!E18</f>
        <v>4</v>
      </c>
      <c r="E19" s="33">
        <f>'LED Cost Sheet'!F18</f>
        <v>6</v>
      </c>
      <c r="F19" s="33">
        <f>'LED Cost Sheet'!G18</f>
        <v>313</v>
      </c>
      <c r="G19" s="33">
        <f>'LED Cost Sheet'!H18</f>
        <v>469</v>
      </c>
      <c r="H19" s="46">
        <f>D19*E19*B19</f>
        <v>24</v>
      </c>
      <c r="I19" s="33">
        <f>'LED Cost Sheet'!K18</f>
        <v>4000</v>
      </c>
      <c r="J19" s="33" t="str">
        <f>'LED Cost Sheet'!L18</f>
        <v>Front</v>
      </c>
      <c r="K19" s="33" t="s">
        <v>143</v>
      </c>
      <c r="L19" s="46">
        <f>'LED Cost Sheet'!U18</f>
        <v>101</v>
      </c>
      <c r="M19" s="46">
        <f>'LED Cost Sheet'!V18</f>
        <v>1089</v>
      </c>
      <c r="N19" s="61">
        <f>IFERROR((F19*G19*B19)/400000,0)</f>
        <v>0.37</v>
      </c>
      <c r="O19" s="46">
        <f>'LED Cost Sheet'!W18</f>
        <v>3716</v>
      </c>
    </row>
    <row r="20" spans="1:15" x14ac:dyDescent="0.25">
      <c r="A20" t="str">
        <f>'LED Cost Sheet'!A19</f>
        <v>NORTH CLUB — NORTH CLUB</v>
      </c>
      <c r="B20">
        <f>'LED Cost Sheet'!I19</f>
        <v>1</v>
      </c>
      <c r="C20" t="str">
        <f>'LED Cost Sheet'!D19</f>
        <v>3.9mm</v>
      </c>
      <c r="D20">
        <f>'LED Cost Sheet'!E19</f>
        <v>9</v>
      </c>
      <c r="E20">
        <f>'LED Cost Sheet'!F19</f>
        <v>16</v>
      </c>
      <c r="F20">
        <f>'LED Cost Sheet'!G19</f>
        <v>703</v>
      </c>
      <c r="G20">
        <f>'LED Cost Sheet'!H19</f>
        <v>1250</v>
      </c>
      <c r="H20" s="53">
        <f>D20*E20*B20</f>
        <v>144</v>
      </c>
      <c r="I20">
        <f>'LED Cost Sheet'!K19</f>
        <v>4000</v>
      </c>
      <c r="J20" t="str">
        <f>'LED Cost Sheet'!L19</f>
        <v>Front</v>
      </c>
      <c r="K20" t="s">
        <v>143</v>
      </c>
      <c r="L20" s="53">
        <f>'LED Cost Sheet'!U19</f>
        <v>607</v>
      </c>
      <c r="M20" s="53">
        <f>'LED Cost Sheet'!V19</f>
        <v>6532</v>
      </c>
      <c r="N20" s="62">
        <f>IFERROR((F20*G20*B20)/400000,0)</f>
        <v>2.2</v>
      </c>
      <c r="O20" s="53">
        <f>'LED Cost Sheet'!W19</f>
        <v>22287</v>
      </c>
    </row>
    <row r="21" spans="1:15" x14ac:dyDescent="0.25">
      <c r="A21" s="33" t="str">
        <f>'LED Cost Sheet'!A20</f>
        <v>PANTHERS DEN — PANTHERS DEN</v>
      </c>
      <c r="B21" s="33">
        <f>'LED Cost Sheet'!I20</f>
        <v>1</v>
      </c>
      <c r="C21" s="33" t="str">
        <f>'LED Cost Sheet'!D20</f>
        <v>3.9mm</v>
      </c>
      <c r="D21" s="33">
        <f>'LED Cost Sheet'!E20</f>
        <v>22</v>
      </c>
      <c r="E21" s="33">
        <f>'LED Cost Sheet'!F20</f>
        <v>3</v>
      </c>
      <c r="F21" s="33">
        <f>'LED Cost Sheet'!G20</f>
        <v>1719</v>
      </c>
      <c r="G21" s="33">
        <f>'LED Cost Sheet'!H20</f>
        <v>234</v>
      </c>
      <c r="H21" s="46">
        <f>D21*E21*B21</f>
        <v>66</v>
      </c>
      <c r="I21" s="33">
        <f>'LED Cost Sheet'!K20</f>
        <v>4000</v>
      </c>
      <c r="J21" s="33" t="str">
        <f>'LED Cost Sheet'!L20</f>
        <v>Front</v>
      </c>
      <c r="K21" s="33" t="s">
        <v>143</v>
      </c>
      <c r="L21" s="46">
        <f>'LED Cost Sheet'!U20</f>
        <v>278</v>
      </c>
      <c r="M21" s="46">
        <f>'LED Cost Sheet'!V20</f>
        <v>2994</v>
      </c>
      <c r="N21" s="61">
        <f>IFERROR((F21*G21*B21)/400000,0)</f>
        <v>1.01</v>
      </c>
      <c r="O21" s="46">
        <f>'LED Cost Sheet'!W20</f>
        <v>10216</v>
      </c>
    </row>
    <row r="22" spans="1:15" x14ac:dyDescent="0.25">
      <c r="A22" t="str">
        <f>'LED Cost Sheet'!A21</f>
        <v>PANTHERS DEN — PANTHERS DEN</v>
      </c>
      <c r="B22">
        <f>'LED Cost Sheet'!I21</f>
        <v>1</v>
      </c>
      <c r="C22" t="str">
        <f>'LED Cost Sheet'!D21</f>
        <v>3.9mm</v>
      </c>
      <c r="D22">
        <f>'LED Cost Sheet'!E21</f>
        <v>19</v>
      </c>
      <c r="E22">
        <f>'LED Cost Sheet'!F21</f>
        <v>3</v>
      </c>
      <c r="F22">
        <f>'LED Cost Sheet'!G21</f>
        <v>1485</v>
      </c>
      <c r="G22">
        <f>'LED Cost Sheet'!H21</f>
        <v>234</v>
      </c>
      <c r="H22" s="53">
        <f>D22*E22*B22</f>
        <v>57</v>
      </c>
      <c r="I22">
        <f>'LED Cost Sheet'!K21</f>
        <v>4000</v>
      </c>
      <c r="J22" t="str">
        <f>'LED Cost Sheet'!L21</f>
        <v>Front</v>
      </c>
      <c r="K22" t="s">
        <v>143</v>
      </c>
      <c r="L22" s="53">
        <f>'LED Cost Sheet'!U21</f>
        <v>240</v>
      </c>
      <c r="M22" s="53">
        <f>'LED Cost Sheet'!V21</f>
        <v>2586</v>
      </c>
      <c r="N22" s="62">
        <f>IFERROR((F22*G22*B22)/400000,0)</f>
        <v>0.87</v>
      </c>
      <c r="O22" s="53">
        <f>'LED Cost Sheet'!W21</f>
        <v>8823</v>
      </c>
    </row>
    <row r="23" spans="1:15" x14ac:dyDescent="0.25">
      <c r="A23" s="33" t="str">
        <f>'LED Cost Sheet'!A22</f>
        <v>PANTHERS DEN — PANTHERS DEN</v>
      </c>
      <c r="B23" s="33">
        <f>'LED Cost Sheet'!I22</f>
        <v>1</v>
      </c>
      <c r="C23" s="33" t="str">
        <f>'LED Cost Sheet'!D22</f>
        <v>3.9mm</v>
      </c>
      <c r="D23" s="33">
        <f>'LED Cost Sheet'!E22</f>
        <v>22</v>
      </c>
      <c r="E23" s="33">
        <f>'LED Cost Sheet'!F22</f>
        <v>3.17</v>
      </c>
      <c r="F23" s="33">
        <f>'LED Cost Sheet'!G22</f>
        <v>1719</v>
      </c>
      <c r="G23" s="33">
        <f>'LED Cost Sheet'!H22</f>
        <v>248</v>
      </c>
      <c r="H23" s="46">
        <f>D23*E23*B23</f>
        <v>69.74</v>
      </c>
      <c r="I23" s="33">
        <f>'LED Cost Sheet'!K22</f>
        <v>4000</v>
      </c>
      <c r="J23" s="33" t="str">
        <f>'LED Cost Sheet'!L22</f>
        <v>Front</v>
      </c>
      <c r="K23" s="33" t="s">
        <v>143</v>
      </c>
      <c r="L23" s="46">
        <f>'LED Cost Sheet'!U22</f>
        <v>294</v>
      </c>
      <c r="M23" s="46">
        <f>'LED Cost Sheet'!V22</f>
        <v>3164</v>
      </c>
      <c r="N23" s="61">
        <f>IFERROR((F23*G23*B23)/400000,0)</f>
        <v>1.07</v>
      </c>
      <c r="O23" s="46">
        <f>'LED Cost Sheet'!W22</f>
        <v>10796</v>
      </c>
    </row>
    <row r="24" spans="1:15" x14ac:dyDescent="0.25">
      <c r="A24" t="str">
        <f>'LED Cost Sheet'!A23</f>
        <v>PANTHERS DEN — PANTHERS DEN</v>
      </c>
      <c r="B24">
        <f>'LED Cost Sheet'!I23</f>
        <v>1</v>
      </c>
      <c r="C24" t="str">
        <f>'LED Cost Sheet'!D23</f>
        <v>3.9mm</v>
      </c>
      <c r="D24">
        <f>'LED Cost Sheet'!E23</f>
        <v>22</v>
      </c>
      <c r="E24">
        <f>'LED Cost Sheet'!F23</f>
        <v>3</v>
      </c>
      <c r="F24">
        <f>'LED Cost Sheet'!G23</f>
        <v>1719</v>
      </c>
      <c r="G24">
        <f>'LED Cost Sheet'!H23</f>
        <v>234</v>
      </c>
      <c r="H24" s="53">
        <f>D24*E24*B24</f>
        <v>66</v>
      </c>
      <c r="I24">
        <f>'LED Cost Sheet'!K23</f>
        <v>4000</v>
      </c>
      <c r="J24" t="str">
        <f>'LED Cost Sheet'!L23</f>
        <v>Front</v>
      </c>
      <c r="K24" t="s">
        <v>143</v>
      </c>
      <c r="L24" s="53">
        <f>'LED Cost Sheet'!U23</f>
        <v>278</v>
      </c>
      <c r="M24" s="53">
        <f>'LED Cost Sheet'!V23</f>
        <v>2994</v>
      </c>
      <c r="N24" s="62">
        <f>IFERROR((F24*G24*B24)/400000,0)</f>
        <v>1.01</v>
      </c>
      <c r="O24" s="53">
        <f>'LED Cost Sheet'!W23</f>
        <v>10216</v>
      </c>
    </row>
    <row r="25" spans="1:15" x14ac:dyDescent="0.25">
      <c r="A25" s="33" t="str">
        <f>'LED Cost Sheet'!A24</f>
        <v>PANTHERS DEN — PANTHERS DEN</v>
      </c>
      <c r="B25" s="33">
        <f>'LED Cost Sheet'!I24</f>
        <v>1</v>
      </c>
      <c r="C25" s="33" t="str">
        <f>'LED Cost Sheet'!D24</f>
        <v>3.9mm</v>
      </c>
      <c r="D25" s="33">
        <f>'LED Cost Sheet'!E24</f>
        <v>22</v>
      </c>
      <c r="E25" s="33">
        <f>'LED Cost Sheet'!F24</f>
        <v>3</v>
      </c>
      <c r="F25" s="33">
        <f>'LED Cost Sheet'!G24</f>
        <v>1719</v>
      </c>
      <c r="G25" s="33">
        <f>'LED Cost Sheet'!H24</f>
        <v>234</v>
      </c>
      <c r="H25" s="46">
        <f>D25*E25*B25</f>
        <v>66</v>
      </c>
      <c r="I25" s="33">
        <f>'LED Cost Sheet'!K24</f>
        <v>4000</v>
      </c>
      <c r="J25" s="33" t="str">
        <f>'LED Cost Sheet'!L24</f>
        <v>Front</v>
      </c>
      <c r="K25" s="33" t="s">
        <v>143</v>
      </c>
      <c r="L25" s="46">
        <f>'LED Cost Sheet'!U24</f>
        <v>278</v>
      </c>
      <c r="M25" s="46">
        <f>'LED Cost Sheet'!V24</f>
        <v>2994</v>
      </c>
      <c r="N25" s="61">
        <f>IFERROR((F25*G25*B25)/400000,0)</f>
        <v>1.01</v>
      </c>
      <c r="O25" s="46">
        <f>'LED Cost Sheet'!W24</f>
        <v>10216</v>
      </c>
    </row>
    <row r="26" spans="1:15" x14ac:dyDescent="0.25">
      <c r="A26" t="str">
        <f>'LED Cost Sheet'!A25</f>
        <v>PANTHERS DEN — PANTHERS DEN</v>
      </c>
      <c r="B26">
        <f>'LED Cost Sheet'!I25</f>
        <v>1</v>
      </c>
      <c r="C26" t="str">
        <f>'LED Cost Sheet'!D25</f>
        <v>3.9mm</v>
      </c>
      <c r="D26">
        <f>'LED Cost Sheet'!E25</f>
        <v>8</v>
      </c>
      <c r="E26">
        <f>'LED Cost Sheet'!F25</f>
        <v>29</v>
      </c>
      <c r="F26">
        <f>'LED Cost Sheet'!G25</f>
        <v>625</v>
      </c>
      <c r="G26">
        <f>'LED Cost Sheet'!H25</f>
        <v>2266</v>
      </c>
      <c r="H26" s="53">
        <f>D26*E26*B26</f>
        <v>232</v>
      </c>
      <c r="I26">
        <f>'LED Cost Sheet'!K25</f>
        <v>4000</v>
      </c>
      <c r="J26" t="str">
        <f>'LED Cost Sheet'!L25</f>
        <v>Front</v>
      </c>
      <c r="K26" t="s">
        <v>143</v>
      </c>
      <c r="L26" s="53">
        <f>'LED Cost Sheet'!U25</f>
        <v>979</v>
      </c>
      <c r="M26" s="53">
        <f>'LED Cost Sheet'!V25</f>
        <v>10525</v>
      </c>
      <c r="N26" s="62">
        <f>IFERROR((F26*G26*B26)/400000,0)</f>
        <v>3.54</v>
      </c>
      <c r="O26" s="53">
        <f>'LED Cost Sheet'!W25</f>
        <v>35911</v>
      </c>
    </row>
    <row r="27" spans="1:15" x14ac:dyDescent="0.25">
      <c r="A27" s="33" t="str">
        <f>'LED Cost Sheet'!A26</f>
        <v>PANTHERS DEN — PANTHERS DEN</v>
      </c>
      <c r="B27" s="33">
        <f>'LED Cost Sheet'!I26</f>
        <v>1</v>
      </c>
      <c r="C27" s="33" t="str">
        <f>'LED Cost Sheet'!D26</f>
        <v>3.9mm</v>
      </c>
      <c r="D27" s="33">
        <f>'LED Cost Sheet'!E26</f>
        <v>4.08</v>
      </c>
      <c r="E27" s="33">
        <f>'LED Cost Sheet'!F26</f>
        <v>37.25</v>
      </c>
      <c r="F27" s="33">
        <f>'LED Cost Sheet'!G26</f>
        <v>319</v>
      </c>
      <c r="G27" s="33">
        <f>'LED Cost Sheet'!H26</f>
        <v>2911</v>
      </c>
      <c r="H27" s="46">
        <f>D27*E27*B27</f>
        <v>151.98</v>
      </c>
      <c r="I27" s="33">
        <f>'LED Cost Sheet'!K26</f>
        <v>4000</v>
      </c>
      <c r="J27" s="33" t="str">
        <f>'LED Cost Sheet'!L26</f>
        <v>Front</v>
      </c>
      <c r="K27" s="33" t="s">
        <v>143</v>
      </c>
      <c r="L27" s="46">
        <f>'LED Cost Sheet'!U26</f>
        <v>641</v>
      </c>
      <c r="M27" s="46">
        <f>'LED Cost Sheet'!V26</f>
        <v>6895</v>
      </c>
      <c r="N27" s="61">
        <f>IFERROR((F27*G27*B27)/400000,0)</f>
        <v>2.32</v>
      </c>
      <c r="O27" s="46">
        <f>'LED Cost Sheet'!W26</f>
        <v>23526</v>
      </c>
    </row>
    <row r="28" spans="1:15" x14ac:dyDescent="0.25">
      <c r="A28" t="str">
        <f>'LED Cost Sheet'!A27</f>
        <v>SOUTH CLUB — SOUTH CLUB</v>
      </c>
      <c r="B28">
        <f>'LED Cost Sheet'!I27</f>
        <v>1</v>
      </c>
      <c r="C28" t="str">
        <f>'LED Cost Sheet'!D27</f>
        <v>3.9mm</v>
      </c>
      <c r="D28">
        <f>'LED Cost Sheet'!E27</f>
        <v>9</v>
      </c>
      <c r="E28">
        <f>'LED Cost Sheet'!F27</f>
        <v>37.25</v>
      </c>
      <c r="F28">
        <f>'LED Cost Sheet'!G27</f>
        <v>703</v>
      </c>
      <c r="G28">
        <f>'LED Cost Sheet'!H27</f>
        <v>2911</v>
      </c>
      <c r="H28" s="53">
        <f>D28*E28*B28</f>
        <v>335.25</v>
      </c>
      <c r="I28">
        <f>'LED Cost Sheet'!K27</f>
        <v>4000</v>
      </c>
      <c r="J28" t="str">
        <f>'LED Cost Sheet'!L27</f>
        <v>Front</v>
      </c>
      <c r="K28" t="s">
        <v>143</v>
      </c>
      <c r="L28" s="53">
        <f>'LED Cost Sheet'!U27</f>
        <v>1414</v>
      </c>
      <c r="M28" s="53">
        <f>'LED Cost Sheet'!V27</f>
        <v>15208</v>
      </c>
      <c r="N28" s="62">
        <f>IFERROR((F28*G28*B28)/400000,0)</f>
        <v>5.12</v>
      </c>
      <c r="O28" s="53">
        <f>'LED Cost Sheet'!W27</f>
        <v>51890</v>
      </c>
    </row>
    <row r="29" spans="1:15" x14ac:dyDescent="0.25">
      <c r="A29" s="33" t="str">
        <f>'LED Cost Sheet'!A28</f>
        <v>ELEV LOBBY — ELEV LOBBY</v>
      </c>
      <c r="B29" s="33">
        <f>'LED Cost Sheet'!I28</f>
        <v>1</v>
      </c>
      <c r="C29" s="33" t="str">
        <f>'LED Cost Sheet'!D28</f>
        <v>3.9mm</v>
      </c>
      <c r="D29" s="33">
        <f>'LED Cost Sheet'!E28</f>
        <v>4</v>
      </c>
      <c r="E29" s="33">
        <f>'LED Cost Sheet'!F28</f>
        <v>6</v>
      </c>
      <c r="F29" s="33">
        <f>'LED Cost Sheet'!G28</f>
        <v>313</v>
      </c>
      <c r="G29" s="33">
        <f>'LED Cost Sheet'!H28</f>
        <v>469</v>
      </c>
      <c r="H29" s="46">
        <f>D29*E29*B29</f>
        <v>24</v>
      </c>
      <c r="I29" s="33">
        <f>'LED Cost Sheet'!K28</f>
        <v>4000</v>
      </c>
      <c r="J29" s="33" t="str">
        <f>'LED Cost Sheet'!L28</f>
        <v>Front</v>
      </c>
      <c r="K29" s="33" t="s">
        <v>143</v>
      </c>
      <c r="L29" s="46">
        <f>'LED Cost Sheet'!U28</f>
        <v>101</v>
      </c>
      <c r="M29" s="46">
        <f>'LED Cost Sheet'!V28</f>
        <v>1089</v>
      </c>
      <c r="N29" s="61">
        <f>IFERROR((F29*G29*B29)/400000,0)</f>
        <v>0.37</v>
      </c>
      <c r="O29" s="46">
        <f>'LED Cost Sheet'!W28</f>
        <v>3716</v>
      </c>
    </row>
    <row r="30" spans="1:15" x14ac:dyDescent="0.25">
      <c r="A30" t="str">
        <f>'LED Cost Sheet'!A29</f>
        <v>SOUTH CLUB — SOUTH CLUB</v>
      </c>
      <c r="B30">
        <f>'LED Cost Sheet'!I29</f>
        <v>1</v>
      </c>
      <c r="C30" t="str">
        <f>'LED Cost Sheet'!D29</f>
        <v>3.9mm</v>
      </c>
      <c r="D30">
        <f>'LED Cost Sheet'!E29</f>
        <v>9</v>
      </c>
      <c r="E30">
        <f>'LED Cost Sheet'!F29</f>
        <v>16</v>
      </c>
      <c r="F30">
        <f>'LED Cost Sheet'!G29</f>
        <v>703</v>
      </c>
      <c r="G30">
        <f>'LED Cost Sheet'!H29</f>
        <v>1250</v>
      </c>
      <c r="H30" s="53">
        <f>D30*E30*B30</f>
        <v>144</v>
      </c>
      <c r="I30">
        <f>'LED Cost Sheet'!K29</f>
        <v>4000</v>
      </c>
      <c r="J30" t="str">
        <f>'LED Cost Sheet'!L29</f>
        <v>Front</v>
      </c>
      <c r="K30" t="s">
        <v>143</v>
      </c>
      <c r="L30" s="53">
        <f>'LED Cost Sheet'!U29</f>
        <v>607</v>
      </c>
      <c r="M30" s="53">
        <f>'LED Cost Sheet'!V29</f>
        <v>6532</v>
      </c>
      <c r="N30" s="62">
        <f>IFERROR((F30*G30*B30)/400000,0)</f>
        <v>2.2</v>
      </c>
      <c r="O30" s="53">
        <f>'LED Cost Sheet'!W29</f>
        <v>22287</v>
      </c>
    </row>
    <row r="31" spans="1:15" x14ac:dyDescent="0.25">
      <c r="A31" s="33" t="str">
        <f>'LED Cost Sheet'!A30</f>
        <v>ELEV LOBBY — ELEV LOBBY</v>
      </c>
      <c r="B31" s="33">
        <f>'LED Cost Sheet'!I30</f>
        <v>1</v>
      </c>
      <c r="C31" s="33" t="str">
        <f>'LED Cost Sheet'!D30</f>
        <v>3.9mm</v>
      </c>
      <c r="D31" s="33">
        <f>'LED Cost Sheet'!E30</f>
        <v>4</v>
      </c>
      <c r="E31" s="33">
        <f>'LED Cost Sheet'!F30</f>
        <v>6</v>
      </c>
      <c r="F31" s="33">
        <f>'LED Cost Sheet'!G30</f>
        <v>313</v>
      </c>
      <c r="G31" s="33">
        <f>'LED Cost Sheet'!H30</f>
        <v>469</v>
      </c>
      <c r="H31" s="46">
        <f>D31*E31*B31</f>
        <v>24</v>
      </c>
      <c r="I31" s="33">
        <f>'LED Cost Sheet'!K30</f>
        <v>4000</v>
      </c>
      <c r="J31" s="33" t="str">
        <f>'LED Cost Sheet'!L30</f>
        <v>Front</v>
      </c>
      <c r="K31" s="33" t="s">
        <v>143</v>
      </c>
      <c r="L31" s="46">
        <f>'LED Cost Sheet'!U30</f>
        <v>101</v>
      </c>
      <c r="M31" s="46">
        <f>'LED Cost Sheet'!V30</f>
        <v>1089</v>
      </c>
      <c r="N31" s="61">
        <f>IFERROR((F31*G31*B31)/400000,0)</f>
        <v>0.37</v>
      </c>
      <c r="O31" s="46">
        <f>'LED Cost Sheet'!W30</f>
        <v>3716</v>
      </c>
    </row>
    <row r="32" spans="1:15" x14ac:dyDescent="0.25">
      <c r="A32" t="str">
        <f>'LED Cost Sheet'!A31</f>
        <v>ELEV LOBBY — ELEV LOBBY</v>
      </c>
      <c r="B32">
        <f>'LED Cost Sheet'!I31</f>
        <v>1</v>
      </c>
      <c r="C32" t="str">
        <f>'LED Cost Sheet'!D31</f>
        <v>3.9mm</v>
      </c>
      <c r="D32">
        <f>'LED Cost Sheet'!E31</f>
        <v>4</v>
      </c>
      <c r="E32">
        <f>'LED Cost Sheet'!F31</f>
        <v>6</v>
      </c>
      <c r="F32">
        <f>'LED Cost Sheet'!G31</f>
        <v>313</v>
      </c>
      <c r="G32">
        <f>'LED Cost Sheet'!H31</f>
        <v>469</v>
      </c>
      <c r="H32" s="53">
        <f>D32*E32*B32</f>
        <v>24</v>
      </c>
      <c r="I32">
        <f>'LED Cost Sheet'!K31</f>
        <v>4000</v>
      </c>
      <c r="J32" t="str">
        <f>'LED Cost Sheet'!L31</f>
        <v>Front</v>
      </c>
      <c r="K32" t="s">
        <v>143</v>
      </c>
      <c r="L32" s="53">
        <f>'LED Cost Sheet'!U31</f>
        <v>101</v>
      </c>
      <c r="M32" s="53">
        <f>'LED Cost Sheet'!V31</f>
        <v>1089</v>
      </c>
      <c r="N32" s="62">
        <f>IFERROR((F32*G32*B32)/400000,0)</f>
        <v>0.37</v>
      </c>
      <c r="O32" s="53">
        <f>'LED Cost Sheet'!W31</f>
        <v>3716</v>
      </c>
    </row>
    <row r="33" spans="1:15" x14ac:dyDescent="0.25">
      <c r="A33" s="33" t="str">
        <f>'LED Cost Sheet'!A32</f>
        <v>NORTH CLUB — NORTH CLUB</v>
      </c>
      <c r="B33" s="33">
        <f>'LED Cost Sheet'!I32</f>
        <v>1</v>
      </c>
      <c r="C33" s="33" t="str">
        <f>'LED Cost Sheet'!D32</f>
        <v>3.9mm</v>
      </c>
      <c r="D33" s="33">
        <f>'LED Cost Sheet'!E32</f>
        <v>9</v>
      </c>
      <c r="E33" s="33">
        <f>'LED Cost Sheet'!F32</f>
        <v>16</v>
      </c>
      <c r="F33" s="33">
        <f>'LED Cost Sheet'!G32</f>
        <v>703</v>
      </c>
      <c r="G33" s="33">
        <f>'LED Cost Sheet'!H32</f>
        <v>1250</v>
      </c>
      <c r="H33" s="46">
        <f>D33*E33*B33</f>
        <v>144</v>
      </c>
      <c r="I33" s="33">
        <f>'LED Cost Sheet'!K32</f>
        <v>4000</v>
      </c>
      <c r="J33" s="33" t="str">
        <f>'LED Cost Sheet'!L32</f>
        <v>Front</v>
      </c>
      <c r="K33" s="33" t="s">
        <v>143</v>
      </c>
      <c r="L33" s="46">
        <f>'LED Cost Sheet'!U32</f>
        <v>607</v>
      </c>
      <c r="M33" s="46">
        <f>'LED Cost Sheet'!V32</f>
        <v>6532</v>
      </c>
      <c r="N33" s="61">
        <f>IFERROR((F33*G33*B33)/400000,0)</f>
        <v>2.2</v>
      </c>
      <c r="O33" s="46">
        <f>'LED Cost Sheet'!W32</f>
        <v>22287</v>
      </c>
    </row>
    <row r="34" spans="1:15" x14ac:dyDescent="0.25">
      <c r="A34" t="str">
        <f>'LED Cost Sheet'!A33</f>
        <v>RIBBON NW — RIBBON NW</v>
      </c>
      <c r="B34">
        <f>'LED Cost Sheet'!I33</f>
        <v>1</v>
      </c>
      <c r="C34" t="str">
        <f>'LED Cost Sheet'!D33</f>
        <v>—</v>
      </c>
      <c r="D34">
        <f>'LED Cost Sheet'!E33</f>
        <v>3</v>
      </c>
      <c r="E34">
        <f>'LED Cost Sheet'!F33</f>
        <v>20</v>
      </c>
      <c r="F34">
        <f>'LED Cost Sheet'!G33</f>
        <v>0</v>
      </c>
      <c r="G34">
        <f>'LED Cost Sheet'!H33</f>
        <v>0</v>
      </c>
      <c r="H34" s="53">
        <f>D34*E34*B34</f>
        <v>60</v>
      </c>
      <c r="I34">
        <f>'LED Cost Sheet'!K33</f>
        <v>8000</v>
      </c>
      <c r="J34" t="str">
        <f>'LED Cost Sheet'!L33</f>
        <v>Front</v>
      </c>
      <c r="K34" t="s">
        <v>144</v>
      </c>
      <c r="L34" s="53">
        <f>'LED Cost Sheet'!U33</f>
        <v>293</v>
      </c>
      <c r="M34" s="53">
        <f>'LED Cost Sheet'!V33</f>
        <v>0</v>
      </c>
      <c r="N34" s="62">
        <f>IFERROR((F34*G34*B34)/400000,0)</f>
        <v>0</v>
      </c>
      <c r="O34" s="53">
        <f>'LED Cost Sheet'!W33</f>
        <v>0</v>
      </c>
    </row>
    <row r="35" spans="1:15" x14ac:dyDescent="0.25">
      <c r="A35" s="33" t="str">
        <f>'LED Cost Sheet'!A34</f>
        <v>RIBBON NW — RIBBON NW</v>
      </c>
      <c r="B35" s="33">
        <f>'LED Cost Sheet'!I34</f>
        <v>1</v>
      </c>
      <c r="C35" s="33" t="str">
        <f>'LED Cost Sheet'!D34</f>
        <v>10mm</v>
      </c>
      <c r="D35" s="33">
        <f>'LED Cost Sheet'!E34</f>
        <v>3</v>
      </c>
      <c r="E35" s="33">
        <f>'LED Cost Sheet'!F34</f>
        <v>20.49</v>
      </c>
      <c r="F35" s="33">
        <f>'LED Cost Sheet'!G34</f>
        <v>91</v>
      </c>
      <c r="G35" s="33">
        <f>'LED Cost Sheet'!H34</f>
        <v>625</v>
      </c>
      <c r="H35" s="46">
        <f>D35*E35*B35</f>
        <v>61.47</v>
      </c>
      <c r="I35" s="33">
        <f>'LED Cost Sheet'!K34</f>
        <v>8000</v>
      </c>
      <c r="J35" s="33" t="str">
        <f>'LED Cost Sheet'!L34</f>
        <v>Front</v>
      </c>
      <c r="K35" s="33" t="s">
        <v>144</v>
      </c>
      <c r="L35" s="46">
        <f>'LED Cost Sheet'!U34</f>
        <v>112</v>
      </c>
      <c r="M35" s="46">
        <f>'LED Cost Sheet'!V34</f>
        <v>1702</v>
      </c>
      <c r="N35" s="61">
        <f>IFERROR((F35*G35*B35)/400000,0)</f>
        <v>0.14</v>
      </c>
      <c r="O35" s="46">
        <f>'LED Cost Sheet'!W34</f>
        <v>5807</v>
      </c>
    </row>
    <row r="36" spans="1:15" x14ac:dyDescent="0.25">
      <c r="A36" t="str">
        <f>'LED Cost Sheet'!A35</f>
        <v>RIBBON NW — RIBBON NW</v>
      </c>
      <c r="B36">
        <f>'LED Cost Sheet'!I35</f>
        <v>1</v>
      </c>
      <c r="C36" t="str">
        <f>'LED Cost Sheet'!D35</f>
        <v>10mm</v>
      </c>
      <c r="D36">
        <f>'LED Cost Sheet'!E35</f>
        <v>3</v>
      </c>
      <c r="E36">
        <f>'LED Cost Sheet'!F35</f>
        <v>35.21</v>
      </c>
      <c r="F36">
        <f>'LED Cost Sheet'!G35</f>
        <v>91</v>
      </c>
      <c r="G36">
        <f>'LED Cost Sheet'!H35</f>
        <v>1073</v>
      </c>
      <c r="H36" s="53">
        <f>D36*E36*B36</f>
        <v>105.63</v>
      </c>
      <c r="I36">
        <f>'LED Cost Sheet'!K35</f>
        <v>8000</v>
      </c>
      <c r="J36" t="str">
        <f>'LED Cost Sheet'!L35</f>
        <v>Front</v>
      </c>
      <c r="K36" t="s">
        <v>144</v>
      </c>
      <c r="L36" s="53">
        <f>'LED Cost Sheet'!U35</f>
        <v>192</v>
      </c>
      <c r="M36" s="53">
        <f>'LED Cost Sheet'!V35</f>
        <v>2924</v>
      </c>
      <c r="N36" s="62">
        <f>IFERROR((F36*G36*B36)/400000,0)</f>
        <v>0.24</v>
      </c>
      <c r="O36" s="53">
        <f>'LED Cost Sheet'!W35</f>
        <v>9977</v>
      </c>
    </row>
    <row r="37" spans="1:15" x14ac:dyDescent="0.25">
      <c r="A37" s="33" t="str">
        <f>'LED Cost Sheet'!A36</f>
        <v>RIBBON NW — RIBBON NW</v>
      </c>
      <c r="B37" s="33">
        <f>'LED Cost Sheet'!I36</f>
        <v>1</v>
      </c>
      <c r="C37" s="33" t="str">
        <f>'LED Cost Sheet'!D36</f>
        <v>10mm</v>
      </c>
      <c r="D37" s="33">
        <f>'LED Cost Sheet'!E36</f>
        <v>3</v>
      </c>
      <c r="E37" s="33">
        <f>'LED Cost Sheet'!F36</f>
        <v>35.31</v>
      </c>
      <c r="F37" s="33">
        <f>'LED Cost Sheet'!G36</f>
        <v>91</v>
      </c>
      <c r="G37" s="33">
        <f>'LED Cost Sheet'!H36</f>
        <v>1076</v>
      </c>
      <c r="H37" s="46">
        <f>D37*E37*B37</f>
        <v>105.93</v>
      </c>
      <c r="I37" s="33">
        <f>'LED Cost Sheet'!K36</f>
        <v>8000</v>
      </c>
      <c r="J37" s="33" t="str">
        <f>'LED Cost Sheet'!L36</f>
        <v>Front</v>
      </c>
      <c r="K37" s="33" t="s">
        <v>144</v>
      </c>
      <c r="L37" s="46">
        <f>'LED Cost Sheet'!U36</f>
        <v>193</v>
      </c>
      <c r="M37" s="46">
        <f>'LED Cost Sheet'!V36</f>
        <v>2933</v>
      </c>
      <c r="N37" s="61">
        <f>IFERROR((F37*G37*B37)/400000,0)</f>
        <v>0.24</v>
      </c>
      <c r="O37" s="46">
        <f>'LED Cost Sheet'!W36</f>
        <v>10007</v>
      </c>
    </row>
    <row r="38" spans="1:15" x14ac:dyDescent="0.25">
      <c r="A38" t="str">
        <f>'LED Cost Sheet'!A37</f>
        <v>RIBBON SW — RIBBON SW</v>
      </c>
      <c r="B38">
        <f>'LED Cost Sheet'!I37</f>
        <v>1</v>
      </c>
      <c r="C38" t="str">
        <f>'LED Cost Sheet'!D37</f>
        <v>—</v>
      </c>
      <c r="D38">
        <f>'LED Cost Sheet'!E37</f>
        <v>4</v>
      </c>
      <c r="E38">
        <f>'LED Cost Sheet'!F37</f>
        <v>35.41</v>
      </c>
      <c r="F38">
        <f>'LED Cost Sheet'!G37</f>
        <v>0</v>
      </c>
      <c r="G38">
        <f>'LED Cost Sheet'!H37</f>
        <v>0</v>
      </c>
      <c r="H38" s="53">
        <f>D38*E38*B38</f>
        <v>141.64</v>
      </c>
      <c r="I38">
        <f>'LED Cost Sheet'!K37</f>
        <v>8000</v>
      </c>
      <c r="J38" t="str">
        <f>'LED Cost Sheet'!L37</f>
        <v>Front</v>
      </c>
      <c r="K38" t="s">
        <v>144</v>
      </c>
      <c r="L38" s="53">
        <f>'LED Cost Sheet'!U37</f>
        <v>692</v>
      </c>
      <c r="M38" s="53">
        <f>'LED Cost Sheet'!V37</f>
        <v>0</v>
      </c>
      <c r="N38" s="62">
        <f>IFERROR((F38*G38*B38)/400000,0)</f>
        <v>0</v>
      </c>
      <c r="O38" s="53">
        <f>'LED Cost Sheet'!W37</f>
        <v>0</v>
      </c>
    </row>
    <row r="39" spans="1:15" x14ac:dyDescent="0.25">
      <c r="A39" s="33" t="str">
        <f>'LED Cost Sheet'!A38</f>
        <v>RIBBON SW — RIBBON SW</v>
      </c>
      <c r="B39" s="33">
        <f>'LED Cost Sheet'!I38</f>
        <v>1</v>
      </c>
      <c r="C39" s="33" t="str">
        <f>'LED Cost Sheet'!D38</f>
        <v>10mm</v>
      </c>
      <c r="D39" s="33">
        <f>'LED Cost Sheet'!E38</f>
        <v>4</v>
      </c>
      <c r="E39" s="33">
        <f>'LED Cost Sheet'!F38</f>
        <v>20.49</v>
      </c>
      <c r="F39" s="33">
        <f>'LED Cost Sheet'!G38</f>
        <v>122</v>
      </c>
      <c r="G39" s="33">
        <f>'LED Cost Sheet'!H38</f>
        <v>625</v>
      </c>
      <c r="H39" s="46">
        <f>D39*E39*B39</f>
        <v>81.96</v>
      </c>
      <c r="I39" s="33">
        <f>'LED Cost Sheet'!K38</f>
        <v>8000</v>
      </c>
      <c r="J39" s="33" t="str">
        <f>'LED Cost Sheet'!L38</f>
        <v>Front</v>
      </c>
      <c r="K39" s="33" t="s">
        <v>144</v>
      </c>
      <c r="L39" s="46">
        <f>'LED Cost Sheet'!U38</f>
        <v>149</v>
      </c>
      <c r="M39" s="46">
        <f>'LED Cost Sheet'!V38</f>
        <v>2269</v>
      </c>
      <c r="N39" s="61">
        <f>IFERROR((F39*G39*B39)/400000,0)</f>
        <v>0.19</v>
      </c>
      <c r="O39" s="46">
        <f>'LED Cost Sheet'!W38</f>
        <v>7742</v>
      </c>
    </row>
    <row r="40" spans="1:15" x14ac:dyDescent="0.25">
      <c r="A40" t="str">
        <f>'LED Cost Sheet'!A39</f>
        <v>RIBBON SW — RIBBON SW</v>
      </c>
      <c r="B40">
        <f>'LED Cost Sheet'!I39</f>
        <v>1</v>
      </c>
      <c r="C40" t="str">
        <f>'LED Cost Sheet'!D39</f>
        <v>10mm</v>
      </c>
      <c r="D40">
        <f>'LED Cost Sheet'!E39</f>
        <v>4</v>
      </c>
      <c r="E40">
        <f>'LED Cost Sheet'!F39</f>
        <v>35.21</v>
      </c>
      <c r="F40">
        <f>'LED Cost Sheet'!G39</f>
        <v>122</v>
      </c>
      <c r="G40">
        <f>'LED Cost Sheet'!H39</f>
        <v>1073</v>
      </c>
      <c r="H40" s="53">
        <f>D40*E40*B40</f>
        <v>140.84</v>
      </c>
      <c r="I40">
        <f>'LED Cost Sheet'!K39</f>
        <v>8000</v>
      </c>
      <c r="J40" t="str">
        <f>'LED Cost Sheet'!L39</f>
        <v>Front</v>
      </c>
      <c r="K40" t="s">
        <v>144</v>
      </c>
      <c r="L40" s="53">
        <f>'LED Cost Sheet'!U39</f>
        <v>256</v>
      </c>
      <c r="M40" s="53">
        <f>'LED Cost Sheet'!V39</f>
        <v>3899</v>
      </c>
      <c r="N40" s="62">
        <f>IFERROR((F40*G40*B40)/400000,0)</f>
        <v>0.33</v>
      </c>
      <c r="O40" s="53">
        <f>'LED Cost Sheet'!W39</f>
        <v>13303</v>
      </c>
    </row>
    <row r="41" spans="1:15" x14ac:dyDescent="0.25">
      <c r="A41" s="33" t="str">
        <f>'LED Cost Sheet'!A40</f>
        <v>SCOREBOARD EAST — SCOREBOARD EAST</v>
      </c>
      <c r="B41" s="33">
        <f>'LED Cost Sheet'!I40</f>
        <v>1</v>
      </c>
      <c r="C41" s="33" t="str">
        <f>'LED Cost Sheet'!D40</f>
        <v>—</v>
      </c>
      <c r="D41" s="33">
        <f>'LED Cost Sheet'!E40</f>
        <v>70</v>
      </c>
      <c r="E41" s="33">
        <f>'LED Cost Sheet'!F40</f>
        <v>35.31</v>
      </c>
      <c r="F41" s="33">
        <f>'LED Cost Sheet'!G40</f>
        <v>0</v>
      </c>
      <c r="G41" s="33">
        <f>'LED Cost Sheet'!H40</f>
        <v>0</v>
      </c>
      <c r="H41" s="46">
        <f>D41*E41*B41</f>
        <v>2471.7</v>
      </c>
      <c r="I41" s="33">
        <f>'LED Cost Sheet'!K40</f>
        <v>8000</v>
      </c>
      <c r="J41" s="33" t="str">
        <f>'LED Cost Sheet'!L40</f>
        <v>Front</v>
      </c>
      <c r="K41" s="33" t="s">
        <v>144</v>
      </c>
      <c r="L41" s="46">
        <f>'LED Cost Sheet'!U40</f>
        <v>12069</v>
      </c>
      <c r="M41" s="46">
        <f>'LED Cost Sheet'!V40</f>
        <v>0</v>
      </c>
      <c r="N41" s="61">
        <f>IFERROR((F41*G41*B41)/400000,0)</f>
        <v>0</v>
      </c>
      <c r="O41" s="46">
        <f>'LED Cost Sheet'!W40</f>
        <v>0</v>
      </c>
    </row>
    <row r="42" spans="1:15" x14ac:dyDescent="0.25">
      <c r="A42" t="str">
        <f>'LED Cost Sheet'!A41</f>
        <v>SCOREBOARD WEST — SCOREBOARD WEST</v>
      </c>
      <c r="B42">
        <f>'LED Cost Sheet'!I41</f>
        <v>1</v>
      </c>
      <c r="C42" t="str">
        <f>'LED Cost Sheet'!D41</f>
        <v>—</v>
      </c>
      <c r="D42">
        <f>'LED Cost Sheet'!E41</f>
        <v>70</v>
      </c>
      <c r="E42">
        <f>'LED Cost Sheet'!F41</f>
        <v>252</v>
      </c>
      <c r="F42">
        <f>'LED Cost Sheet'!G41</f>
        <v>0</v>
      </c>
      <c r="G42">
        <f>'LED Cost Sheet'!H41</f>
        <v>0</v>
      </c>
      <c r="H42" s="53">
        <f>D42*E42*B42</f>
        <v>17640</v>
      </c>
      <c r="I42">
        <f>'LED Cost Sheet'!K41</f>
        <v>8000</v>
      </c>
      <c r="J42" t="str">
        <f>'LED Cost Sheet'!L41</f>
        <v>Front</v>
      </c>
      <c r="K42" t="s">
        <v>144</v>
      </c>
      <c r="L42" s="53">
        <f>'LED Cost Sheet'!U41</f>
        <v>86137</v>
      </c>
      <c r="M42" s="53">
        <f>'LED Cost Sheet'!V41</f>
        <v>0</v>
      </c>
      <c r="N42" s="62">
        <f>IFERROR((F42*G42*B42)/400000,0)</f>
        <v>0</v>
      </c>
      <c r="O42" s="53">
        <f>'LED Cost Sheet'!W41</f>
        <v>0</v>
      </c>
    </row>
    <row r="43" spans="1:15" x14ac:dyDescent="0.25">
      <c r="A43" s="33" t="str">
        <f>'LED Cost Sheet'!A42</f>
        <v>EAST ENTRY A — EAST ENTRY A</v>
      </c>
      <c r="B43" s="33">
        <f>'LED Cost Sheet'!I42</f>
        <v>1</v>
      </c>
      <c r="C43" s="33" t="str">
        <f>'LED Cost Sheet'!D42</f>
        <v>—</v>
      </c>
      <c r="D43" s="33">
        <f>'LED Cost Sheet'!E42</f>
        <v>17</v>
      </c>
      <c r="E43" s="33">
        <f>'LED Cost Sheet'!F42</f>
        <v>28</v>
      </c>
      <c r="F43" s="33">
        <f>'LED Cost Sheet'!G42</f>
        <v>0</v>
      </c>
      <c r="G43" s="33">
        <f>'LED Cost Sheet'!H42</f>
        <v>0</v>
      </c>
      <c r="H43" s="46">
        <f>D43*E43*B43</f>
        <v>476</v>
      </c>
      <c r="I43" s="33">
        <f>'LED Cost Sheet'!K42</f>
        <v>8000</v>
      </c>
      <c r="J43" s="33" t="str">
        <f>'LED Cost Sheet'!L42</f>
        <v>Front</v>
      </c>
      <c r="K43" s="33" t="s">
        <v>144</v>
      </c>
      <c r="L43" s="46">
        <f>'LED Cost Sheet'!U42</f>
        <v>2324</v>
      </c>
      <c r="M43" s="46">
        <f>'LED Cost Sheet'!V42</f>
        <v>0</v>
      </c>
      <c r="N43" s="61">
        <f>IFERROR((F43*G43*B43)/400000,0)</f>
        <v>0</v>
      </c>
      <c r="O43" s="46">
        <f>'LED Cost Sheet'!W42</f>
        <v>0</v>
      </c>
    </row>
    <row r="44" spans="1:15" x14ac:dyDescent="0.25">
      <c r="A44" t="str">
        <f>'LED Cost Sheet'!A43</f>
        <v>EAST ENTRY B — EAST ENTRY B</v>
      </c>
      <c r="B44">
        <f>'LED Cost Sheet'!I43</f>
        <v>1</v>
      </c>
      <c r="C44" t="str">
        <f>'LED Cost Sheet'!D43</f>
        <v>—</v>
      </c>
      <c r="D44">
        <f>'LED Cost Sheet'!E43</f>
        <v>17.58</v>
      </c>
      <c r="E44">
        <f>'LED Cost Sheet'!F43</f>
        <v>28.92</v>
      </c>
      <c r="F44">
        <f>'LED Cost Sheet'!G43</f>
        <v>0</v>
      </c>
      <c r="G44">
        <f>'LED Cost Sheet'!H43</f>
        <v>0</v>
      </c>
      <c r="H44" s="53">
        <f>D44*E44*B44</f>
        <v>508.41</v>
      </c>
      <c r="I44">
        <f>'LED Cost Sheet'!K43</f>
        <v>8000</v>
      </c>
      <c r="J44" t="str">
        <f>'LED Cost Sheet'!L43</f>
        <v>Front</v>
      </c>
      <c r="K44" t="s">
        <v>144</v>
      </c>
      <c r="L44" s="53">
        <f>'LED Cost Sheet'!U43</f>
        <v>2483</v>
      </c>
      <c r="M44" s="53">
        <f>'LED Cost Sheet'!V43</f>
        <v>0</v>
      </c>
      <c r="N44" s="62">
        <f>IFERROR((F44*G44*B44)/400000,0)</f>
        <v>0</v>
      </c>
      <c r="O44" s="53">
        <f>'LED Cost Sheet'!W43</f>
        <v>0</v>
      </c>
    </row>
    <row r="45" spans="1:15" x14ac:dyDescent="0.25">
      <c r="A45" s="33" t="str">
        <f>'LED Cost Sheet'!A44</f>
        <v>EAST ENTRY C — EAST ENTRY C</v>
      </c>
      <c r="B45" s="33">
        <f>'LED Cost Sheet'!I44</f>
        <v>1</v>
      </c>
      <c r="C45" s="33" t="str">
        <f>'LED Cost Sheet'!D44</f>
        <v>—</v>
      </c>
      <c r="D45" s="33">
        <f>'LED Cost Sheet'!E44</f>
        <v>17.58</v>
      </c>
      <c r="E45" s="33">
        <f>'LED Cost Sheet'!F44</f>
        <v>7.75</v>
      </c>
      <c r="F45" s="33">
        <f>'LED Cost Sheet'!G44</f>
        <v>0</v>
      </c>
      <c r="G45" s="33">
        <f>'LED Cost Sheet'!H44</f>
        <v>0</v>
      </c>
      <c r="H45" s="46">
        <f>D45*E45*B45</f>
        <v>136.24</v>
      </c>
      <c r="I45" s="33">
        <f>'LED Cost Sheet'!K44</f>
        <v>8000</v>
      </c>
      <c r="J45" s="33" t="str">
        <f>'LED Cost Sheet'!L44</f>
        <v>Front</v>
      </c>
      <c r="K45" s="33" t="s">
        <v>144</v>
      </c>
      <c r="L45" s="46">
        <f>'LED Cost Sheet'!U44</f>
        <v>665</v>
      </c>
      <c r="M45" s="46">
        <f>'LED Cost Sheet'!V44</f>
        <v>0</v>
      </c>
      <c r="N45" s="61">
        <f>IFERROR((F45*G45*B45)/400000,0)</f>
        <v>0</v>
      </c>
      <c r="O45" s="46">
        <f>'LED Cost Sheet'!W44</f>
        <v>0</v>
      </c>
    </row>
    <row r="46" spans="1:15" x14ac:dyDescent="0.25">
      <c r="A46" t="str">
        <f>'LED Cost Sheet'!A45</f>
        <v>EAST ENTRY D — EAST ENTRY D</v>
      </c>
      <c r="B46">
        <f>'LED Cost Sheet'!I45</f>
        <v>1</v>
      </c>
      <c r="C46" t="str">
        <f>'LED Cost Sheet'!D45</f>
        <v>—</v>
      </c>
      <c r="D46">
        <f>'LED Cost Sheet'!E45</f>
        <v>35.72</v>
      </c>
      <c r="E46">
        <f>'LED Cost Sheet'!F45</f>
        <v>7.75</v>
      </c>
      <c r="F46">
        <f>'LED Cost Sheet'!G45</f>
        <v>0</v>
      </c>
      <c r="G46">
        <f>'LED Cost Sheet'!H45</f>
        <v>0</v>
      </c>
      <c r="H46" s="53">
        <f>D46*E46*B46</f>
        <v>276.83</v>
      </c>
      <c r="I46">
        <f>'LED Cost Sheet'!K45</f>
        <v>8000</v>
      </c>
      <c r="J46" t="str">
        <f>'LED Cost Sheet'!L45</f>
        <v>Front</v>
      </c>
      <c r="K46" t="s">
        <v>144</v>
      </c>
      <c r="L46" s="53">
        <f>'LED Cost Sheet'!U45</f>
        <v>1352</v>
      </c>
      <c r="M46" s="53">
        <f>'LED Cost Sheet'!V45</f>
        <v>0</v>
      </c>
      <c r="N46" s="62">
        <f>IFERROR((F46*G46*B46)/400000,0)</f>
        <v>0</v>
      </c>
      <c r="O46" s="53">
        <f>'LED Cost Sheet'!W45</f>
        <v>0</v>
      </c>
    </row>
    <row r="47" spans="1:15" x14ac:dyDescent="0.25">
      <c r="A47" s="33" t="str">
        <f>'LED Cost Sheet'!A46</f>
        <v>NORTH EAST EXTERIOR NE — NORTH EAST EXTERIOR NE</v>
      </c>
      <c r="B47" s="33">
        <f>'LED Cost Sheet'!I46</f>
        <v>1</v>
      </c>
      <c r="C47" s="33" t="str">
        <f>'LED Cost Sheet'!D46</f>
        <v>—</v>
      </c>
      <c r="D47" s="33">
        <f>'LED Cost Sheet'!E46</f>
        <v>1.66</v>
      </c>
      <c r="E47" s="33">
        <f>'LED Cost Sheet'!F46</f>
        <v>7.75</v>
      </c>
      <c r="F47" s="33">
        <f>'LED Cost Sheet'!G46</f>
        <v>0</v>
      </c>
      <c r="G47" s="33">
        <f>'LED Cost Sheet'!H46</f>
        <v>0</v>
      </c>
      <c r="H47" s="46">
        <f>D47*E47*B47</f>
        <v>12.87</v>
      </c>
      <c r="I47" s="33">
        <f>'LED Cost Sheet'!K46</f>
        <v>8000</v>
      </c>
      <c r="J47" s="33" t="str">
        <f>'LED Cost Sheet'!L46</f>
        <v>Front</v>
      </c>
      <c r="K47" s="33" t="s">
        <v>144</v>
      </c>
      <c r="L47" s="46">
        <f>'LED Cost Sheet'!U46</f>
        <v>63</v>
      </c>
      <c r="M47" s="46">
        <f>'LED Cost Sheet'!V46</f>
        <v>0</v>
      </c>
      <c r="N47" s="61">
        <f>IFERROR((F47*G47*B47)/400000,0)</f>
        <v>0</v>
      </c>
      <c r="O47" s="46">
        <f>'LED Cost Sheet'!W46</f>
        <v>0</v>
      </c>
    </row>
    <row r="48" spans="1:15" x14ac:dyDescent="0.25">
      <c r="A48" t="str">
        <f>'LED Cost Sheet'!A47</f>
        <v>NORTH ENTRY C — NORTH ENTRY C</v>
      </c>
      <c r="B48">
        <f>'LED Cost Sheet'!I47</f>
        <v>1</v>
      </c>
      <c r="C48" t="str">
        <f>'LED Cost Sheet'!D47</f>
        <v>—</v>
      </c>
      <c r="D48">
        <f>'LED Cost Sheet'!E47</f>
        <v>5.5</v>
      </c>
      <c r="E48">
        <f>'LED Cost Sheet'!F47</f>
        <v>185.5</v>
      </c>
      <c r="F48">
        <f>'LED Cost Sheet'!G47</f>
        <v>0</v>
      </c>
      <c r="G48">
        <f>'LED Cost Sheet'!H47</f>
        <v>0</v>
      </c>
      <c r="H48" s="53">
        <f>D48*E48*B48</f>
        <v>1020.25</v>
      </c>
      <c r="I48">
        <f>'LED Cost Sheet'!K47</f>
        <v>8000</v>
      </c>
      <c r="J48" t="str">
        <f>'LED Cost Sheet'!L47</f>
        <v>Front</v>
      </c>
      <c r="K48" t="s">
        <v>144</v>
      </c>
      <c r="L48" s="53">
        <f>'LED Cost Sheet'!U47</f>
        <v>4982</v>
      </c>
      <c r="M48" s="53">
        <f>'LED Cost Sheet'!V47</f>
        <v>0</v>
      </c>
      <c r="N48" s="62">
        <f>IFERROR((F48*G48*B48)/400000,0)</f>
        <v>0</v>
      </c>
      <c r="O48" s="53">
        <f>'LED Cost Sheet'!W47</f>
        <v>0</v>
      </c>
    </row>
    <row r="49" spans="1:15" x14ac:dyDescent="0.25">
      <c r="A49" s="33" t="str">
        <f>'LED Cost Sheet'!A48</f>
        <v>NORTH ENTRY C — NORTH ENTRY C</v>
      </c>
      <c r="B49" s="33">
        <f>'LED Cost Sheet'!I48</f>
        <v>1</v>
      </c>
      <c r="C49" s="33" t="str">
        <f>'LED Cost Sheet'!D48</f>
        <v>10mm</v>
      </c>
      <c r="D49" s="33">
        <f>'LED Cost Sheet'!E48</f>
        <v>32.83</v>
      </c>
      <c r="E49" s="33">
        <f>'LED Cost Sheet'!F48</f>
        <v>2.87</v>
      </c>
      <c r="F49" s="33">
        <f>'LED Cost Sheet'!G48</f>
        <v>1001</v>
      </c>
      <c r="G49" s="33">
        <f>'LED Cost Sheet'!H48</f>
        <v>87</v>
      </c>
      <c r="H49" s="46">
        <f>D49*E49*B49</f>
        <v>94.22</v>
      </c>
      <c r="I49" s="33">
        <f>'LED Cost Sheet'!K48</f>
        <v>8000</v>
      </c>
      <c r="J49" s="33" t="str">
        <f>'LED Cost Sheet'!L48</f>
        <v>Front</v>
      </c>
      <c r="K49" s="33" t="s">
        <v>144</v>
      </c>
      <c r="L49" s="46">
        <f>'LED Cost Sheet'!U48</f>
        <v>172</v>
      </c>
      <c r="M49" s="46">
        <f>'LED Cost Sheet'!V48</f>
        <v>2608</v>
      </c>
      <c r="N49" s="61">
        <f>IFERROR((F49*G49*B49)/400000,0)</f>
        <v>0.22</v>
      </c>
      <c r="O49" s="46">
        <f>'LED Cost Sheet'!W48</f>
        <v>8898</v>
      </c>
    </row>
    <row r="50" spans="1:15" x14ac:dyDescent="0.25">
      <c r="A50" t="str">
        <f>'LED Cost Sheet'!A49</f>
        <v>NORTH ENTRY C — NORTH ENTRY C</v>
      </c>
      <c r="B50">
        <f>'LED Cost Sheet'!I49</f>
        <v>1</v>
      </c>
      <c r="C50" t="str">
        <f>'LED Cost Sheet'!D49</f>
        <v>10mm</v>
      </c>
      <c r="D50">
        <f>'LED Cost Sheet'!E49</f>
        <v>5.81</v>
      </c>
      <c r="E50">
        <f>'LED Cost Sheet'!F49</f>
        <v>22.65</v>
      </c>
      <c r="F50">
        <f>'LED Cost Sheet'!G49</f>
        <v>177</v>
      </c>
      <c r="G50">
        <f>'LED Cost Sheet'!H49</f>
        <v>690</v>
      </c>
      <c r="H50" s="53">
        <f>D50*E50*B50</f>
        <v>131.6</v>
      </c>
      <c r="I50">
        <f>'LED Cost Sheet'!K49</f>
        <v>8000</v>
      </c>
      <c r="J50" t="str">
        <f>'LED Cost Sheet'!L49</f>
        <v>Front</v>
      </c>
      <c r="K50" t="s">
        <v>144</v>
      </c>
      <c r="L50" s="53">
        <f>'LED Cost Sheet'!U49</f>
        <v>240</v>
      </c>
      <c r="M50" s="53">
        <f>'LED Cost Sheet'!V49</f>
        <v>3643</v>
      </c>
      <c r="N50" s="62">
        <f>IFERROR((F50*G50*B50)/400000,0)</f>
        <v>0.31</v>
      </c>
      <c r="O50" s="53">
        <f>'LED Cost Sheet'!W49</f>
        <v>12430</v>
      </c>
    </row>
    <row r="51" spans="1:15" x14ac:dyDescent="0.25">
      <c r="A51" s="33" t="str">
        <f>'LED Cost Sheet'!A50</f>
        <v>SOUTH EAST EXTERIOR SE — SOUTH EAST EXTERIOR SE</v>
      </c>
      <c r="B51" s="33">
        <f>'LED Cost Sheet'!I50</f>
        <v>1</v>
      </c>
      <c r="C51" s="33" t="str">
        <f>'LED Cost Sheet'!D50</f>
        <v>—</v>
      </c>
      <c r="D51" s="33">
        <f>'LED Cost Sheet'!E50</f>
        <v>32.25</v>
      </c>
      <c r="E51" s="33">
        <f>'LED Cost Sheet'!F50</f>
        <v>53.33</v>
      </c>
      <c r="F51" s="33">
        <f>'LED Cost Sheet'!G50</f>
        <v>0</v>
      </c>
      <c r="G51" s="33">
        <f>'LED Cost Sheet'!H50</f>
        <v>0</v>
      </c>
      <c r="H51" s="46">
        <f>D51*E51*B51</f>
        <v>1719.89</v>
      </c>
      <c r="I51" s="33">
        <f>'LED Cost Sheet'!K50</f>
        <v>8000</v>
      </c>
      <c r="J51" s="33" t="str">
        <f>'LED Cost Sheet'!L50</f>
        <v>Front</v>
      </c>
      <c r="K51" s="33" t="s">
        <v>144</v>
      </c>
      <c r="L51" s="46">
        <f>'LED Cost Sheet'!U50</f>
        <v>8398</v>
      </c>
      <c r="M51" s="46">
        <f>'LED Cost Sheet'!V50</f>
        <v>0</v>
      </c>
      <c r="N51" s="61">
        <f>IFERROR((F51*G51*B51)/400000,0)</f>
        <v>0</v>
      </c>
      <c r="O51" s="46">
        <f>'LED Cost Sheet'!W50</f>
        <v>0</v>
      </c>
    </row>
  </sheetData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145</v>
      </c>
    </row>
    <row r="4" spans="1:1" x14ac:dyDescent="0.25">
      <c r="A4" s="15" t="s">
        <v>8</v>
      </c>
    </row>
    <row r="5" spans="1:1" x14ac:dyDescent="0.25">
      <c r="A5" s="15" t="s">
        <v>146</v>
      </c>
    </row>
    <row r="7" spans="3:3" x14ac:dyDescent="0.25">
      <c r="C7" s="26" t="s">
        <v>147</v>
      </c>
    </row>
    <row r="8" spans="3:4" x14ac:dyDescent="0.25">
      <c r="C8" t="s">
        <v>148</v>
      </c>
      <c r="D8" s="21">
        <v>0.15</v>
      </c>
    </row>
    <row r="9" spans="3:4" x14ac:dyDescent="0.25">
      <c r="C9" t="s">
        <v>149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150</v>
      </c>
      <c r="D11" s="21">
        <v>0.15</v>
      </c>
    </row>
    <row r="15" spans="2:2" x14ac:dyDescent="0.25">
      <c r="B15" s="64" t="s">
        <v>151</v>
      </c>
    </row>
    <row r="16" spans="2:5" x14ac:dyDescent="0.25">
      <c r="B16" s="4" t="s">
        <v>152</v>
      </c>
      <c r="C16" s="4" t="s">
        <v>153</v>
      </c>
      <c r="D16" s="4" t="s">
        <v>154</v>
      </c>
      <c r="E16" s="4" t="s">
        <v>155</v>
      </c>
    </row>
    <row r="17" spans="2:5" x14ac:dyDescent="0.25">
      <c r="B17" s="49">
        <v>3</v>
      </c>
      <c r="C17" s="49">
        <v>320</v>
      </c>
      <c r="D17" s="65">
        <v>960</v>
      </c>
      <c r="E17">
        <v>1</v>
      </c>
    </row>
    <row r="19" ht="24" customHeight="1" spans="1:11" x14ac:dyDescent="0.25">
      <c r="A19" s="25" t="s">
        <v>35</v>
      </c>
      <c r="B19" s="25" t="s">
        <v>156</v>
      </c>
      <c r="C19" s="25" t="s">
        <v>157</v>
      </c>
      <c r="D19" s="25" t="s">
        <v>158</v>
      </c>
      <c r="E19" s="25" t="s">
        <v>159</v>
      </c>
      <c r="F19" s="25" t="s">
        <v>160</v>
      </c>
      <c r="G19" s="25" t="s">
        <v>161</v>
      </c>
      <c r="H19" s="25" t="s">
        <v>35</v>
      </c>
      <c r="I19" s="25" t="s">
        <v>29</v>
      </c>
      <c r="J19" s="25" t="s">
        <v>148</v>
      </c>
      <c r="K19" s="25" t="s">
        <v>38</v>
      </c>
    </row>
    <row r="20" spans="1:11" x14ac:dyDescent="0.25">
      <c r="A20" s="33"/>
      <c r="B20" s="33" t="s">
        <v>162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163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164</v>
      </c>
      <c r="C22" s="66">
        <v>17173.33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17173.33</v>
      </c>
      <c r="J22" s="35">
        <f>$D$8</f>
        <v>0.15</v>
      </c>
      <c r="K22" s="34">
        <f>I22/(1-J22)</f>
        <v>20203.92</v>
      </c>
    </row>
    <row r="23" spans="2:11" x14ac:dyDescent="0.25">
      <c r="B23" t="s">
        <v>165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166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166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17173.33</v>
      </c>
      <c r="J26" s="68"/>
      <c r="K26" s="69">
        <f>SUM(K20:K25)</f>
        <v>20203.92</v>
      </c>
    </row>
    <row r="28" ht="24" customHeight="1" spans="1:11" x14ac:dyDescent="0.25">
      <c r="A28" s="25" t="s">
        <v>35</v>
      </c>
      <c r="B28" s="25" t="s">
        <v>167</v>
      </c>
      <c r="C28" s="25" t="s">
        <v>157</v>
      </c>
      <c r="D28" s="25" t="s">
        <v>158</v>
      </c>
      <c r="E28" s="25" t="s">
        <v>159</v>
      </c>
      <c r="F28" s="25" t="s">
        <v>160</v>
      </c>
      <c r="G28" s="25" t="s">
        <v>161</v>
      </c>
      <c r="H28" s="25" t="s">
        <v>35</v>
      </c>
      <c r="I28" s="25" t="s">
        <v>29</v>
      </c>
      <c r="J28" s="25" t="s">
        <v>148</v>
      </c>
      <c r="K28" s="25" t="s">
        <v>38</v>
      </c>
    </row>
    <row r="29" spans="1:11" x14ac:dyDescent="0.25">
      <c r="A29" s="33"/>
      <c r="B29" s="33" t="s">
        <v>168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169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170</v>
      </c>
      <c r="C31" s="66">
        <v>46836.36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46836.36</v>
      </c>
      <c r="J31" s="35">
        <f>$D$8</f>
        <v>0.15</v>
      </c>
      <c r="K31" s="34">
        <f>I31/(1-J31)</f>
        <v>55101.6</v>
      </c>
    </row>
    <row r="32" spans="2:11" x14ac:dyDescent="0.25">
      <c r="B32" t="s">
        <v>171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172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173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67718.70999999999</v>
      </c>
      <c r="J35" s="68"/>
      <c r="K35" s="69">
        <f>SUM(K29:K34)</f>
        <v>79669.07</v>
      </c>
    </row>
    <row r="37" ht="24" customHeight="1" spans="1:11" x14ac:dyDescent="0.25">
      <c r="A37" s="25" t="s">
        <v>35</v>
      </c>
      <c r="B37" s="25" t="s">
        <v>174</v>
      </c>
      <c r="C37" s="25" t="s">
        <v>157</v>
      </c>
      <c r="D37" s="25" t="s">
        <v>158</v>
      </c>
      <c r="E37" s="25" t="s">
        <v>159</v>
      </c>
      <c r="F37" s="25" t="s">
        <v>160</v>
      </c>
      <c r="G37" s="25" t="s">
        <v>161</v>
      </c>
      <c r="H37" s="25" t="s">
        <v>35</v>
      </c>
      <c r="I37" s="25" t="s">
        <v>29</v>
      </c>
      <c r="J37" s="25" t="s">
        <v>148</v>
      </c>
      <c r="K37" s="25" t="s">
        <v>38</v>
      </c>
    </row>
    <row r="38" spans="1:11" x14ac:dyDescent="0.25">
      <c r="A38" s="33"/>
      <c r="B38" s="33" t="s">
        <v>175</v>
      </c>
      <c r="C38" s="66">
        <v>39030.3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39030.3</v>
      </c>
      <c r="J38" s="35">
        <f>$D$9</f>
        <v>0.15</v>
      </c>
      <c r="K38" s="34">
        <f>I38/(1-J38)</f>
        <v>45918</v>
      </c>
    </row>
    <row r="39" spans="2:11" x14ac:dyDescent="0.25">
      <c r="B39" t="s">
        <v>176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177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178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179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180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39030.3</v>
      </c>
      <c r="J44" s="68"/>
      <c r="K44" s="69">
        <f>SUM(K38:K43)</f>
        <v>45918</v>
      </c>
    </row>
    <row r="46" ht="24" customHeight="1" spans="1:11" x14ac:dyDescent="0.25">
      <c r="A46" s="25" t="s">
        <v>35</v>
      </c>
      <c r="B46" s="25" t="s">
        <v>181</v>
      </c>
      <c r="C46" s="25" t="s">
        <v>157</v>
      </c>
      <c r="D46" s="25" t="s">
        <v>158</v>
      </c>
      <c r="E46" s="25" t="s">
        <v>159</v>
      </c>
      <c r="F46" s="25" t="s">
        <v>160</v>
      </c>
      <c r="G46" s="25" t="s">
        <v>161</v>
      </c>
      <c r="H46" s="25" t="s">
        <v>35</v>
      </c>
      <c r="I46" s="25" t="s">
        <v>29</v>
      </c>
      <c r="J46" s="25" t="s">
        <v>148</v>
      </c>
      <c r="K46" s="25" t="s">
        <v>38</v>
      </c>
    </row>
    <row r="47" spans="1:11" x14ac:dyDescent="0.25">
      <c r="A47" s="33"/>
      <c r="B47" s="33" t="s">
        <v>182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183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184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185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186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187</v>
      </c>
      <c r="C54" s="28"/>
      <c r="D54" s="28"/>
      <c r="E54" s="28"/>
      <c r="F54" s="28"/>
      <c r="G54" s="28"/>
      <c r="H54" s="28"/>
      <c r="I54" s="30">
        <f>I26+I35+I44+I52</f>
        <v>407813.97</v>
      </c>
      <c r="J54" s="28"/>
      <c r="K54" s="30">
        <f>K26+K35+K44+K52</f>
        <v>468487.02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145</v>
      </c>
    </row>
    <row r="4" spans="1:1" x14ac:dyDescent="0.25">
      <c r="A4" s="15" t="s">
        <v>8</v>
      </c>
    </row>
    <row r="5" spans="1:1" x14ac:dyDescent="0.25">
      <c r="A5" s="15" t="s">
        <v>146</v>
      </c>
    </row>
    <row r="7" spans="3:3" x14ac:dyDescent="0.25">
      <c r="C7" s="26" t="s">
        <v>147</v>
      </c>
    </row>
    <row r="8" spans="3:4" x14ac:dyDescent="0.25">
      <c r="C8" t="s">
        <v>148</v>
      </c>
      <c r="D8" s="21">
        <v>0.15</v>
      </c>
    </row>
    <row r="9" spans="3:4" x14ac:dyDescent="0.25">
      <c r="C9" t="s">
        <v>149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150</v>
      </c>
      <c r="D11" s="21">
        <v>0.15</v>
      </c>
    </row>
    <row r="15" spans="2:2" x14ac:dyDescent="0.25">
      <c r="B15" s="64" t="s">
        <v>188</v>
      </c>
    </row>
    <row r="16" spans="2:5" x14ac:dyDescent="0.25">
      <c r="B16" s="4" t="s">
        <v>152</v>
      </c>
      <c r="C16" s="4" t="s">
        <v>153</v>
      </c>
      <c r="D16" s="4" t="s">
        <v>154</v>
      </c>
      <c r="E16" s="4" t="s">
        <v>155</v>
      </c>
    </row>
    <row r="17" spans="2:5" x14ac:dyDescent="0.25">
      <c r="B17" s="49">
        <v>3</v>
      </c>
      <c r="C17" s="49">
        <v>200</v>
      </c>
      <c r="D17" s="65">
        <v>600</v>
      </c>
      <c r="E17">
        <v>1</v>
      </c>
    </row>
    <row r="19" ht="24" customHeight="1" spans="1:11" x14ac:dyDescent="0.25">
      <c r="A19" s="25" t="s">
        <v>35</v>
      </c>
      <c r="B19" s="25" t="s">
        <v>156</v>
      </c>
      <c r="C19" s="25" t="s">
        <v>157</v>
      </c>
      <c r="D19" s="25" t="s">
        <v>158</v>
      </c>
      <c r="E19" s="25" t="s">
        <v>159</v>
      </c>
      <c r="F19" s="25" t="s">
        <v>160</v>
      </c>
      <c r="G19" s="25" t="s">
        <v>161</v>
      </c>
      <c r="H19" s="25" t="s">
        <v>35</v>
      </c>
      <c r="I19" s="25" t="s">
        <v>29</v>
      </c>
      <c r="J19" s="25" t="s">
        <v>148</v>
      </c>
      <c r="K19" s="25" t="s">
        <v>38</v>
      </c>
    </row>
    <row r="20" spans="1:11" x14ac:dyDescent="0.25">
      <c r="A20" s="33"/>
      <c r="B20" s="33" t="s">
        <v>162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163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164</v>
      </c>
      <c r="C22" s="66">
        <v>10733.33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10733.33</v>
      </c>
      <c r="J22" s="35">
        <f>$D$8</f>
        <v>0.15</v>
      </c>
      <c r="K22" s="34">
        <f>I22/(1-J22)</f>
        <v>12627.45</v>
      </c>
    </row>
    <row r="23" spans="2:11" x14ac:dyDescent="0.25">
      <c r="B23" t="s">
        <v>165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166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166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10733.33</v>
      </c>
      <c r="J26" s="68"/>
      <c r="K26" s="69">
        <f>SUM(K20:K25)</f>
        <v>12627.45</v>
      </c>
    </row>
    <row r="28" ht="24" customHeight="1" spans="1:11" x14ac:dyDescent="0.25">
      <c r="A28" s="25" t="s">
        <v>35</v>
      </c>
      <c r="B28" s="25" t="s">
        <v>167</v>
      </c>
      <c r="C28" s="25" t="s">
        <v>157</v>
      </c>
      <c r="D28" s="25" t="s">
        <v>158</v>
      </c>
      <c r="E28" s="25" t="s">
        <v>159</v>
      </c>
      <c r="F28" s="25" t="s">
        <v>160</v>
      </c>
      <c r="G28" s="25" t="s">
        <v>161</v>
      </c>
      <c r="H28" s="25" t="s">
        <v>35</v>
      </c>
      <c r="I28" s="25" t="s">
        <v>29</v>
      </c>
      <c r="J28" s="25" t="s">
        <v>148</v>
      </c>
      <c r="K28" s="25" t="s">
        <v>38</v>
      </c>
    </row>
    <row r="29" spans="1:11" x14ac:dyDescent="0.25">
      <c r="A29" s="33"/>
      <c r="B29" s="33" t="s">
        <v>168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169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170</v>
      </c>
      <c r="C31" s="66">
        <v>29272.73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29272.73</v>
      </c>
      <c r="J31" s="35">
        <f>$D$8</f>
        <v>0.15</v>
      </c>
      <c r="K31" s="34">
        <f>I31/(1-J31)</f>
        <v>34438.51</v>
      </c>
    </row>
    <row r="32" spans="2:11" x14ac:dyDescent="0.25">
      <c r="B32" t="s">
        <v>171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172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173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50155.08</v>
      </c>
      <c r="J35" s="68"/>
      <c r="K35" s="69">
        <f>SUM(K29:K34)</f>
        <v>59005.98</v>
      </c>
    </row>
    <row r="37" ht="24" customHeight="1" spans="1:11" x14ac:dyDescent="0.25">
      <c r="A37" s="25" t="s">
        <v>35</v>
      </c>
      <c r="B37" s="25" t="s">
        <v>174</v>
      </c>
      <c r="C37" s="25" t="s">
        <v>157</v>
      </c>
      <c r="D37" s="25" t="s">
        <v>158</v>
      </c>
      <c r="E37" s="25" t="s">
        <v>159</v>
      </c>
      <c r="F37" s="25" t="s">
        <v>160</v>
      </c>
      <c r="G37" s="25" t="s">
        <v>161</v>
      </c>
      <c r="H37" s="25" t="s">
        <v>35</v>
      </c>
      <c r="I37" s="25" t="s">
        <v>29</v>
      </c>
      <c r="J37" s="25" t="s">
        <v>148</v>
      </c>
      <c r="K37" s="25" t="s">
        <v>38</v>
      </c>
    </row>
    <row r="38" spans="1:11" x14ac:dyDescent="0.25">
      <c r="A38" s="33"/>
      <c r="B38" s="33" t="s">
        <v>175</v>
      </c>
      <c r="C38" s="66">
        <v>24393.94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24393.94</v>
      </c>
      <c r="J38" s="35">
        <f>$D$9</f>
        <v>0.15</v>
      </c>
      <c r="K38" s="34">
        <f>I38/(1-J38)</f>
        <v>28698.75</v>
      </c>
    </row>
    <row r="39" spans="2:11" x14ac:dyDescent="0.25">
      <c r="B39" t="s">
        <v>176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177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178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179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180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24393.94</v>
      </c>
      <c r="J44" s="68"/>
      <c r="K44" s="69">
        <f>SUM(K38:K43)</f>
        <v>28698.75</v>
      </c>
    </row>
    <row r="46" ht="24" customHeight="1" spans="1:11" x14ac:dyDescent="0.25">
      <c r="A46" s="25" t="s">
        <v>35</v>
      </c>
      <c r="B46" s="25" t="s">
        <v>181</v>
      </c>
      <c r="C46" s="25" t="s">
        <v>157</v>
      </c>
      <c r="D46" s="25" t="s">
        <v>158</v>
      </c>
      <c r="E46" s="25" t="s">
        <v>159</v>
      </c>
      <c r="F46" s="25" t="s">
        <v>160</v>
      </c>
      <c r="G46" s="25" t="s">
        <v>161</v>
      </c>
      <c r="H46" s="25" t="s">
        <v>35</v>
      </c>
      <c r="I46" s="25" t="s">
        <v>29</v>
      </c>
      <c r="J46" s="25" t="s">
        <v>148</v>
      </c>
      <c r="K46" s="25" t="s">
        <v>38</v>
      </c>
    </row>
    <row r="47" spans="1:11" x14ac:dyDescent="0.25">
      <c r="A47" s="33"/>
      <c r="B47" s="33" t="s">
        <v>182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183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184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185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186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187</v>
      </c>
      <c r="C54" s="28"/>
      <c r="D54" s="28"/>
      <c r="E54" s="28"/>
      <c r="F54" s="28"/>
      <c r="G54" s="28"/>
      <c r="H54" s="28"/>
      <c r="I54" s="30">
        <f>I26+I35+I44+I52</f>
        <v>265116.83</v>
      </c>
      <c r="J54" s="28"/>
      <c r="K54" s="30">
        <f>K26+K35+K44+K52</f>
        <v>304843.33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145</v>
      </c>
    </row>
    <row r="4" spans="1:1" x14ac:dyDescent="0.25">
      <c r="A4" s="15" t="s">
        <v>8</v>
      </c>
    </row>
    <row r="5" spans="1:1" x14ac:dyDescent="0.25">
      <c r="A5" s="15" t="s">
        <v>146</v>
      </c>
    </row>
    <row r="7" spans="3:3" x14ac:dyDescent="0.25">
      <c r="C7" s="26" t="s">
        <v>147</v>
      </c>
    </row>
    <row r="8" spans="3:4" x14ac:dyDescent="0.25">
      <c r="C8" t="s">
        <v>148</v>
      </c>
      <c r="D8" s="21">
        <v>0.15</v>
      </c>
    </row>
    <row r="9" spans="3:4" x14ac:dyDescent="0.25">
      <c r="C9" t="s">
        <v>149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150</v>
      </c>
      <c r="D11" s="21">
        <v>0.15</v>
      </c>
    </row>
    <row r="15" spans="2:2" x14ac:dyDescent="0.25">
      <c r="B15" s="64" t="s">
        <v>189</v>
      </c>
    </row>
    <row r="16" spans="2:5" x14ac:dyDescent="0.25">
      <c r="B16" s="4" t="s">
        <v>152</v>
      </c>
      <c r="C16" s="4" t="s">
        <v>153</v>
      </c>
      <c r="D16" s="4" t="s">
        <v>154</v>
      </c>
      <c r="E16" s="4" t="s">
        <v>155</v>
      </c>
    </row>
    <row r="17" spans="2:5" x14ac:dyDescent="0.25">
      <c r="B17" s="49">
        <v>8</v>
      </c>
      <c r="C17" s="49">
        <v>14</v>
      </c>
      <c r="D17" s="65">
        <v>112</v>
      </c>
      <c r="E17">
        <v>1</v>
      </c>
    </row>
    <row r="19" ht="24" customHeight="1" spans="1:11" x14ac:dyDescent="0.25">
      <c r="A19" s="25" t="s">
        <v>35</v>
      </c>
      <c r="B19" s="25" t="s">
        <v>156</v>
      </c>
      <c r="C19" s="25" t="s">
        <v>157</v>
      </c>
      <c r="D19" s="25" t="s">
        <v>158</v>
      </c>
      <c r="E19" s="25" t="s">
        <v>159</v>
      </c>
      <c r="F19" s="25" t="s">
        <v>160</v>
      </c>
      <c r="G19" s="25" t="s">
        <v>161</v>
      </c>
      <c r="H19" s="25" t="s">
        <v>35</v>
      </c>
      <c r="I19" s="25" t="s">
        <v>29</v>
      </c>
      <c r="J19" s="25" t="s">
        <v>148</v>
      </c>
      <c r="K19" s="25" t="s">
        <v>38</v>
      </c>
    </row>
    <row r="20" spans="1:11" x14ac:dyDescent="0.25">
      <c r="A20" s="33"/>
      <c r="B20" s="33" t="s">
        <v>162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163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164</v>
      </c>
      <c r="C22" s="66">
        <v>1290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1290</v>
      </c>
      <c r="J22" s="35">
        <f>$D$8</f>
        <v>0.15</v>
      </c>
      <c r="K22" s="34">
        <f>I22/(1-J22)</f>
        <v>1517.65</v>
      </c>
    </row>
    <row r="23" spans="2:11" x14ac:dyDescent="0.25">
      <c r="B23" t="s">
        <v>165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166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166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1290</v>
      </c>
      <c r="J26" s="68"/>
      <c r="K26" s="69">
        <f>SUM(K20:K25)</f>
        <v>1517.65</v>
      </c>
    </row>
    <row r="28" ht="24" customHeight="1" spans="1:11" x14ac:dyDescent="0.25">
      <c r="A28" s="25" t="s">
        <v>35</v>
      </c>
      <c r="B28" s="25" t="s">
        <v>167</v>
      </c>
      <c r="C28" s="25" t="s">
        <v>157</v>
      </c>
      <c r="D28" s="25" t="s">
        <v>158</v>
      </c>
      <c r="E28" s="25" t="s">
        <v>159</v>
      </c>
      <c r="F28" s="25" t="s">
        <v>160</v>
      </c>
      <c r="G28" s="25" t="s">
        <v>161</v>
      </c>
      <c r="H28" s="25" t="s">
        <v>35</v>
      </c>
      <c r="I28" s="25" t="s">
        <v>29</v>
      </c>
      <c r="J28" s="25" t="s">
        <v>148</v>
      </c>
      <c r="K28" s="25" t="s">
        <v>38</v>
      </c>
    </row>
    <row r="29" spans="1:11" x14ac:dyDescent="0.25">
      <c r="A29" s="33"/>
      <c r="B29" s="33" t="s">
        <v>168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169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170</v>
      </c>
      <c r="C31" s="66">
        <v>5375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5375</v>
      </c>
      <c r="J31" s="35">
        <f>$D$8</f>
        <v>0.15</v>
      </c>
      <c r="K31" s="34">
        <f>I31/(1-J31)</f>
        <v>6323.53</v>
      </c>
    </row>
    <row r="32" spans="2:11" x14ac:dyDescent="0.25">
      <c r="B32" t="s">
        <v>171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172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173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26257.35</v>
      </c>
      <c r="J35" s="68"/>
      <c r="K35" s="69">
        <f>SUM(K29:K34)</f>
        <v>30891</v>
      </c>
    </row>
    <row r="37" ht="24" customHeight="1" spans="1:11" x14ac:dyDescent="0.25">
      <c r="A37" s="25" t="s">
        <v>35</v>
      </c>
      <c r="B37" s="25" t="s">
        <v>174</v>
      </c>
      <c r="C37" s="25" t="s">
        <v>157</v>
      </c>
      <c r="D37" s="25" t="s">
        <v>158</v>
      </c>
      <c r="E37" s="25" t="s">
        <v>159</v>
      </c>
      <c r="F37" s="25" t="s">
        <v>160</v>
      </c>
      <c r="G37" s="25" t="s">
        <v>161</v>
      </c>
      <c r="H37" s="25" t="s">
        <v>35</v>
      </c>
      <c r="I37" s="25" t="s">
        <v>29</v>
      </c>
      <c r="J37" s="25" t="s">
        <v>148</v>
      </c>
      <c r="K37" s="25" t="s">
        <v>38</v>
      </c>
    </row>
    <row r="38" spans="1:11" x14ac:dyDescent="0.25">
      <c r="A38" s="33"/>
      <c r="B38" s="33" t="s">
        <v>175</v>
      </c>
      <c r="C38" s="66">
        <v>5375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5375</v>
      </c>
      <c r="J38" s="35">
        <f>$D$9</f>
        <v>0.15</v>
      </c>
      <c r="K38" s="34">
        <f>I38/(1-J38)</f>
        <v>6323.53</v>
      </c>
    </row>
    <row r="39" spans="2:11" x14ac:dyDescent="0.25">
      <c r="B39" t="s">
        <v>176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177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178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179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180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5375</v>
      </c>
      <c r="J44" s="68"/>
      <c r="K44" s="69">
        <f>SUM(K38:K43)</f>
        <v>6323.53</v>
      </c>
    </row>
    <row r="46" ht="24" customHeight="1" spans="1:11" x14ac:dyDescent="0.25">
      <c r="A46" s="25" t="s">
        <v>35</v>
      </c>
      <c r="B46" s="25" t="s">
        <v>181</v>
      </c>
      <c r="C46" s="25" t="s">
        <v>157</v>
      </c>
      <c r="D46" s="25" t="s">
        <v>158</v>
      </c>
      <c r="E46" s="25" t="s">
        <v>159</v>
      </c>
      <c r="F46" s="25" t="s">
        <v>160</v>
      </c>
      <c r="G46" s="25" t="s">
        <v>161</v>
      </c>
      <c r="H46" s="25" t="s">
        <v>35</v>
      </c>
      <c r="I46" s="25" t="s">
        <v>29</v>
      </c>
      <c r="J46" s="25" t="s">
        <v>148</v>
      </c>
      <c r="K46" s="25" t="s">
        <v>38</v>
      </c>
    </row>
    <row r="47" spans="1:11" x14ac:dyDescent="0.25">
      <c r="A47" s="33"/>
      <c r="B47" s="33" t="s">
        <v>182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183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184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185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186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187</v>
      </c>
      <c r="C54" s="28"/>
      <c r="D54" s="28"/>
      <c r="E54" s="28"/>
      <c r="F54" s="28"/>
      <c r="G54" s="28"/>
      <c r="H54" s="28"/>
      <c r="I54" s="30">
        <f>I26+I35+I44+I52</f>
        <v>67978.24</v>
      </c>
      <c r="J54" s="28"/>
      <c r="K54" s="30">
        <f>K26+K35+K44+K52</f>
        <v>78656.76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145</v>
      </c>
    </row>
    <row r="4" spans="1:1" x14ac:dyDescent="0.25">
      <c r="A4" s="15" t="s">
        <v>8</v>
      </c>
    </row>
    <row r="5" spans="1:1" x14ac:dyDescent="0.25">
      <c r="A5" s="15" t="s">
        <v>146</v>
      </c>
    </row>
    <row r="7" spans="3:3" x14ac:dyDescent="0.25">
      <c r="C7" s="26" t="s">
        <v>147</v>
      </c>
    </row>
    <row r="8" spans="3:4" x14ac:dyDescent="0.25">
      <c r="C8" t="s">
        <v>148</v>
      </c>
      <c r="D8" s="21">
        <v>0.15</v>
      </c>
    </row>
    <row r="9" spans="3:4" x14ac:dyDescent="0.25">
      <c r="C9" t="s">
        <v>149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150</v>
      </c>
      <c r="D11" s="21">
        <v>0.15</v>
      </c>
    </row>
    <row r="15" spans="2:2" x14ac:dyDescent="0.25">
      <c r="B15" s="64" t="s">
        <v>190</v>
      </c>
    </row>
    <row r="16" spans="2:5" x14ac:dyDescent="0.25">
      <c r="B16" s="4" t="s">
        <v>152</v>
      </c>
      <c r="C16" s="4" t="s">
        <v>153</v>
      </c>
      <c r="D16" s="4" t="s">
        <v>154</v>
      </c>
      <c r="E16" s="4" t="s">
        <v>155</v>
      </c>
    </row>
    <row r="17" spans="2:5" x14ac:dyDescent="0.25">
      <c r="B17" s="49">
        <v>3</v>
      </c>
      <c r="C17" s="49">
        <v>200</v>
      </c>
      <c r="D17" s="65">
        <v>600</v>
      </c>
      <c r="E17">
        <v>1</v>
      </c>
    </row>
    <row r="19" ht="24" customHeight="1" spans="1:11" x14ac:dyDescent="0.25">
      <c r="A19" s="25" t="s">
        <v>35</v>
      </c>
      <c r="B19" s="25" t="s">
        <v>156</v>
      </c>
      <c r="C19" s="25" t="s">
        <v>157</v>
      </c>
      <c r="D19" s="25" t="s">
        <v>158</v>
      </c>
      <c r="E19" s="25" t="s">
        <v>159</v>
      </c>
      <c r="F19" s="25" t="s">
        <v>160</v>
      </c>
      <c r="G19" s="25" t="s">
        <v>161</v>
      </c>
      <c r="H19" s="25" t="s">
        <v>35</v>
      </c>
      <c r="I19" s="25" t="s">
        <v>29</v>
      </c>
      <c r="J19" s="25" t="s">
        <v>148</v>
      </c>
      <c r="K19" s="25" t="s">
        <v>38</v>
      </c>
    </row>
    <row r="20" spans="1:11" x14ac:dyDescent="0.25">
      <c r="A20" s="33"/>
      <c r="B20" s="33" t="s">
        <v>162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163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164</v>
      </c>
      <c r="C22" s="66">
        <v>10733.33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10733.33</v>
      </c>
      <c r="J22" s="35">
        <f>$D$8</f>
        <v>0.15</v>
      </c>
      <c r="K22" s="34">
        <f>I22/(1-J22)</f>
        <v>12627.45</v>
      </c>
    </row>
    <row r="23" spans="2:11" x14ac:dyDescent="0.25">
      <c r="B23" t="s">
        <v>165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166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166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10733.33</v>
      </c>
      <c r="J26" s="68"/>
      <c r="K26" s="69">
        <f>SUM(K20:K25)</f>
        <v>12627.45</v>
      </c>
    </row>
    <row r="28" ht="24" customHeight="1" spans="1:11" x14ac:dyDescent="0.25">
      <c r="A28" s="25" t="s">
        <v>35</v>
      </c>
      <c r="B28" s="25" t="s">
        <v>167</v>
      </c>
      <c r="C28" s="25" t="s">
        <v>157</v>
      </c>
      <c r="D28" s="25" t="s">
        <v>158</v>
      </c>
      <c r="E28" s="25" t="s">
        <v>159</v>
      </c>
      <c r="F28" s="25" t="s">
        <v>160</v>
      </c>
      <c r="G28" s="25" t="s">
        <v>161</v>
      </c>
      <c r="H28" s="25" t="s">
        <v>35</v>
      </c>
      <c r="I28" s="25" t="s">
        <v>29</v>
      </c>
      <c r="J28" s="25" t="s">
        <v>148</v>
      </c>
      <c r="K28" s="25" t="s">
        <v>38</v>
      </c>
    </row>
    <row r="29" spans="1:11" x14ac:dyDescent="0.25">
      <c r="A29" s="33"/>
      <c r="B29" s="33" t="s">
        <v>168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169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170</v>
      </c>
      <c r="C31" s="66">
        <v>29272.73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29272.73</v>
      </c>
      <c r="J31" s="35">
        <f>$D$8</f>
        <v>0.15</v>
      </c>
      <c r="K31" s="34">
        <f>I31/(1-J31)</f>
        <v>34438.51</v>
      </c>
    </row>
    <row r="32" spans="2:11" x14ac:dyDescent="0.25">
      <c r="B32" t="s">
        <v>171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172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173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50155.08</v>
      </c>
      <c r="J35" s="68"/>
      <c r="K35" s="69">
        <f>SUM(K29:K34)</f>
        <v>59005.98</v>
      </c>
    </row>
    <row r="37" ht="24" customHeight="1" spans="1:11" x14ac:dyDescent="0.25">
      <c r="A37" s="25" t="s">
        <v>35</v>
      </c>
      <c r="B37" s="25" t="s">
        <v>174</v>
      </c>
      <c r="C37" s="25" t="s">
        <v>157</v>
      </c>
      <c r="D37" s="25" t="s">
        <v>158</v>
      </c>
      <c r="E37" s="25" t="s">
        <v>159</v>
      </c>
      <c r="F37" s="25" t="s">
        <v>160</v>
      </c>
      <c r="G37" s="25" t="s">
        <v>161</v>
      </c>
      <c r="H37" s="25" t="s">
        <v>35</v>
      </c>
      <c r="I37" s="25" t="s">
        <v>29</v>
      </c>
      <c r="J37" s="25" t="s">
        <v>148</v>
      </c>
      <c r="K37" s="25" t="s">
        <v>38</v>
      </c>
    </row>
    <row r="38" spans="1:11" x14ac:dyDescent="0.25">
      <c r="A38" s="33"/>
      <c r="B38" s="33" t="s">
        <v>175</v>
      </c>
      <c r="C38" s="66">
        <v>24393.94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24393.94</v>
      </c>
      <c r="J38" s="35">
        <f>$D$9</f>
        <v>0.15</v>
      </c>
      <c r="K38" s="34">
        <f>I38/(1-J38)</f>
        <v>28698.75</v>
      </c>
    </row>
    <row r="39" spans="2:11" x14ac:dyDescent="0.25">
      <c r="B39" t="s">
        <v>176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177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178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179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180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24393.94</v>
      </c>
      <c r="J44" s="68"/>
      <c r="K44" s="69">
        <f>SUM(K38:K43)</f>
        <v>28698.75</v>
      </c>
    </row>
    <row r="46" ht="24" customHeight="1" spans="1:11" x14ac:dyDescent="0.25">
      <c r="A46" s="25" t="s">
        <v>35</v>
      </c>
      <c r="B46" s="25" t="s">
        <v>181</v>
      </c>
      <c r="C46" s="25" t="s">
        <v>157</v>
      </c>
      <c r="D46" s="25" t="s">
        <v>158</v>
      </c>
      <c r="E46" s="25" t="s">
        <v>159</v>
      </c>
      <c r="F46" s="25" t="s">
        <v>160</v>
      </c>
      <c r="G46" s="25" t="s">
        <v>161</v>
      </c>
      <c r="H46" s="25" t="s">
        <v>35</v>
      </c>
      <c r="I46" s="25" t="s">
        <v>29</v>
      </c>
      <c r="J46" s="25" t="s">
        <v>148</v>
      </c>
      <c r="K46" s="25" t="s">
        <v>38</v>
      </c>
    </row>
    <row r="47" spans="1:11" x14ac:dyDescent="0.25">
      <c r="A47" s="33"/>
      <c r="B47" s="33" t="s">
        <v>182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183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184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185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186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187</v>
      </c>
      <c r="C54" s="28"/>
      <c r="D54" s="28"/>
      <c r="E54" s="28"/>
      <c r="F54" s="28"/>
      <c r="G54" s="28"/>
      <c r="H54" s="28"/>
      <c r="I54" s="30">
        <f>I26+I35+I44+I52</f>
        <v>265116.83</v>
      </c>
      <c r="J54" s="28"/>
      <c r="K54" s="30">
        <f>K26+K35+K44+K52</f>
        <v>304843.33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145</v>
      </c>
    </row>
    <row r="4" spans="1:1" x14ac:dyDescent="0.25">
      <c r="A4" s="15" t="s">
        <v>8</v>
      </c>
    </row>
    <row r="5" spans="1:1" x14ac:dyDescent="0.25">
      <c r="A5" s="15" t="s">
        <v>146</v>
      </c>
    </row>
    <row r="7" spans="3:3" x14ac:dyDescent="0.25">
      <c r="C7" s="26" t="s">
        <v>147</v>
      </c>
    </row>
    <row r="8" spans="3:4" x14ac:dyDescent="0.25">
      <c r="C8" t="s">
        <v>148</v>
      </c>
      <c r="D8" s="21">
        <v>0.15</v>
      </c>
    </row>
    <row r="9" spans="3:4" x14ac:dyDescent="0.25">
      <c r="C9" t="s">
        <v>149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150</v>
      </c>
      <c r="D11" s="21">
        <v>0.15</v>
      </c>
    </row>
    <row r="15" spans="2:2" x14ac:dyDescent="0.25">
      <c r="B15" s="64" t="s">
        <v>191</v>
      </c>
    </row>
    <row r="16" spans="2:5" x14ac:dyDescent="0.25">
      <c r="B16" s="4" t="s">
        <v>152</v>
      </c>
      <c r="C16" s="4" t="s">
        <v>153</v>
      </c>
      <c r="D16" s="4" t="s">
        <v>154</v>
      </c>
      <c r="E16" s="4" t="s">
        <v>155</v>
      </c>
    </row>
    <row r="17" spans="2:5" x14ac:dyDescent="0.25">
      <c r="B17" s="49">
        <v>5.33</v>
      </c>
      <c r="C17" s="49">
        <v>21</v>
      </c>
      <c r="D17" s="65">
        <v>111.93</v>
      </c>
      <c r="E17">
        <v>1</v>
      </c>
    </row>
    <row r="19" ht="24" customHeight="1" spans="1:11" x14ac:dyDescent="0.25">
      <c r="A19" s="25" t="s">
        <v>35</v>
      </c>
      <c r="B19" s="25" t="s">
        <v>156</v>
      </c>
      <c r="C19" s="25" t="s">
        <v>157</v>
      </c>
      <c r="D19" s="25" t="s">
        <v>158</v>
      </c>
      <c r="E19" s="25" t="s">
        <v>159</v>
      </c>
      <c r="F19" s="25" t="s">
        <v>160</v>
      </c>
      <c r="G19" s="25" t="s">
        <v>161</v>
      </c>
      <c r="H19" s="25" t="s">
        <v>35</v>
      </c>
      <c r="I19" s="25" t="s">
        <v>29</v>
      </c>
      <c r="J19" s="25" t="s">
        <v>148</v>
      </c>
      <c r="K19" s="25" t="s">
        <v>38</v>
      </c>
    </row>
    <row r="20" spans="1:11" x14ac:dyDescent="0.25">
      <c r="A20" s="33"/>
      <c r="B20" s="33" t="s">
        <v>162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163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164</v>
      </c>
      <c r="C22" s="66">
        <v>1290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1290</v>
      </c>
      <c r="J22" s="35">
        <f>$D$8</f>
        <v>0.15</v>
      </c>
      <c r="K22" s="34">
        <f>I22/(1-J22)</f>
        <v>1517.65</v>
      </c>
    </row>
    <row r="23" spans="2:11" x14ac:dyDescent="0.25">
      <c r="B23" t="s">
        <v>165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166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166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1290</v>
      </c>
      <c r="J26" s="68"/>
      <c r="K26" s="69">
        <f>SUM(K20:K25)</f>
        <v>1517.65</v>
      </c>
    </row>
    <row r="28" ht="24" customHeight="1" spans="1:11" x14ac:dyDescent="0.25">
      <c r="A28" s="25" t="s">
        <v>35</v>
      </c>
      <c r="B28" s="25" t="s">
        <v>167</v>
      </c>
      <c r="C28" s="25" t="s">
        <v>157</v>
      </c>
      <c r="D28" s="25" t="s">
        <v>158</v>
      </c>
      <c r="E28" s="25" t="s">
        <v>159</v>
      </c>
      <c r="F28" s="25" t="s">
        <v>160</v>
      </c>
      <c r="G28" s="25" t="s">
        <v>161</v>
      </c>
      <c r="H28" s="25" t="s">
        <v>35</v>
      </c>
      <c r="I28" s="25" t="s">
        <v>29</v>
      </c>
      <c r="J28" s="25" t="s">
        <v>148</v>
      </c>
      <c r="K28" s="25" t="s">
        <v>38</v>
      </c>
    </row>
    <row r="29" spans="1:11" x14ac:dyDescent="0.25">
      <c r="A29" s="33"/>
      <c r="B29" s="33" t="s">
        <v>168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169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170</v>
      </c>
      <c r="C31" s="66">
        <v>5375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5375</v>
      </c>
      <c r="J31" s="35">
        <f>$D$8</f>
        <v>0.15</v>
      </c>
      <c r="K31" s="34">
        <f>I31/(1-J31)</f>
        <v>6323.53</v>
      </c>
    </row>
    <row r="32" spans="2:11" x14ac:dyDescent="0.25">
      <c r="B32" t="s">
        <v>171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172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173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26257.35</v>
      </c>
      <c r="J35" s="68"/>
      <c r="K35" s="69">
        <f>SUM(K29:K34)</f>
        <v>30891</v>
      </c>
    </row>
    <row r="37" ht="24" customHeight="1" spans="1:11" x14ac:dyDescent="0.25">
      <c r="A37" s="25" t="s">
        <v>35</v>
      </c>
      <c r="B37" s="25" t="s">
        <v>174</v>
      </c>
      <c r="C37" s="25" t="s">
        <v>157</v>
      </c>
      <c r="D37" s="25" t="s">
        <v>158</v>
      </c>
      <c r="E37" s="25" t="s">
        <v>159</v>
      </c>
      <c r="F37" s="25" t="s">
        <v>160</v>
      </c>
      <c r="G37" s="25" t="s">
        <v>161</v>
      </c>
      <c r="H37" s="25" t="s">
        <v>35</v>
      </c>
      <c r="I37" s="25" t="s">
        <v>29</v>
      </c>
      <c r="J37" s="25" t="s">
        <v>148</v>
      </c>
      <c r="K37" s="25" t="s">
        <v>38</v>
      </c>
    </row>
    <row r="38" spans="1:11" x14ac:dyDescent="0.25">
      <c r="A38" s="33"/>
      <c r="B38" s="33" t="s">
        <v>175</v>
      </c>
      <c r="C38" s="66">
        <v>5375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5375</v>
      </c>
      <c r="J38" s="35">
        <f>$D$9</f>
        <v>0.15</v>
      </c>
      <c r="K38" s="34">
        <f>I38/(1-J38)</f>
        <v>6323.53</v>
      </c>
    </row>
    <row r="39" spans="2:11" x14ac:dyDescent="0.25">
      <c r="B39" t="s">
        <v>176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177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178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179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180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5375</v>
      </c>
      <c r="J44" s="68"/>
      <c r="K44" s="69">
        <f>SUM(K38:K43)</f>
        <v>6323.53</v>
      </c>
    </row>
    <row r="46" ht="24" customHeight="1" spans="1:11" x14ac:dyDescent="0.25">
      <c r="A46" s="25" t="s">
        <v>35</v>
      </c>
      <c r="B46" s="25" t="s">
        <v>181</v>
      </c>
      <c r="C46" s="25" t="s">
        <v>157</v>
      </c>
      <c r="D46" s="25" t="s">
        <v>158</v>
      </c>
      <c r="E46" s="25" t="s">
        <v>159</v>
      </c>
      <c r="F46" s="25" t="s">
        <v>160</v>
      </c>
      <c r="G46" s="25" t="s">
        <v>161</v>
      </c>
      <c r="H46" s="25" t="s">
        <v>35</v>
      </c>
      <c r="I46" s="25" t="s">
        <v>29</v>
      </c>
      <c r="J46" s="25" t="s">
        <v>148</v>
      </c>
      <c r="K46" s="25" t="s">
        <v>38</v>
      </c>
    </row>
    <row r="47" spans="1:11" x14ac:dyDescent="0.25">
      <c r="A47" s="33"/>
      <c r="B47" s="33" t="s">
        <v>182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183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184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185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186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187</v>
      </c>
      <c r="C54" s="28"/>
      <c r="D54" s="28"/>
      <c r="E54" s="28"/>
      <c r="F54" s="28"/>
      <c r="G54" s="28"/>
      <c r="H54" s="28"/>
      <c r="I54" s="30">
        <f>I26+I35+I44+I52</f>
        <v>67959.54</v>
      </c>
      <c r="J54" s="28"/>
      <c r="K54" s="30">
        <f>K26+K35+K44+K52</f>
        <v>78635.58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145</v>
      </c>
    </row>
    <row r="4" spans="1:1" x14ac:dyDescent="0.25">
      <c r="A4" s="15" t="s">
        <v>8</v>
      </c>
    </row>
    <row r="5" spans="1:1" x14ac:dyDescent="0.25">
      <c r="A5" s="15" t="s">
        <v>146</v>
      </c>
    </row>
    <row r="7" spans="3:3" x14ac:dyDescent="0.25">
      <c r="C7" s="26" t="s">
        <v>147</v>
      </c>
    </row>
    <row r="8" spans="3:4" x14ac:dyDescent="0.25">
      <c r="C8" t="s">
        <v>148</v>
      </c>
      <c r="D8" s="21">
        <v>0.15</v>
      </c>
    </row>
    <row r="9" spans="3:4" x14ac:dyDescent="0.25">
      <c r="C9" t="s">
        <v>149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150</v>
      </c>
      <c r="D11" s="21">
        <v>0.15</v>
      </c>
    </row>
    <row r="15" spans="2:2" x14ac:dyDescent="0.25">
      <c r="B15" s="64" t="s">
        <v>192</v>
      </c>
    </row>
    <row r="16" spans="2:5" x14ac:dyDescent="0.25">
      <c r="B16" s="4" t="s">
        <v>152</v>
      </c>
      <c r="C16" s="4" t="s">
        <v>153</v>
      </c>
      <c r="D16" s="4" t="s">
        <v>154</v>
      </c>
      <c r="E16" s="4" t="s">
        <v>155</v>
      </c>
    </row>
    <row r="17" spans="2:5" x14ac:dyDescent="0.25">
      <c r="B17" s="49">
        <v>6</v>
      </c>
      <c r="C17" s="49">
        <v>11</v>
      </c>
      <c r="D17" s="65">
        <v>66</v>
      </c>
      <c r="E17">
        <v>1</v>
      </c>
    </row>
    <row r="19" ht="24" customHeight="1" spans="1:11" x14ac:dyDescent="0.25">
      <c r="A19" s="25" t="s">
        <v>35</v>
      </c>
      <c r="B19" s="25" t="s">
        <v>156</v>
      </c>
      <c r="C19" s="25" t="s">
        <v>157</v>
      </c>
      <c r="D19" s="25" t="s">
        <v>158</v>
      </c>
      <c r="E19" s="25" t="s">
        <v>159</v>
      </c>
      <c r="F19" s="25" t="s">
        <v>160</v>
      </c>
      <c r="G19" s="25" t="s">
        <v>161</v>
      </c>
      <c r="H19" s="25" t="s">
        <v>35</v>
      </c>
      <c r="I19" s="25" t="s">
        <v>29</v>
      </c>
      <c r="J19" s="25" t="s">
        <v>148</v>
      </c>
      <c r="K19" s="25" t="s">
        <v>38</v>
      </c>
    </row>
    <row r="20" spans="1:11" x14ac:dyDescent="0.25">
      <c r="A20" s="33"/>
      <c r="B20" s="33" t="s">
        <v>162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163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164</v>
      </c>
      <c r="C22" s="66">
        <v>761.25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761.25</v>
      </c>
      <c r="J22" s="35">
        <f>$D$8</f>
        <v>0.15</v>
      </c>
      <c r="K22" s="34">
        <f>I22/(1-J22)</f>
        <v>895.59</v>
      </c>
    </row>
    <row r="23" spans="2:11" x14ac:dyDescent="0.25">
      <c r="B23" t="s">
        <v>165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166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166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761.25</v>
      </c>
      <c r="J26" s="68"/>
      <c r="K26" s="69">
        <f>SUM(K20:K25)</f>
        <v>895.59</v>
      </c>
    </row>
    <row r="28" ht="24" customHeight="1" spans="1:11" x14ac:dyDescent="0.25">
      <c r="A28" s="25" t="s">
        <v>35</v>
      </c>
      <c r="B28" s="25" t="s">
        <v>167</v>
      </c>
      <c r="C28" s="25" t="s">
        <v>157</v>
      </c>
      <c r="D28" s="25" t="s">
        <v>158</v>
      </c>
      <c r="E28" s="25" t="s">
        <v>159</v>
      </c>
      <c r="F28" s="25" t="s">
        <v>160</v>
      </c>
      <c r="G28" s="25" t="s">
        <v>161</v>
      </c>
      <c r="H28" s="25" t="s">
        <v>35</v>
      </c>
      <c r="I28" s="25" t="s">
        <v>29</v>
      </c>
      <c r="J28" s="25" t="s">
        <v>148</v>
      </c>
      <c r="K28" s="25" t="s">
        <v>38</v>
      </c>
    </row>
    <row r="29" spans="1:11" x14ac:dyDescent="0.25">
      <c r="A29" s="33"/>
      <c r="B29" s="33" t="s">
        <v>168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169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170</v>
      </c>
      <c r="C31" s="66">
        <v>3171.88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3171.88</v>
      </c>
      <c r="J31" s="35">
        <f>$D$8</f>
        <v>0.15</v>
      </c>
      <c r="K31" s="34">
        <f>I31/(1-J31)</f>
        <v>3731.62</v>
      </c>
    </row>
    <row r="32" spans="2:11" x14ac:dyDescent="0.25">
      <c r="B32" t="s">
        <v>171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172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173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24054.23</v>
      </c>
      <c r="J35" s="68"/>
      <c r="K35" s="69">
        <f>SUM(K29:K34)</f>
        <v>28299.09</v>
      </c>
    </row>
    <row r="37" ht="24" customHeight="1" spans="1:11" x14ac:dyDescent="0.25">
      <c r="A37" s="25" t="s">
        <v>35</v>
      </c>
      <c r="B37" s="25" t="s">
        <v>174</v>
      </c>
      <c r="C37" s="25" t="s">
        <v>157</v>
      </c>
      <c r="D37" s="25" t="s">
        <v>158</v>
      </c>
      <c r="E37" s="25" t="s">
        <v>159</v>
      </c>
      <c r="F37" s="25" t="s">
        <v>160</v>
      </c>
      <c r="G37" s="25" t="s">
        <v>161</v>
      </c>
      <c r="H37" s="25" t="s">
        <v>35</v>
      </c>
      <c r="I37" s="25" t="s">
        <v>29</v>
      </c>
      <c r="J37" s="25" t="s">
        <v>148</v>
      </c>
      <c r="K37" s="25" t="s">
        <v>38</v>
      </c>
    </row>
    <row r="38" spans="1:11" x14ac:dyDescent="0.25">
      <c r="A38" s="33"/>
      <c r="B38" s="33" t="s">
        <v>175</v>
      </c>
      <c r="C38" s="66">
        <v>3171.88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3171.88</v>
      </c>
      <c r="J38" s="35">
        <f>$D$9</f>
        <v>0.15</v>
      </c>
      <c r="K38" s="34">
        <f>I38/(1-J38)</f>
        <v>3731.62</v>
      </c>
    </row>
    <row r="39" spans="2:11" x14ac:dyDescent="0.25">
      <c r="B39" t="s">
        <v>176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177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178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179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180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3171.88</v>
      </c>
      <c r="J44" s="68"/>
      <c r="K44" s="69">
        <f>SUM(K38:K43)</f>
        <v>3731.62</v>
      </c>
    </row>
    <row r="46" ht="24" customHeight="1" spans="1:11" x14ac:dyDescent="0.25">
      <c r="A46" s="25" t="s">
        <v>35</v>
      </c>
      <c r="B46" s="25" t="s">
        <v>181</v>
      </c>
      <c r="C46" s="25" t="s">
        <v>157</v>
      </c>
      <c r="D46" s="25" t="s">
        <v>158</v>
      </c>
      <c r="E46" s="25" t="s">
        <v>159</v>
      </c>
      <c r="F46" s="25" t="s">
        <v>160</v>
      </c>
      <c r="G46" s="25" t="s">
        <v>161</v>
      </c>
      <c r="H46" s="25" t="s">
        <v>35</v>
      </c>
      <c r="I46" s="25" t="s">
        <v>29</v>
      </c>
      <c r="J46" s="25" t="s">
        <v>148</v>
      </c>
      <c r="K46" s="25" t="s">
        <v>38</v>
      </c>
    </row>
    <row r="47" spans="1:11" x14ac:dyDescent="0.25">
      <c r="A47" s="33"/>
      <c r="B47" s="33" t="s">
        <v>182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183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184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185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186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187</v>
      </c>
      <c r="C54" s="28"/>
      <c r="D54" s="28"/>
      <c r="E54" s="28"/>
      <c r="F54" s="28"/>
      <c r="G54" s="28"/>
      <c r="H54" s="28"/>
      <c r="I54" s="30">
        <f>I26+I35+I44+I52</f>
        <v>50762.89</v>
      </c>
      <c r="J54" s="28"/>
      <c r="K54" s="30">
        <f>K26+K35+K44+K52</f>
        <v>58944.58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145</v>
      </c>
    </row>
    <row r="4" spans="1:1" x14ac:dyDescent="0.25">
      <c r="A4" s="15" t="s">
        <v>8</v>
      </c>
    </row>
    <row r="5" spans="1:1" x14ac:dyDescent="0.25">
      <c r="A5" s="15" t="s">
        <v>146</v>
      </c>
    </row>
    <row r="7" spans="3:3" x14ac:dyDescent="0.25">
      <c r="C7" s="26" t="s">
        <v>147</v>
      </c>
    </row>
    <row r="8" spans="3:4" x14ac:dyDescent="0.25">
      <c r="C8" t="s">
        <v>148</v>
      </c>
      <c r="D8" s="21">
        <v>0.15</v>
      </c>
    </row>
    <row r="9" spans="3:4" x14ac:dyDescent="0.25">
      <c r="C9" t="s">
        <v>149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150</v>
      </c>
      <c r="D11" s="21">
        <v>0.15</v>
      </c>
    </row>
    <row r="15" spans="2:2" x14ac:dyDescent="0.25">
      <c r="B15" s="64" t="s">
        <v>193</v>
      </c>
    </row>
    <row r="16" spans="2:5" x14ac:dyDescent="0.25">
      <c r="B16" s="4" t="s">
        <v>152</v>
      </c>
      <c r="C16" s="4" t="s">
        <v>153</v>
      </c>
      <c r="D16" s="4" t="s">
        <v>154</v>
      </c>
      <c r="E16" s="4" t="s">
        <v>155</v>
      </c>
    </row>
    <row r="17" spans="2:5" x14ac:dyDescent="0.25">
      <c r="B17" s="49">
        <v>11</v>
      </c>
      <c r="C17" s="49">
        <v>100</v>
      </c>
      <c r="D17" s="65">
        <v>1100</v>
      </c>
      <c r="E17">
        <v>1</v>
      </c>
    </row>
    <row r="19" ht="24" customHeight="1" spans="1:11" x14ac:dyDescent="0.25">
      <c r="A19" s="25" t="s">
        <v>35</v>
      </c>
      <c r="B19" s="25" t="s">
        <v>156</v>
      </c>
      <c r="C19" s="25" t="s">
        <v>157</v>
      </c>
      <c r="D19" s="25" t="s">
        <v>158</v>
      </c>
      <c r="E19" s="25" t="s">
        <v>159</v>
      </c>
      <c r="F19" s="25" t="s">
        <v>160</v>
      </c>
      <c r="G19" s="25" t="s">
        <v>161</v>
      </c>
      <c r="H19" s="25" t="s">
        <v>35</v>
      </c>
      <c r="I19" s="25" t="s">
        <v>29</v>
      </c>
      <c r="J19" s="25" t="s">
        <v>148</v>
      </c>
      <c r="K19" s="25" t="s">
        <v>38</v>
      </c>
    </row>
    <row r="20" spans="1:11" x14ac:dyDescent="0.25">
      <c r="A20" s="33"/>
      <c r="B20" s="33" t="s">
        <v>162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163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164</v>
      </c>
      <c r="C22" s="66">
        <v>12678.75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12678.75</v>
      </c>
      <c r="J22" s="35">
        <f>$D$8</f>
        <v>0.15</v>
      </c>
      <c r="K22" s="34">
        <f>I22/(1-J22)</f>
        <v>14916.18</v>
      </c>
    </row>
    <row r="23" spans="2:11" x14ac:dyDescent="0.25">
      <c r="B23" t="s">
        <v>165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166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166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12678.75</v>
      </c>
      <c r="J26" s="68"/>
      <c r="K26" s="69">
        <f>SUM(K20:K25)</f>
        <v>14916.18</v>
      </c>
    </row>
    <row r="28" ht="24" customHeight="1" spans="1:11" x14ac:dyDescent="0.25">
      <c r="A28" s="25" t="s">
        <v>35</v>
      </c>
      <c r="B28" s="25" t="s">
        <v>167</v>
      </c>
      <c r="C28" s="25" t="s">
        <v>157</v>
      </c>
      <c r="D28" s="25" t="s">
        <v>158</v>
      </c>
      <c r="E28" s="25" t="s">
        <v>159</v>
      </c>
      <c r="F28" s="25" t="s">
        <v>160</v>
      </c>
      <c r="G28" s="25" t="s">
        <v>161</v>
      </c>
      <c r="H28" s="25" t="s">
        <v>35</v>
      </c>
      <c r="I28" s="25" t="s">
        <v>29</v>
      </c>
      <c r="J28" s="25" t="s">
        <v>148</v>
      </c>
      <c r="K28" s="25" t="s">
        <v>38</v>
      </c>
    </row>
    <row r="29" spans="1:11" x14ac:dyDescent="0.25">
      <c r="A29" s="33"/>
      <c r="B29" s="33" t="s">
        <v>168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169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170</v>
      </c>
      <c r="C31" s="66">
        <v>52828.13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52828.13</v>
      </c>
      <c r="J31" s="35">
        <f>$D$8</f>
        <v>0.15</v>
      </c>
      <c r="K31" s="34">
        <f>I31/(1-J31)</f>
        <v>62150.74</v>
      </c>
    </row>
    <row r="32" spans="2:11" x14ac:dyDescent="0.25">
      <c r="B32" t="s">
        <v>171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172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173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73710.48</v>
      </c>
      <c r="J35" s="68"/>
      <c r="K35" s="69">
        <f>SUM(K29:K34)</f>
        <v>86718.21</v>
      </c>
    </row>
    <row r="37" ht="24" customHeight="1" spans="1:11" x14ac:dyDescent="0.25">
      <c r="A37" s="25" t="s">
        <v>35</v>
      </c>
      <c r="B37" s="25" t="s">
        <v>174</v>
      </c>
      <c r="C37" s="25" t="s">
        <v>157</v>
      </c>
      <c r="D37" s="25" t="s">
        <v>158</v>
      </c>
      <c r="E37" s="25" t="s">
        <v>159</v>
      </c>
      <c r="F37" s="25" t="s">
        <v>160</v>
      </c>
      <c r="G37" s="25" t="s">
        <v>161</v>
      </c>
      <c r="H37" s="25" t="s">
        <v>35</v>
      </c>
      <c r="I37" s="25" t="s">
        <v>29</v>
      </c>
      <c r="J37" s="25" t="s">
        <v>148</v>
      </c>
      <c r="K37" s="25" t="s">
        <v>38</v>
      </c>
    </row>
    <row r="38" spans="1:11" x14ac:dyDescent="0.25">
      <c r="A38" s="33"/>
      <c r="B38" s="33" t="s">
        <v>175</v>
      </c>
      <c r="C38" s="66">
        <v>52828.13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52828.13</v>
      </c>
      <c r="J38" s="35">
        <f>$D$9</f>
        <v>0.15</v>
      </c>
      <c r="K38" s="34">
        <f>I38/(1-J38)</f>
        <v>62150.74</v>
      </c>
    </row>
    <row r="39" spans="2:11" x14ac:dyDescent="0.25">
      <c r="B39" t="s">
        <v>176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177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178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179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180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52828.13</v>
      </c>
      <c r="J44" s="68"/>
      <c r="K44" s="69">
        <f>SUM(K38:K43)</f>
        <v>62150.74</v>
      </c>
    </row>
    <row r="46" ht="24" customHeight="1" spans="1:11" x14ac:dyDescent="0.25">
      <c r="A46" s="25" t="s">
        <v>35</v>
      </c>
      <c r="B46" s="25" t="s">
        <v>181</v>
      </c>
      <c r="C46" s="25" t="s">
        <v>157</v>
      </c>
      <c r="D46" s="25" t="s">
        <v>158</v>
      </c>
      <c r="E46" s="25" t="s">
        <v>159</v>
      </c>
      <c r="F46" s="25" t="s">
        <v>160</v>
      </c>
      <c r="G46" s="25" t="s">
        <v>161</v>
      </c>
      <c r="H46" s="25" t="s">
        <v>35</v>
      </c>
      <c r="I46" s="25" t="s">
        <v>29</v>
      </c>
      <c r="J46" s="25" t="s">
        <v>148</v>
      </c>
      <c r="K46" s="25" t="s">
        <v>38</v>
      </c>
    </row>
    <row r="47" spans="1:11" x14ac:dyDescent="0.25">
      <c r="A47" s="33"/>
      <c r="B47" s="33" t="s">
        <v>182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183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184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185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186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187</v>
      </c>
      <c r="C54" s="28"/>
      <c r="D54" s="28"/>
      <c r="E54" s="28"/>
      <c r="F54" s="28"/>
      <c r="G54" s="28"/>
      <c r="H54" s="28"/>
      <c r="I54" s="30">
        <f>I26+I35+I44+I52</f>
        <v>457984</v>
      </c>
      <c r="J54" s="28"/>
      <c r="K54" s="30">
        <f>K26+K35+K44+K52</f>
        <v>525863.53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145</v>
      </c>
    </row>
    <row r="4" spans="1:1" x14ac:dyDescent="0.25">
      <c r="A4" s="15" t="s">
        <v>8</v>
      </c>
    </row>
    <row r="5" spans="1:1" x14ac:dyDescent="0.25">
      <c r="A5" s="15" t="s">
        <v>146</v>
      </c>
    </row>
    <row r="7" spans="3:3" x14ac:dyDescent="0.25">
      <c r="C7" s="26" t="s">
        <v>147</v>
      </c>
    </row>
    <row r="8" spans="3:4" x14ac:dyDescent="0.25">
      <c r="C8" t="s">
        <v>148</v>
      </c>
      <c r="D8" s="21">
        <v>0.15</v>
      </c>
    </row>
    <row r="9" spans="3:4" x14ac:dyDescent="0.25">
      <c r="C9" t="s">
        <v>149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150</v>
      </c>
      <c r="D11" s="21">
        <v>0.15</v>
      </c>
    </row>
    <row r="15" spans="2:2" x14ac:dyDescent="0.25">
      <c r="B15" s="64" t="s">
        <v>194</v>
      </c>
    </row>
    <row r="16" spans="2:5" x14ac:dyDescent="0.25">
      <c r="B16" s="4" t="s">
        <v>152</v>
      </c>
      <c r="C16" s="4" t="s">
        <v>153</v>
      </c>
      <c r="D16" s="4" t="s">
        <v>154</v>
      </c>
      <c r="E16" s="4" t="s">
        <v>155</v>
      </c>
    </row>
    <row r="17" spans="2:5" x14ac:dyDescent="0.25">
      <c r="B17" s="49">
        <v>11</v>
      </c>
      <c r="C17" s="49">
        <v>85</v>
      </c>
      <c r="D17" s="65">
        <v>935</v>
      </c>
      <c r="E17">
        <v>1</v>
      </c>
    </row>
    <row r="19" ht="24" customHeight="1" spans="1:11" x14ac:dyDescent="0.25">
      <c r="A19" s="25" t="s">
        <v>35</v>
      </c>
      <c r="B19" s="25" t="s">
        <v>156</v>
      </c>
      <c r="C19" s="25" t="s">
        <v>157</v>
      </c>
      <c r="D19" s="25" t="s">
        <v>158</v>
      </c>
      <c r="E19" s="25" t="s">
        <v>159</v>
      </c>
      <c r="F19" s="25" t="s">
        <v>160</v>
      </c>
      <c r="G19" s="25" t="s">
        <v>161</v>
      </c>
      <c r="H19" s="25" t="s">
        <v>35</v>
      </c>
      <c r="I19" s="25" t="s">
        <v>29</v>
      </c>
      <c r="J19" s="25" t="s">
        <v>148</v>
      </c>
      <c r="K19" s="25" t="s">
        <v>38</v>
      </c>
    </row>
    <row r="20" spans="1:11" x14ac:dyDescent="0.25">
      <c r="A20" s="33"/>
      <c r="B20" s="33" t="s">
        <v>162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163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164</v>
      </c>
      <c r="C22" s="66">
        <v>10777.5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10777.5</v>
      </c>
      <c r="J22" s="35">
        <f>$D$8</f>
        <v>0.15</v>
      </c>
      <c r="K22" s="34">
        <f>I22/(1-J22)</f>
        <v>12679.41</v>
      </c>
    </row>
    <row r="23" spans="2:11" x14ac:dyDescent="0.25">
      <c r="B23" t="s">
        <v>165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166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166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10777.5</v>
      </c>
      <c r="J26" s="68"/>
      <c r="K26" s="69">
        <f>SUM(K20:K25)</f>
        <v>12679.41</v>
      </c>
    </row>
    <row r="28" ht="24" customHeight="1" spans="1:11" x14ac:dyDescent="0.25">
      <c r="A28" s="25" t="s">
        <v>35</v>
      </c>
      <c r="B28" s="25" t="s">
        <v>167</v>
      </c>
      <c r="C28" s="25" t="s">
        <v>157</v>
      </c>
      <c r="D28" s="25" t="s">
        <v>158</v>
      </c>
      <c r="E28" s="25" t="s">
        <v>159</v>
      </c>
      <c r="F28" s="25" t="s">
        <v>160</v>
      </c>
      <c r="G28" s="25" t="s">
        <v>161</v>
      </c>
      <c r="H28" s="25" t="s">
        <v>35</v>
      </c>
      <c r="I28" s="25" t="s">
        <v>29</v>
      </c>
      <c r="J28" s="25" t="s">
        <v>148</v>
      </c>
      <c r="K28" s="25" t="s">
        <v>38</v>
      </c>
    </row>
    <row r="29" spans="1:11" x14ac:dyDescent="0.25">
      <c r="A29" s="33"/>
      <c r="B29" s="33" t="s">
        <v>168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169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170</v>
      </c>
      <c r="C31" s="66">
        <v>44906.25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44906.25</v>
      </c>
      <c r="J31" s="35">
        <f>$D$8</f>
        <v>0.15</v>
      </c>
      <c r="K31" s="34">
        <f>I31/(1-J31)</f>
        <v>52830.88</v>
      </c>
    </row>
    <row r="32" spans="2:11" x14ac:dyDescent="0.25">
      <c r="B32" t="s">
        <v>171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172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173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65788.6</v>
      </c>
      <c r="J35" s="68"/>
      <c r="K35" s="69">
        <f>SUM(K29:K34)</f>
        <v>77398.35</v>
      </c>
    </row>
    <row r="37" ht="24" customHeight="1" spans="1:11" x14ac:dyDescent="0.25">
      <c r="A37" s="25" t="s">
        <v>35</v>
      </c>
      <c r="B37" s="25" t="s">
        <v>174</v>
      </c>
      <c r="C37" s="25" t="s">
        <v>157</v>
      </c>
      <c r="D37" s="25" t="s">
        <v>158</v>
      </c>
      <c r="E37" s="25" t="s">
        <v>159</v>
      </c>
      <c r="F37" s="25" t="s">
        <v>160</v>
      </c>
      <c r="G37" s="25" t="s">
        <v>161</v>
      </c>
      <c r="H37" s="25" t="s">
        <v>35</v>
      </c>
      <c r="I37" s="25" t="s">
        <v>29</v>
      </c>
      <c r="J37" s="25" t="s">
        <v>148</v>
      </c>
      <c r="K37" s="25" t="s">
        <v>38</v>
      </c>
    </row>
    <row r="38" spans="1:11" x14ac:dyDescent="0.25">
      <c r="A38" s="33"/>
      <c r="B38" s="33" t="s">
        <v>175</v>
      </c>
      <c r="C38" s="66">
        <v>44906.25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44906.25</v>
      </c>
      <c r="J38" s="35">
        <f>$D$9</f>
        <v>0.15</v>
      </c>
      <c r="K38" s="34">
        <f>I38/(1-J38)</f>
        <v>52830.88</v>
      </c>
    </row>
    <row r="39" spans="2:11" x14ac:dyDescent="0.25">
      <c r="B39" t="s">
        <v>176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177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178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179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180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44906.25</v>
      </c>
      <c r="J44" s="68"/>
      <c r="K44" s="69">
        <f>SUM(K38:K43)</f>
        <v>52830.88</v>
      </c>
    </row>
    <row r="46" ht="24" customHeight="1" spans="1:11" x14ac:dyDescent="0.25">
      <c r="A46" s="25" t="s">
        <v>35</v>
      </c>
      <c r="B46" s="25" t="s">
        <v>181</v>
      </c>
      <c r="C46" s="25" t="s">
        <v>157</v>
      </c>
      <c r="D46" s="25" t="s">
        <v>158</v>
      </c>
      <c r="E46" s="25" t="s">
        <v>159</v>
      </c>
      <c r="F46" s="25" t="s">
        <v>160</v>
      </c>
      <c r="G46" s="25" t="s">
        <v>161</v>
      </c>
      <c r="H46" s="25" t="s">
        <v>35</v>
      </c>
      <c r="I46" s="25" t="s">
        <v>29</v>
      </c>
      <c r="J46" s="25" t="s">
        <v>148</v>
      </c>
      <c r="K46" s="25" t="s">
        <v>38</v>
      </c>
    </row>
    <row r="47" spans="1:11" x14ac:dyDescent="0.25">
      <c r="A47" s="33"/>
      <c r="B47" s="33" t="s">
        <v>182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183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184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185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186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187</v>
      </c>
      <c r="C54" s="28"/>
      <c r="D54" s="28"/>
      <c r="E54" s="28"/>
      <c r="F54" s="28"/>
      <c r="G54" s="28"/>
      <c r="H54" s="28"/>
      <c r="I54" s="30">
        <f>I26+I35+I44+I52</f>
        <v>396189.88</v>
      </c>
      <c r="J54" s="28"/>
      <c r="K54" s="30">
        <f>K26+K35+K44+K52</f>
        <v>455105.74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145</v>
      </c>
    </row>
    <row r="4" spans="1:1" x14ac:dyDescent="0.25">
      <c r="A4" s="15" t="s">
        <v>8</v>
      </c>
    </row>
    <row r="5" spans="1:1" x14ac:dyDescent="0.25">
      <c r="A5" s="15" t="s">
        <v>146</v>
      </c>
    </row>
    <row r="7" spans="3:3" x14ac:dyDescent="0.25">
      <c r="C7" s="26" t="s">
        <v>147</v>
      </c>
    </row>
    <row r="8" spans="3:4" x14ac:dyDescent="0.25">
      <c r="C8" t="s">
        <v>148</v>
      </c>
      <c r="D8" s="21">
        <v>0.15</v>
      </c>
    </row>
    <row r="9" spans="3:4" x14ac:dyDescent="0.25">
      <c r="C9" t="s">
        <v>149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150</v>
      </c>
      <c r="D11" s="21">
        <v>0.15</v>
      </c>
    </row>
    <row r="15" spans="2:2" x14ac:dyDescent="0.25">
      <c r="B15" s="64" t="s">
        <v>445</v>
      </c>
    </row>
    <row r="16" spans="2:5" x14ac:dyDescent="0.25">
      <c r="B16" s="4" t="s">
        <v>152</v>
      </c>
      <c r="C16" s="4" t="s">
        <v>153</v>
      </c>
      <c r="D16" s="4" t="s">
        <v>154</v>
      </c>
      <c r="E16" s="4" t="s">
        <v>155</v>
      </c>
    </row>
    <row r="17" spans="2:5" x14ac:dyDescent="0.25">
      <c r="B17" s="49">
        <v>10</v>
      </c>
      <c r="C17" s="49">
        <v>34</v>
      </c>
      <c r="D17" s="65">
        <v>340</v>
      </c>
      <c r="E17">
        <v>1</v>
      </c>
    </row>
    <row r="19" ht="24" customHeight="1" spans="1:11" x14ac:dyDescent="0.25">
      <c r="A19" s="25" t="s">
        <v>35</v>
      </c>
      <c r="B19" s="25" t="s">
        <v>156</v>
      </c>
      <c r="C19" s="25" t="s">
        <v>157</v>
      </c>
      <c r="D19" s="25" t="s">
        <v>158</v>
      </c>
      <c r="E19" s="25" t="s">
        <v>159</v>
      </c>
      <c r="F19" s="25" t="s">
        <v>160</v>
      </c>
      <c r="G19" s="25" t="s">
        <v>161</v>
      </c>
      <c r="H19" s="25" t="s">
        <v>35</v>
      </c>
      <c r="I19" s="25" t="s">
        <v>29</v>
      </c>
      <c r="J19" s="25" t="s">
        <v>148</v>
      </c>
      <c r="K19" s="25" t="s">
        <v>38</v>
      </c>
    </row>
    <row r="20" spans="1:11" x14ac:dyDescent="0.25">
      <c r="A20" s="33"/>
      <c r="B20" s="33" t="s">
        <v>162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163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164</v>
      </c>
      <c r="C22" s="66">
        <v>3918.75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3918.75</v>
      </c>
      <c r="J22" s="35">
        <f>$D$8</f>
        <v>0.15</v>
      </c>
      <c r="K22" s="34">
        <f>I22/(1-J22)</f>
        <v>4610.29</v>
      </c>
    </row>
    <row r="23" spans="2:11" x14ac:dyDescent="0.25">
      <c r="B23" t="s">
        <v>165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166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166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3918.75</v>
      </c>
      <c r="J26" s="68"/>
      <c r="K26" s="69">
        <f>SUM(K20:K25)</f>
        <v>4610.29</v>
      </c>
    </row>
    <row r="28" ht="24" customHeight="1" spans="1:11" x14ac:dyDescent="0.25">
      <c r="A28" s="25" t="s">
        <v>35</v>
      </c>
      <c r="B28" s="25" t="s">
        <v>167</v>
      </c>
      <c r="C28" s="25" t="s">
        <v>157</v>
      </c>
      <c r="D28" s="25" t="s">
        <v>158</v>
      </c>
      <c r="E28" s="25" t="s">
        <v>159</v>
      </c>
      <c r="F28" s="25" t="s">
        <v>160</v>
      </c>
      <c r="G28" s="25" t="s">
        <v>161</v>
      </c>
      <c r="H28" s="25" t="s">
        <v>35</v>
      </c>
      <c r="I28" s="25" t="s">
        <v>29</v>
      </c>
      <c r="J28" s="25" t="s">
        <v>148</v>
      </c>
      <c r="K28" s="25" t="s">
        <v>38</v>
      </c>
    </row>
    <row r="29" spans="1:11" x14ac:dyDescent="0.25">
      <c r="A29" s="33"/>
      <c r="B29" s="33" t="s">
        <v>168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169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170</v>
      </c>
      <c r="C31" s="66">
        <v>16328.13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16328.13</v>
      </c>
      <c r="J31" s="35">
        <f>$D$8</f>
        <v>0.15</v>
      </c>
      <c r="K31" s="34">
        <f>I31/(1-J31)</f>
        <v>19209.56</v>
      </c>
    </row>
    <row r="32" spans="2:11" x14ac:dyDescent="0.25">
      <c r="B32" t="s">
        <v>171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172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173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37210.479999999996</v>
      </c>
      <c r="J35" s="68"/>
      <c r="K35" s="69">
        <f>SUM(K29:K34)</f>
        <v>43777.04</v>
      </c>
    </row>
    <row r="37" ht="24" customHeight="1" spans="1:11" x14ac:dyDescent="0.25">
      <c r="A37" s="25" t="s">
        <v>35</v>
      </c>
      <c r="B37" s="25" t="s">
        <v>174</v>
      </c>
      <c r="C37" s="25" t="s">
        <v>157</v>
      </c>
      <c r="D37" s="25" t="s">
        <v>158</v>
      </c>
      <c r="E37" s="25" t="s">
        <v>159</v>
      </c>
      <c r="F37" s="25" t="s">
        <v>160</v>
      </c>
      <c r="G37" s="25" t="s">
        <v>161</v>
      </c>
      <c r="H37" s="25" t="s">
        <v>35</v>
      </c>
      <c r="I37" s="25" t="s">
        <v>29</v>
      </c>
      <c r="J37" s="25" t="s">
        <v>148</v>
      </c>
      <c r="K37" s="25" t="s">
        <v>38</v>
      </c>
    </row>
    <row r="38" spans="1:11" x14ac:dyDescent="0.25">
      <c r="A38" s="33"/>
      <c r="B38" s="33" t="s">
        <v>175</v>
      </c>
      <c r="C38" s="66">
        <v>16328.13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16328.13</v>
      </c>
      <c r="J38" s="35">
        <f>$D$9</f>
        <v>0.15</v>
      </c>
      <c r="K38" s="34">
        <f>I38/(1-J38)</f>
        <v>19209.56</v>
      </c>
    </row>
    <row r="39" spans="2:11" x14ac:dyDescent="0.25">
      <c r="B39" t="s">
        <v>176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177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178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179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180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16328.13</v>
      </c>
      <c r="J44" s="68"/>
      <c r="K44" s="69">
        <f>SUM(K38:K43)</f>
        <v>19209.56</v>
      </c>
    </row>
    <row r="46" ht="24" customHeight="1" spans="1:11" x14ac:dyDescent="0.25">
      <c r="A46" s="25" t="s">
        <v>35</v>
      </c>
      <c r="B46" s="25" t="s">
        <v>181</v>
      </c>
      <c r="C46" s="25" t="s">
        <v>157</v>
      </c>
      <c r="D46" s="25" t="s">
        <v>158</v>
      </c>
      <c r="E46" s="25" t="s">
        <v>159</v>
      </c>
      <c r="F46" s="25" t="s">
        <v>160</v>
      </c>
      <c r="G46" s="25" t="s">
        <v>161</v>
      </c>
      <c r="H46" s="25" t="s">
        <v>35</v>
      </c>
      <c r="I46" s="25" t="s">
        <v>29</v>
      </c>
      <c r="J46" s="25" t="s">
        <v>148</v>
      </c>
      <c r="K46" s="25" t="s">
        <v>38</v>
      </c>
    </row>
    <row r="47" spans="1:11" x14ac:dyDescent="0.25">
      <c r="A47" s="33"/>
      <c r="B47" s="33" t="s">
        <v>182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183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184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185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186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187</v>
      </c>
      <c r="C54" s="28"/>
      <c r="D54" s="28"/>
      <c r="E54" s="28"/>
      <c r="F54" s="28"/>
      <c r="G54" s="28"/>
      <c r="H54" s="28"/>
      <c r="I54" s="30">
        <f>I26+I35+I44+I52</f>
        <v>165381.11</v>
      </c>
      <c r="J54" s="28"/>
      <c r="K54" s="30">
        <f>K26+K35+K44+K52</f>
        <v>190566.01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145</v>
      </c>
    </row>
    <row r="4" spans="1:1" x14ac:dyDescent="0.25">
      <c r="A4" s="15" t="s">
        <v>8</v>
      </c>
    </row>
    <row r="5" spans="1:1" x14ac:dyDescent="0.25">
      <c r="A5" s="15" t="s">
        <v>146</v>
      </c>
    </row>
    <row r="7" spans="3:3" x14ac:dyDescent="0.25">
      <c r="C7" s="26" t="s">
        <v>147</v>
      </c>
    </row>
    <row r="8" spans="3:4" x14ac:dyDescent="0.25">
      <c r="C8" t="s">
        <v>148</v>
      </c>
      <c r="D8" s="21">
        <v>0.15</v>
      </c>
    </row>
    <row r="9" spans="3:4" x14ac:dyDescent="0.25">
      <c r="C9" t="s">
        <v>149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150</v>
      </c>
      <c r="D11" s="21">
        <v>0.15</v>
      </c>
    </row>
    <row r="15" spans="2:2" x14ac:dyDescent="0.25">
      <c r="B15" s="64" t="s">
        <v>445</v>
      </c>
    </row>
    <row r="16" spans="2:5" x14ac:dyDescent="0.25">
      <c r="B16" s="4" t="s">
        <v>152</v>
      </c>
      <c r="C16" s="4" t="s">
        <v>153</v>
      </c>
      <c r="D16" s="4" t="s">
        <v>154</v>
      </c>
      <c r="E16" s="4" t="s">
        <v>155</v>
      </c>
    </row>
    <row r="17" spans="2:5" x14ac:dyDescent="0.25">
      <c r="B17" s="49">
        <v>10</v>
      </c>
      <c r="C17" s="49">
        <v>34</v>
      </c>
      <c r="D17" s="65">
        <v>340</v>
      </c>
      <c r="E17">
        <v>1</v>
      </c>
    </row>
    <row r="19" ht="24" customHeight="1" spans="1:11" x14ac:dyDescent="0.25">
      <c r="A19" s="25" t="s">
        <v>35</v>
      </c>
      <c r="B19" s="25" t="s">
        <v>156</v>
      </c>
      <c r="C19" s="25" t="s">
        <v>157</v>
      </c>
      <c r="D19" s="25" t="s">
        <v>158</v>
      </c>
      <c r="E19" s="25" t="s">
        <v>159</v>
      </c>
      <c r="F19" s="25" t="s">
        <v>160</v>
      </c>
      <c r="G19" s="25" t="s">
        <v>161</v>
      </c>
      <c r="H19" s="25" t="s">
        <v>35</v>
      </c>
      <c r="I19" s="25" t="s">
        <v>29</v>
      </c>
      <c r="J19" s="25" t="s">
        <v>148</v>
      </c>
      <c r="K19" s="25" t="s">
        <v>38</v>
      </c>
    </row>
    <row r="20" spans="1:11" x14ac:dyDescent="0.25">
      <c r="A20" s="33"/>
      <c r="B20" s="33" t="s">
        <v>162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163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164</v>
      </c>
      <c r="C22" s="66">
        <v>3918.75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3918.75</v>
      </c>
      <c r="J22" s="35">
        <f>$D$8</f>
        <v>0.15</v>
      </c>
      <c r="K22" s="34">
        <f>I22/(1-J22)</f>
        <v>4610.29</v>
      </c>
    </row>
    <row r="23" spans="2:11" x14ac:dyDescent="0.25">
      <c r="B23" t="s">
        <v>165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166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166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3918.75</v>
      </c>
      <c r="J26" s="68"/>
      <c r="K26" s="69">
        <f>SUM(K20:K25)</f>
        <v>4610.29</v>
      </c>
    </row>
    <row r="28" ht="24" customHeight="1" spans="1:11" x14ac:dyDescent="0.25">
      <c r="A28" s="25" t="s">
        <v>35</v>
      </c>
      <c r="B28" s="25" t="s">
        <v>167</v>
      </c>
      <c r="C28" s="25" t="s">
        <v>157</v>
      </c>
      <c r="D28" s="25" t="s">
        <v>158</v>
      </c>
      <c r="E28" s="25" t="s">
        <v>159</v>
      </c>
      <c r="F28" s="25" t="s">
        <v>160</v>
      </c>
      <c r="G28" s="25" t="s">
        <v>161</v>
      </c>
      <c r="H28" s="25" t="s">
        <v>35</v>
      </c>
      <c r="I28" s="25" t="s">
        <v>29</v>
      </c>
      <c r="J28" s="25" t="s">
        <v>148</v>
      </c>
      <c r="K28" s="25" t="s">
        <v>38</v>
      </c>
    </row>
    <row r="29" spans="1:11" x14ac:dyDescent="0.25">
      <c r="A29" s="33"/>
      <c r="B29" s="33" t="s">
        <v>168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169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170</v>
      </c>
      <c r="C31" s="66">
        <v>16328.13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16328.13</v>
      </c>
      <c r="J31" s="35">
        <f>$D$8</f>
        <v>0.15</v>
      </c>
      <c r="K31" s="34">
        <f>I31/(1-J31)</f>
        <v>19209.56</v>
      </c>
    </row>
    <row r="32" spans="2:11" x14ac:dyDescent="0.25">
      <c r="B32" t="s">
        <v>171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172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173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37210.479999999996</v>
      </c>
      <c r="J35" s="68"/>
      <c r="K35" s="69">
        <f>SUM(K29:K34)</f>
        <v>43777.04</v>
      </c>
    </row>
    <row r="37" ht="24" customHeight="1" spans="1:11" x14ac:dyDescent="0.25">
      <c r="A37" s="25" t="s">
        <v>35</v>
      </c>
      <c r="B37" s="25" t="s">
        <v>174</v>
      </c>
      <c r="C37" s="25" t="s">
        <v>157</v>
      </c>
      <c r="D37" s="25" t="s">
        <v>158</v>
      </c>
      <c r="E37" s="25" t="s">
        <v>159</v>
      </c>
      <c r="F37" s="25" t="s">
        <v>160</v>
      </c>
      <c r="G37" s="25" t="s">
        <v>161</v>
      </c>
      <c r="H37" s="25" t="s">
        <v>35</v>
      </c>
      <c r="I37" s="25" t="s">
        <v>29</v>
      </c>
      <c r="J37" s="25" t="s">
        <v>148</v>
      </c>
      <c r="K37" s="25" t="s">
        <v>38</v>
      </c>
    </row>
    <row r="38" spans="1:11" x14ac:dyDescent="0.25">
      <c r="A38" s="33"/>
      <c r="B38" s="33" t="s">
        <v>175</v>
      </c>
      <c r="C38" s="66">
        <v>16328.13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16328.13</v>
      </c>
      <c r="J38" s="35">
        <f>$D$9</f>
        <v>0.15</v>
      </c>
      <c r="K38" s="34">
        <f>I38/(1-J38)</f>
        <v>19209.56</v>
      </c>
    </row>
    <row r="39" spans="2:11" x14ac:dyDescent="0.25">
      <c r="B39" t="s">
        <v>176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177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178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179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180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16328.13</v>
      </c>
      <c r="J44" s="68"/>
      <c r="K44" s="69">
        <f>SUM(K38:K43)</f>
        <v>19209.56</v>
      </c>
    </row>
    <row r="46" ht="24" customHeight="1" spans="1:11" x14ac:dyDescent="0.25">
      <c r="A46" s="25" t="s">
        <v>35</v>
      </c>
      <c r="B46" s="25" t="s">
        <v>181</v>
      </c>
      <c r="C46" s="25" t="s">
        <v>157</v>
      </c>
      <c r="D46" s="25" t="s">
        <v>158</v>
      </c>
      <c r="E46" s="25" t="s">
        <v>159</v>
      </c>
      <c r="F46" s="25" t="s">
        <v>160</v>
      </c>
      <c r="G46" s="25" t="s">
        <v>161</v>
      </c>
      <c r="H46" s="25" t="s">
        <v>35</v>
      </c>
      <c r="I46" s="25" t="s">
        <v>29</v>
      </c>
      <c r="J46" s="25" t="s">
        <v>148</v>
      </c>
      <c r="K46" s="25" t="s">
        <v>38</v>
      </c>
    </row>
    <row r="47" spans="1:11" x14ac:dyDescent="0.25">
      <c r="A47" s="33"/>
      <c r="B47" s="33" t="s">
        <v>182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183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184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185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186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187</v>
      </c>
      <c r="C54" s="28"/>
      <c r="D54" s="28"/>
      <c r="E54" s="28"/>
      <c r="F54" s="28"/>
      <c r="G54" s="28"/>
      <c r="H54" s="28"/>
      <c r="I54" s="30">
        <f>I26+I35+I44+I52</f>
        <v>165381.11</v>
      </c>
      <c r="J54" s="28"/>
      <c r="K54" s="30">
        <f>K26+K35+K44+K52</f>
        <v>190566.01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145</v>
      </c>
    </row>
    <row r="4" spans="1:1" x14ac:dyDescent="0.25">
      <c r="A4" s="15" t="s">
        <v>8</v>
      </c>
    </row>
    <row r="5" spans="1:1" x14ac:dyDescent="0.25">
      <c r="A5" s="15" t="s">
        <v>146</v>
      </c>
    </row>
    <row r="7" spans="3:3" x14ac:dyDescent="0.25">
      <c r="C7" s="26" t="s">
        <v>147</v>
      </c>
    </row>
    <row r="8" spans="3:4" x14ac:dyDescent="0.25">
      <c r="C8" t="s">
        <v>148</v>
      </c>
      <c r="D8" s="21">
        <v>0.15</v>
      </c>
    </row>
    <row r="9" spans="3:4" x14ac:dyDescent="0.25">
      <c r="C9" t="s">
        <v>149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150</v>
      </c>
      <c r="D11" s="21">
        <v>0.15</v>
      </c>
    </row>
    <row r="15" spans="2:2" x14ac:dyDescent="0.25">
      <c r="B15" s="64" t="s">
        <v>446</v>
      </c>
    </row>
    <row r="16" spans="2:5" x14ac:dyDescent="0.25">
      <c r="B16" s="4" t="s">
        <v>152</v>
      </c>
      <c r="C16" s="4" t="s">
        <v>153</v>
      </c>
      <c r="D16" s="4" t="s">
        <v>154</v>
      </c>
      <c r="E16" s="4" t="s">
        <v>155</v>
      </c>
    </row>
    <row r="17" spans="2:5" x14ac:dyDescent="0.25">
      <c r="B17" s="49">
        <v>10</v>
      </c>
      <c r="C17" s="49">
        <v>36</v>
      </c>
      <c r="D17" s="65">
        <v>360</v>
      </c>
      <c r="E17">
        <v>1</v>
      </c>
    </row>
    <row r="19" ht="24" customHeight="1" spans="1:11" x14ac:dyDescent="0.25">
      <c r="A19" s="25" t="s">
        <v>35</v>
      </c>
      <c r="B19" s="25" t="s">
        <v>156</v>
      </c>
      <c r="C19" s="25" t="s">
        <v>157</v>
      </c>
      <c r="D19" s="25" t="s">
        <v>158</v>
      </c>
      <c r="E19" s="25" t="s">
        <v>159</v>
      </c>
      <c r="F19" s="25" t="s">
        <v>160</v>
      </c>
      <c r="G19" s="25" t="s">
        <v>161</v>
      </c>
      <c r="H19" s="25" t="s">
        <v>35</v>
      </c>
      <c r="I19" s="25" t="s">
        <v>29</v>
      </c>
      <c r="J19" s="25" t="s">
        <v>148</v>
      </c>
      <c r="K19" s="25" t="s">
        <v>38</v>
      </c>
    </row>
    <row r="20" spans="1:11" x14ac:dyDescent="0.25">
      <c r="A20" s="33"/>
      <c r="B20" s="33" t="s">
        <v>162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163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164</v>
      </c>
      <c r="C22" s="66">
        <v>4151.25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4151.25</v>
      </c>
      <c r="J22" s="35">
        <f>$D$8</f>
        <v>0.15</v>
      </c>
      <c r="K22" s="34">
        <f>I22/(1-J22)</f>
        <v>4883.82</v>
      </c>
    </row>
    <row r="23" spans="2:11" x14ac:dyDescent="0.25">
      <c r="B23" t="s">
        <v>165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166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166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4151.25</v>
      </c>
      <c r="J26" s="68"/>
      <c r="K26" s="69">
        <f>SUM(K20:K25)</f>
        <v>4883.82</v>
      </c>
    </row>
    <row r="28" ht="24" customHeight="1" spans="1:11" x14ac:dyDescent="0.25">
      <c r="A28" s="25" t="s">
        <v>35</v>
      </c>
      <c r="B28" s="25" t="s">
        <v>167</v>
      </c>
      <c r="C28" s="25" t="s">
        <v>157</v>
      </c>
      <c r="D28" s="25" t="s">
        <v>158</v>
      </c>
      <c r="E28" s="25" t="s">
        <v>159</v>
      </c>
      <c r="F28" s="25" t="s">
        <v>160</v>
      </c>
      <c r="G28" s="25" t="s">
        <v>161</v>
      </c>
      <c r="H28" s="25" t="s">
        <v>35</v>
      </c>
      <c r="I28" s="25" t="s">
        <v>29</v>
      </c>
      <c r="J28" s="25" t="s">
        <v>148</v>
      </c>
      <c r="K28" s="25" t="s">
        <v>38</v>
      </c>
    </row>
    <row r="29" spans="1:11" x14ac:dyDescent="0.25">
      <c r="A29" s="33"/>
      <c r="B29" s="33" t="s">
        <v>168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169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170</v>
      </c>
      <c r="C31" s="66">
        <v>17296.88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17296.88</v>
      </c>
      <c r="J31" s="35">
        <f>$D$8</f>
        <v>0.15</v>
      </c>
      <c r="K31" s="34">
        <f>I31/(1-J31)</f>
        <v>20349.27</v>
      </c>
    </row>
    <row r="32" spans="2:11" x14ac:dyDescent="0.25">
      <c r="B32" t="s">
        <v>171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172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173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38179.23</v>
      </c>
      <c r="J35" s="68"/>
      <c r="K35" s="69">
        <f>SUM(K29:K34)</f>
        <v>44916.74</v>
      </c>
    </row>
    <row r="37" ht="24" customHeight="1" spans="1:11" x14ac:dyDescent="0.25">
      <c r="A37" s="25" t="s">
        <v>35</v>
      </c>
      <c r="B37" s="25" t="s">
        <v>174</v>
      </c>
      <c r="C37" s="25" t="s">
        <v>157</v>
      </c>
      <c r="D37" s="25" t="s">
        <v>158</v>
      </c>
      <c r="E37" s="25" t="s">
        <v>159</v>
      </c>
      <c r="F37" s="25" t="s">
        <v>160</v>
      </c>
      <c r="G37" s="25" t="s">
        <v>161</v>
      </c>
      <c r="H37" s="25" t="s">
        <v>35</v>
      </c>
      <c r="I37" s="25" t="s">
        <v>29</v>
      </c>
      <c r="J37" s="25" t="s">
        <v>148</v>
      </c>
      <c r="K37" s="25" t="s">
        <v>38</v>
      </c>
    </row>
    <row r="38" spans="1:11" x14ac:dyDescent="0.25">
      <c r="A38" s="33"/>
      <c r="B38" s="33" t="s">
        <v>175</v>
      </c>
      <c r="C38" s="66">
        <v>17296.88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17296.88</v>
      </c>
      <c r="J38" s="35">
        <f>$D$9</f>
        <v>0.15</v>
      </c>
      <c r="K38" s="34">
        <f>I38/(1-J38)</f>
        <v>20349.27</v>
      </c>
    </row>
    <row r="39" spans="2:11" x14ac:dyDescent="0.25">
      <c r="B39" t="s">
        <v>176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177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178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179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180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17296.88</v>
      </c>
      <c r="J44" s="68"/>
      <c r="K44" s="69">
        <f>SUM(K38:K43)</f>
        <v>20349.27</v>
      </c>
    </row>
    <row r="46" ht="24" customHeight="1" spans="1:11" x14ac:dyDescent="0.25">
      <c r="A46" s="25" t="s">
        <v>35</v>
      </c>
      <c r="B46" s="25" t="s">
        <v>181</v>
      </c>
      <c r="C46" s="25" t="s">
        <v>157</v>
      </c>
      <c r="D46" s="25" t="s">
        <v>158</v>
      </c>
      <c r="E46" s="25" t="s">
        <v>159</v>
      </c>
      <c r="F46" s="25" t="s">
        <v>160</v>
      </c>
      <c r="G46" s="25" t="s">
        <v>161</v>
      </c>
      <c r="H46" s="25" t="s">
        <v>35</v>
      </c>
      <c r="I46" s="25" t="s">
        <v>29</v>
      </c>
      <c r="J46" s="25" t="s">
        <v>148</v>
      </c>
      <c r="K46" s="25" t="s">
        <v>38</v>
      </c>
    </row>
    <row r="47" spans="1:11" x14ac:dyDescent="0.25">
      <c r="A47" s="33"/>
      <c r="B47" s="33" t="s">
        <v>182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183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184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185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186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187</v>
      </c>
      <c r="C54" s="28"/>
      <c r="D54" s="28"/>
      <c r="E54" s="28"/>
      <c r="F54" s="28"/>
      <c r="G54" s="28"/>
      <c r="H54" s="28"/>
      <c r="I54" s="30">
        <f>I26+I35+I44+I52</f>
        <v>172890.4</v>
      </c>
      <c r="J54" s="28"/>
      <c r="K54" s="30">
        <f>K26+K35+K44+K52</f>
        <v>199165.18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145</v>
      </c>
    </row>
    <row r="4" spans="1:1" x14ac:dyDescent="0.25">
      <c r="A4" s="15" t="s">
        <v>8</v>
      </c>
    </row>
    <row r="5" spans="1:1" x14ac:dyDescent="0.25">
      <c r="A5" s="15" t="s">
        <v>146</v>
      </c>
    </row>
    <row r="7" spans="3:3" x14ac:dyDescent="0.25">
      <c r="C7" s="26" t="s">
        <v>147</v>
      </c>
    </row>
    <row r="8" spans="3:4" x14ac:dyDescent="0.25">
      <c r="C8" t="s">
        <v>148</v>
      </c>
      <c r="D8" s="21">
        <v>0.15</v>
      </c>
    </row>
    <row r="9" spans="3:4" x14ac:dyDescent="0.25">
      <c r="C9" t="s">
        <v>149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150</v>
      </c>
      <c r="D11" s="21">
        <v>0.15</v>
      </c>
    </row>
    <row r="15" spans="2:2" x14ac:dyDescent="0.25">
      <c r="B15" s="64" t="s">
        <v>447</v>
      </c>
    </row>
    <row r="16" spans="2:5" x14ac:dyDescent="0.25">
      <c r="B16" s="4" t="s">
        <v>152</v>
      </c>
      <c r="C16" s="4" t="s">
        <v>153</v>
      </c>
      <c r="D16" s="4" t="s">
        <v>154</v>
      </c>
      <c r="E16" s="4" t="s">
        <v>155</v>
      </c>
    </row>
    <row r="17" spans="2:5" x14ac:dyDescent="0.25">
      <c r="B17" s="49">
        <v>10</v>
      </c>
      <c r="C17" s="49">
        <v>34</v>
      </c>
      <c r="D17" s="65">
        <v>340</v>
      </c>
      <c r="E17">
        <v>1</v>
      </c>
    </row>
    <row r="19" ht="24" customHeight="1" spans="1:11" x14ac:dyDescent="0.25">
      <c r="A19" s="25" t="s">
        <v>35</v>
      </c>
      <c r="B19" s="25" t="s">
        <v>156</v>
      </c>
      <c r="C19" s="25" t="s">
        <v>157</v>
      </c>
      <c r="D19" s="25" t="s">
        <v>158</v>
      </c>
      <c r="E19" s="25" t="s">
        <v>159</v>
      </c>
      <c r="F19" s="25" t="s">
        <v>160</v>
      </c>
      <c r="G19" s="25" t="s">
        <v>161</v>
      </c>
      <c r="H19" s="25" t="s">
        <v>35</v>
      </c>
      <c r="I19" s="25" t="s">
        <v>29</v>
      </c>
      <c r="J19" s="25" t="s">
        <v>148</v>
      </c>
      <c r="K19" s="25" t="s">
        <v>38</v>
      </c>
    </row>
    <row r="20" spans="1:11" x14ac:dyDescent="0.25">
      <c r="A20" s="33"/>
      <c r="B20" s="33" t="s">
        <v>162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163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164</v>
      </c>
      <c r="C22" s="66">
        <v>3918.75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3918.75</v>
      </c>
      <c r="J22" s="35">
        <f>$D$8</f>
        <v>0.15</v>
      </c>
      <c r="K22" s="34">
        <f>I22/(1-J22)</f>
        <v>4610.29</v>
      </c>
    </row>
    <row r="23" spans="2:11" x14ac:dyDescent="0.25">
      <c r="B23" t="s">
        <v>165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166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166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3918.75</v>
      </c>
      <c r="J26" s="68"/>
      <c r="K26" s="69">
        <f>SUM(K20:K25)</f>
        <v>4610.29</v>
      </c>
    </row>
    <row r="28" ht="24" customHeight="1" spans="1:11" x14ac:dyDescent="0.25">
      <c r="A28" s="25" t="s">
        <v>35</v>
      </c>
      <c r="B28" s="25" t="s">
        <v>167</v>
      </c>
      <c r="C28" s="25" t="s">
        <v>157</v>
      </c>
      <c r="D28" s="25" t="s">
        <v>158</v>
      </c>
      <c r="E28" s="25" t="s">
        <v>159</v>
      </c>
      <c r="F28" s="25" t="s">
        <v>160</v>
      </c>
      <c r="G28" s="25" t="s">
        <v>161</v>
      </c>
      <c r="H28" s="25" t="s">
        <v>35</v>
      </c>
      <c r="I28" s="25" t="s">
        <v>29</v>
      </c>
      <c r="J28" s="25" t="s">
        <v>148</v>
      </c>
      <c r="K28" s="25" t="s">
        <v>38</v>
      </c>
    </row>
    <row r="29" spans="1:11" x14ac:dyDescent="0.25">
      <c r="A29" s="33"/>
      <c r="B29" s="33" t="s">
        <v>168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169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170</v>
      </c>
      <c r="C31" s="66">
        <v>16328.13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16328.13</v>
      </c>
      <c r="J31" s="35">
        <f>$D$8</f>
        <v>0.15</v>
      </c>
      <c r="K31" s="34">
        <f>I31/(1-J31)</f>
        <v>19209.56</v>
      </c>
    </row>
    <row r="32" spans="2:11" x14ac:dyDescent="0.25">
      <c r="B32" t="s">
        <v>171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172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173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37210.479999999996</v>
      </c>
      <c r="J35" s="68"/>
      <c r="K35" s="69">
        <f>SUM(K29:K34)</f>
        <v>43777.04</v>
      </c>
    </row>
    <row r="37" ht="24" customHeight="1" spans="1:11" x14ac:dyDescent="0.25">
      <c r="A37" s="25" t="s">
        <v>35</v>
      </c>
      <c r="B37" s="25" t="s">
        <v>174</v>
      </c>
      <c r="C37" s="25" t="s">
        <v>157</v>
      </c>
      <c r="D37" s="25" t="s">
        <v>158</v>
      </c>
      <c r="E37" s="25" t="s">
        <v>159</v>
      </c>
      <c r="F37" s="25" t="s">
        <v>160</v>
      </c>
      <c r="G37" s="25" t="s">
        <v>161</v>
      </c>
      <c r="H37" s="25" t="s">
        <v>35</v>
      </c>
      <c r="I37" s="25" t="s">
        <v>29</v>
      </c>
      <c r="J37" s="25" t="s">
        <v>148</v>
      </c>
      <c r="K37" s="25" t="s">
        <v>38</v>
      </c>
    </row>
    <row r="38" spans="1:11" x14ac:dyDescent="0.25">
      <c r="A38" s="33"/>
      <c r="B38" s="33" t="s">
        <v>175</v>
      </c>
      <c r="C38" s="66">
        <v>16328.13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16328.13</v>
      </c>
      <c r="J38" s="35">
        <f>$D$9</f>
        <v>0.15</v>
      </c>
      <c r="K38" s="34">
        <f>I38/(1-J38)</f>
        <v>19209.56</v>
      </c>
    </row>
    <row r="39" spans="2:11" x14ac:dyDescent="0.25">
      <c r="B39" t="s">
        <v>176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177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178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179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180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16328.13</v>
      </c>
      <c r="J44" s="68"/>
      <c r="K44" s="69">
        <f>SUM(K38:K43)</f>
        <v>19209.56</v>
      </c>
    </row>
    <row r="46" ht="24" customHeight="1" spans="1:11" x14ac:dyDescent="0.25">
      <c r="A46" s="25" t="s">
        <v>35</v>
      </c>
      <c r="B46" s="25" t="s">
        <v>181</v>
      </c>
      <c r="C46" s="25" t="s">
        <v>157</v>
      </c>
      <c r="D46" s="25" t="s">
        <v>158</v>
      </c>
      <c r="E46" s="25" t="s">
        <v>159</v>
      </c>
      <c r="F46" s="25" t="s">
        <v>160</v>
      </c>
      <c r="G46" s="25" t="s">
        <v>161</v>
      </c>
      <c r="H46" s="25" t="s">
        <v>35</v>
      </c>
      <c r="I46" s="25" t="s">
        <v>29</v>
      </c>
      <c r="J46" s="25" t="s">
        <v>148</v>
      </c>
      <c r="K46" s="25" t="s">
        <v>38</v>
      </c>
    </row>
    <row r="47" spans="1:11" x14ac:dyDescent="0.25">
      <c r="A47" s="33"/>
      <c r="B47" s="33" t="s">
        <v>182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183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184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185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186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187</v>
      </c>
      <c r="C54" s="28"/>
      <c r="D54" s="28"/>
      <c r="E54" s="28"/>
      <c r="F54" s="28"/>
      <c r="G54" s="28"/>
      <c r="H54" s="28"/>
      <c r="I54" s="30">
        <f>I26+I35+I44+I52</f>
        <v>165381.11</v>
      </c>
      <c r="J54" s="28"/>
      <c r="K54" s="30">
        <f>K26+K35+K44+K52</f>
        <v>190566.01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145</v>
      </c>
    </row>
    <row r="4" spans="1:1" x14ac:dyDescent="0.25">
      <c r="A4" s="15" t="s">
        <v>8</v>
      </c>
    </row>
    <row r="5" spans="1:1" x14ac:dyDescent="0.25">
      <c r="A5" s="15" t="s">
        <v>146</v>
      </c>
    </row>
    <row r="7" spans="3:3" x14ac:dyDescent="0.25">
      <c r="C7" s="26" t="s">
        <v>147</v>
      </c>
    </row>
    <row r="8" spans="3:4" x14ac:dyDescent="0.25">
      <c r="C8" t="s">
        <v>148</v>
      </c>
      <c r="D8" s="21">
        <v>0.15</v>
      </c>
    </row>
    <row r="9" spans="3:4" x14ac:dyDescent="0.25">
      <c r="C9" t="s">
        <v>149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150</v>
      </c>
      <c r="D11" s="21">
        <v>0.15</v>
      </c>
    </row>
    <row r="15" spans="2:2" x14ac:dyDescent="0.25">
      <c r="B15" s="64" t="s">
        <v>447</v>
      </c>
    </row>
    <row r="16" spans="2:5" x14ac:dyDescent="0.25">
      <c r="B16" s="4" t="s">
        <v>152</v>
      </c>
      <c r="C16" s="4" t="s">
        <v>153</v>
      </c>
      <c r="D16" s="4" t="s">
        <v>154</v>
      </c>
      <c r="E16" s="4" t="s">
        <v>155</v>
      </c>
    </row>
    <row r="17" spans="2:5" x14ac:dyDescent="0.25">
      <c r="B17" s="49">
        <v>10</v>
      </c>
      <c r="C17" s="49">
        <v>34</v>
      </c>
      <c r="D17" s="65">
        <v>340</v>
      </c>
      <c r="E17">
        <v>1</v>
      </c>
    </row>
    <row r="19" ht="24" customHeight="1" spans="1:11" x14ac:dyDescent="0.25">
      <c r="A19" s="25" t="s">
        <v>35</v>
      </c>
      <c r="B19" s="25" t="s">
        <v>156</v>
      </c>
      <c r="C19" s="25" t="s">
        <v>157</v>
      </c>
      <c r="D19" s="25" t="s">
        <v>158</v>
      </c>
      <c r="E19" s="25" t="s">
        <v>159</v>
      </c>
      <c r="F19" s="25" t="s">
        <v>160</v>
      </c>
      <c r="G19" s="25" t="s">
        <v>161</v>
      </c>
      <c r="H19" s="25" t="s">
        <v>35</v>
      </c>
      <c r="I19" s="25" t="s">
        <v>29</v>
      </c>
      <c r="J19" s="25" t="s">
        <v>148</v>
      </c>
      <c r="K19" s="25" t="s">
        <v>38</v>
      </c>
    </row>
    <row r="20" spans="1:11" x14ac:dyDescent="0.25">
      <c r="A20" s="33"/>
      <c r="B20" s="33" t="s">
        <v>162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163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164</v>
      </c>
      <c r="C22" s="66">
        <v>3918.75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3918.75</v>
      </c>
      <c r="J22" s="35">
        <f>$D$8</f>
        <v>0.15</v>
      </c>
      <c r="K22" s="34">
        <f>I22/(1-J22)</f>
        <v>4610.29</v>
      </c>
    </row>
    <row r="23" spans="2:11" x14ac:dyDescent="0.25">
      <c r="B23" t="s">
        <v>165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166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166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3918.75</v>
      </c>
      <c r="J26" s="68"/>
      <c r="K26" s="69">
        <f>SUM(K20:K25)</f>
        <v>4610.29</v>
      </c>
    </row>
    <row r="28" ht="24" customHeight="1" spans="1:11" x14ac:dyDescent="0.25">
      <c r="A28" s="25" t="s">
        <v>35</v>
      </c>
      <c r="B28" s="25" t="s">
        <v>167</v>
      </c>
      <c r="C28" s="25" t="s">
        <v>157</v>
      </c>
      <c r="D28" s="25" t="s">
        <v>158</v>
      </c>
      <c r="E28" s="25" t="s">
        <v>159</v>
      </c>
      <c r="F28" s="25" t="s">
        <v>160</v>
      </c>
      <c r="G28" s="25" t="s">
        <v>161</v>
      </c>
      <c r="H28" s="25" t="s">
        <v>35</v>
      </c>
      <c r="I28" s="25" t="s">
        <v>29</v>
      </c>
      <c r="J28" s="25" t="s">
        <v>148</v>
      </c>
      <c r="K28" s="25" t="s">
        <v>38</v>
      </c>
    </row>
    <row r="29" spans="1:11" x14ac:dyDescent="0.25">
      <c r="A29" s="33"/>
      <c r="B29" s="33" t="s">
        <v>168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169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170</v>
      </c>
      <c r="C31" s="66">
        <v>16328.13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16328.13</v>
      </c>
      <c r="J31" s="35">
        <f>$D$8</f>
        <v>0.15</v>
      </c>
      <c r="K31" s="34">
        <f>I31/(1-J31)</f>
        <v>19209.56</v>
      </c>
    </row>
    <row r="32" spans="2:11" x14ac:dyDescent="0.25">
      <c r="B32" t="s">
        <v>171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172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173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37210.479999999996</v>
      </c>
      <c r="J35" s="68"/>
      <c r="K35" s="69">
        <f>SUM(K29:K34)</f>
        <v>43777.04</v>
      </c>
    </row>
    <row r="37" ht="24" customHeight="1" spans="1:11" x14ac:dyDescent="0.25">
      <c r="A37" s="25" t="s">
        <v>35</v>
      </c>
      <c r="B37" s="25" t="s">
        <v>174</v>
      </c>
      <c r="C37" s="25" t="s">
        <v>157</v>
      </c>
      <c r="D37" s="25" t="s">
        <v>158</v>
      </c>
      <c r="E37" s="25" t="s">
        <v>159</v>
      </c>
      <c r="F37" s="25" t="s">
        <v>160</v>
      </c>
      <c r="G37" s="25" t="s">
        <v>161</v>
      </c>
      <c r="H37" s="25" t="s">
        <v>35</v>
      </c>
      <c r="I37" s="25" t="s">
        <v>29</v>
      </c>
      <c r="J37" s="25" t="s">
        <v>148</v>
      </c>
      <c r="K37" s="25" t="s">
        <v>38</v>
      </c>
    </row>
    <row r="38" spans="1:11" x14ac:dyDescent="0.25">
      <c r="A38" s="33"/>
      <c r="B38" s="33" t="s">
        <v>175</v>
      </c>
      <c r="C38" s="66">
        <v>16328.13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16328.13</v>
      </c>
      <c r="J38" s="35">
        <f>$D$9</f>
        <v>0.15</v>
      </c>
      <c r="K38" s="34">
        <f>I38/(1-J38)</f>
        <v>19209.56</v>
      </c>
    </row>
    <row r="39" spans="2:11" x14ac:dyDescent="0.25">
      <c r="B39" t="s">
        <v>176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177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178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179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180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16328.13</v>
      </c>
      <c r="J44" s="68"/>
      <c r="K44" s="69">
        <f>SUM(K38:K43)</f>
        <v>19209.56</v>
      </c>
    </row>
    <row r="46" ht="24" customHeight="1" spans="1:11" x14ac:dyDescent="0.25">
      <c r="A46" s="25" t="s">
        <v>35</v>
      </c>
      <c r="B46" s="25" t="s">
        <v>181</v>
      </c>
      <c r="C46" s="25" t="s">
        <v>157</v>
      </c>
      <c r="D46" s="25" t="s">
        <v>158</v>
      </c>
      <c r="E46" s="25" t="s">
        <v>159</v>
      </c>
      <c r="F46" s="25" t="s">
        <v>160</v>
      </c>
      <c r="G46" s="25" t="s">
        <v>161</v>
      </c>
      <c r="H46" s="25" t="s">
        <v>35</v>
      </c>
      <c r="I46" s="25" t="s">
        <v>29</v>
      </c>
      <c r="J46" s="25" t="s">
        <v>148</v>
      </c>
      <c r="K46" s="25" t="s">
        <v>38</v>
      </c>
    </row>
    <row r="47" spans="1:11" x14ac:dyDescent="0.25">
      <c r="A47" s="33"/>
      <c r="B47" s="33" t="s">
        <v>182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183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184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185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186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187</v>
      </c>
      <c r="C54" s="28"/>
      <c r="D54" s="28"/>
      <c r="E54" s="28"/>
      <c r="F54" s="28"/>
      <c r="G54" s="28"/>
      <c r="H54" s="28"/>
      <c r="I54" s="30">
        <f>I26+I35+I44+I52</f>
        <v>165381.11</v>
      </c>
      <c r="J54" s="28"/>
      <c r="K54" s="30">
        <f>K26+K35+K44+K52</f>
        <v>190566.01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145</v>
      </c>
    </row>
    <row r="4" spans="1:1" x14ac:dyDescent="0.25">
      <c r="A4" s="15" t="s">
        <v>8</v>
      </c>
    </row>
    <row r="5" spans="1:1" x14ac:dyDescent="0.25">
      <c r="A5" s="15" t="s">
        <v>146</v>
      </c>
    </row>
    <row r="7" spans="3:3" x14ac:dyDescent="0.25">
      <c r="C7" s="26" t="s">
        <v>147</v>
      </c>
    </row>
    <row r="8" spans="3:4" x14ac:dyDescent="0.25">
      <c r="C8" t="s">
        <v>148</v>
      </c>
      <c r="D8" s="21">
        <v>0.15</v>
      </c>
    </row>
    <row r="9" spans="3:4" x14ac:dyDescent="0.25">
      <c r="C9" t="s">
        <v>149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150</v>
      </c>
      <c r="D11" s="21">
        <v>0.15</v>
      </c>
    </row>
    <row r="15" spans="2:2" x14ac:dyDescent="0.25">
      <c r="B15" s="64" t="s">
        <v>195</v>
      </c>
    </row>
    <row r="16" spans="2:5" x14ac:dyDescent="0.25">
      <c r="B16" s="4" t="s">
        <v>152</v>
      </c>
      <c r="C16" s="4" t="s">
        <v>153</v>
      </c>
      <c r="D16" s="4" t="s">
        <v>154</v>
      </c>
      <c r="E16" s="4" t="s">
        <v>155</v>
      </c>
    </row>
    <row r="17" spans="2:5" x14ac:dyDescent="0.25">
      <c r="B17" s="49">
        <v>8</v>
      </c>
      <c r="C17" s="49">
        <v>28</v>
      </c>
      <c r="D17" s="65">
        <v>224</v>
      </c>
      <c r="E17">
        <v>1</v>
      </c>
    </row>
    <row r="19" ht="24" customHeight="1" spans="1:11" x14ac:dyDescent="0.25">
      <c r="A19" s="25" t="s">
        <v>35</v>
      </c>
      <c r="B19" s="25" t="s">
        <v>156</v>
      </c>
      <c r="C19" s="25" t="s">
        <v>157</v>
      </c>
      <c r="D19" s="25" t="s">
        <v>158</v>
      </c>
      <c r="E19" s="25" t="s">
        <v>159</v>
      </c>
      <c r="F19" s="25" t="s">
        <v>160</v>
      </c>
      <c r="G19" s="25" t="s">
        <v>161</v>
      </c>
      <c r="H19" s="25" t="s">
        <v>35</v>
      </c>
      <c r="I19" s="25" t="s">
        <v>29</v>
      </c>
      <c r="J19" s="25" t="s">
        <v>148</v>
      </c>
      <c r="K19" s="25" t="s">
        <v>38</v>
      </c>
    </row>
    <row r="20" spans="1:11" x14ac:dyDescent="0.25">
      <c r="A20" s="33"/>
      <c r="B20" s="33" t="s">
        <v>162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163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164</v>
      </c>
      <c r="C22" s="66">
        <v>2580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2580</v>
      </c>
      <c r="J22" s="35">
        <f>$D$8</f>
        <v>0.15</v>
      </c>
      <c r="K22" s="34">
        <f>I22/(1-J22)</f>
        <v>3035.29</v>
      </c>
    </row>
    <row r="23" spans="2:11" x14ac:dyDescent="0.25">
      <c r="B23" t="s">
        <v>165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166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166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2580</v>
      </c>
      <c r="J26" s="68"/>
      <c r="K26" s="69">
        <f>SUM(K20:K25)</f>
        <v>3035.29</v>
      </c>
    </row>
    <row r="28" ht="24" customHeight="1" spans="1:11" x14ac:dyDescent="0.25">
      <c r="A28" s="25" t="s">
        <v>35</v>
      </c>
      <c r="B28" s="25" t="s">
        <v>167</v>
      </c>
      <c r="C28" s="25" t="s">
        <v>157</v>
      </c>
      <c r="D28" s="25" t="s">
        <v>158</v>
      </c>
      <c r="E28" s="25" t="s">
        <v>159</v>
      </c>
      <c r="F28" s="25" t="s">
        <v>160</v>
      </c>
      <c r="G28" s="25" t="s">
        <v>161</v>
      </c>
      <c r="H28" s="25" t="s">
        <v>35</v>
      </c>
      <c r="I28" s="25" t="s">
        <v>29</v>
      </c>
      <c r="J28" s="25" t="s">
        <v>148</v>
      </c>
      <c r="K28" s="25" t="s">
        <v>38</v>
      </c>
    </row>
    <row r="29" spans="1:11" x14ac:dyDescent="0.25">
      <c r="A29" s="33"/>
      <c r="B29" s="33" t="s">
        <v>168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169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170</v>
      </c>
      <c r="C31" s="66">
        <v>10750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10750</v>
      </c>
      <c r="J31" s="35">
        <f>$D$8</f>
        <v>0.15</v>
      </c>
      <c r="K31" s="34">
        <f>I31/(1-J31)</f>
        <v>12647.06</v>
      </c>
    </row>
    <row r="32" spans="2:11" x14ac:dyDescent="0.25">
      <c r="B32" t="s">
        <v>171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172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173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31632.35</v>
      </c>
      <c r="J35" s="68"/>
      <c r="K35" s="69">
        <f>SUM(K29:K34)</f>
        <v>37214.53</v>
      </c>
    </row>
    <row r="37" ht="24" customHeight="1" spans="1:11" x14ac:dyDescent="0.25">
      <c r="A37" s="25" t="s">
        <v>35</v>
      </c>
      <c r="B37" s="25" t="s">
        <v>174</v>
      </c>
      <c r="C37" s="25" t="s">
        <v>157</v>
      </c>
      <c r="D37" s="25" t="s">
        <v>158</v>
      </c>
      <c r="E37" s="25" t="s">
        <v>159</v>
      </c>
      <c r="F37" s="25" t="s">
        <v>160</v>
      </c>
      <c r="G37" s="25" t="s">
        <v>161</v>
      </c>
      <c r="H37" s="25" t="s">
        <v>35</v>
      </c>
      <c r="I37" s="25" t="s">
        <v>29</v>
      </c>
      <c r="J37" s="25" t="s">
        <v>148</v>
      </c>
      <c r="K37" s="25" t="s">
        <v>38</v>
      </c>
    </row>
    <row r="38" spans="1:11" x14ac:dyDescent="0.25">
      <c r="A38" s="33"/>
      <c r="B38" s="33" t="s">
        <v>175</v>
      </c>
      <c r="C38" s="66">
        <v>10750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10750</v>
      </c>
      <c r="J38" s="35">
        <f>$D$9</f>
        <v>0.15</v>
      </c>
      <c r="K38" s="34">
        <f>I38/(1-J38)</f>
        <v>12647.06</v>
      </c>
    </row>
    <row r="39" spans="2:11" x14ac:dyDescent="0.25">
      <c r="B39" t="s">
        <v>176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177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178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179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180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10750</v>
      </c>
      <c r="J44" s="68"/>
      <c r="K44" s="69">
        <f>SUM(K38:K43)</f>
        <v>12647.06</v>
      </c>
    </row>
    <row r="46" ht="24" customHeight="1" spans="1:11" x14ac:dyDescent="0.25">
      <c r="A46" s="25" t="s">
        <v>35</v>
      </c>
      <c r="B46" s="25" t="s">
        <v>181</v>
      </c>
      <c r="C46" s="25" t="s">
        <v>157</v>
      </c>
      <c r="D46" s="25" t="s">
        <v>158</v>
      </c>
      <c r="E46" s="25" t="s">
        <v>159</v>
      </c>
      <c r="F46" s="25" t="s">
        <v>160</v>
      </c>
      <c r="G46" s="25" t="s">
        <v>161</v>
      </c>
      <c r="H46" s="25" t="s">
        <v>35</v>
      </c>
      <c r="I46" s="25" t="s">
        <v>29</v>
      </c>
      <c r="J46" s="25" t="s">
        <v>148</v>
      </c>
      <c r="K46" s="25" t="s">
        <v>38</v>
      </c>
    </row>
    <row r="47" spans="1:11" x14ac:dyDescent="0.25">
      <c r="A47" s="33"/>
      <c r="B47" s="33" t="s">
        <v>182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183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184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185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186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187</v>
      </c>
      <c r="C54" s="28"/>
      <c r="D54" s="28"/>
      <c r="E54" s="28"/>
      <c r="F54" s="28"/>
      <c r="G54" s="28"/>
      <c r="H54" s="28"/>
      <c r="I54" s="30">
        <f>I26+I35+I44+I52</f>
        <v>109918.24</v>
      </c>
      <c r="J54" s="28"/>
      <c r="K54" s="30">
        <f>K26+K35+K44+K52</f>
        <v>126680.28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145</v>
      </c>
    </row>
    <row r="4" spans="1:1" x14ac:dyDescent="0.25">
      <c r="A4" s="15" t="s">
        <v>8</v>
      </c>
    </row>
    <row r="5" spans="1:1" x14ac:dyDescent="0.25">
      <c r="A5" s="15" t="s">
        <v>146</v>
      </c>
    </row>
    <row r="7" spans="3:3" x14ac:dyDescent="0.25">
      <c r="C7" s="26" t="s">
        <v>147</v>
      </c>
    </row>
    <row r="8" spans="3:4" x14ac:dyDescent="0.25">
      <c r="C8" t="s">
        <v>148</v>
      </c>
      <c r="D8" s="21">
        <v>0.15</v>
      </c>
    </row>
    <row r="9" spans="3:4" x14ac:dyDescent="0.25">
      <c r="C9" t="s">
        <v>149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150</v>
      </c>
      <c r="D11" s="21">
        <v>0.15</v>
      </c>
    </row>
    <row r="15" spans="2:2" x14ac:dyDescent="0.25">
      <c r="B15" s="64" t="s">
        <v>196</v>
      </c>
    </row>
    <row r="16" spans="2:5" x14ac:dyDescent="0.25">
      <c r="B16" s="4" t="s">
        <v>152</v>
      </c>
      <c r="C16" s="4" t="s">
        <v>153</v>
      </c>
      <c r="D16" s="4" t="s">
        <v>154</v>
      </c>
      <c r="E16" s="4" t="s">
        <v>155</v>
      </c>
    </row>
    <row r="17" spans="2:5" x14ac:dyDescent="0.25">
      <c r="B17" s="49">
        <v>4</v>
      </c>
      <c r="C17" s="49">
        <v>6</v>
      </c>
      <c r="D17" s="65">
        <v>24</v>
      </c>
      <c r="E17">
        <v>1</v>
      </c>
    </row>
    <row r="19" ht="24" customHeight="1" spans="1:11" x14ac:dyDescent="0.25">
      <c r="A19" s="25" t="s">
        <v>35</v>
      </c>
      <c r="B19" s="25" t="s">
        <v>156</v>
      </c>
      <c r="C19" s="25" t="s">
        <v>157</v>
      </c>
      <c r="D19" s="25" t="s">
        <v>158</v>
      </c>
      <c r="E19" s="25" t="s">
        <v>159</v>
      </c>
      <c r="F19" s="25" t="s">
        <v>160</v>
      </c>
      <c r="G19" s="25" t="s">
        <v>161</v>
      </c>
      <c r="H19" s="25" t="s">
        <v>35</v>
      </c>
      <c r="I19" s="25" t="s">
        <v>29</v>
      </c>
      <c r="J19" s="25" t="s">
        <v>148</v>
      </c>
      <c r="K19" s="25" t="s">
        <v>38</v>
      </c>
    </row>
    <row r="20" spans="1:11" x14ac:dyDescent="0.25">
      <c r="A20" s="33"/>
      <c r="B20" s="33" t="s">
        <v>162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163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164</v>
      </c>
      <c r="C22" s="66">
        <v>277.5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277.5</v>
      </c>
      <c r="J22" s="35">
        <f>$D$8</f>
        <v>0.15</v>
      </c>
      <c r="K22" s="34">
        <f>I22/(1-J22)</f>
        <v>326.47</v>
      </c>
    </row>
    <row r="23" spans="2:11" x14ac:dyDescent="0.25">
      <c r="B23" t="s">
        <v>165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166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166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277.5</v>
      </c>
      <c r="J26" s="68"/>
      <c r="K26" s="69">
        <f>SUM(K20:K25)</f>
        <v>326.47</v>
      </c>
    </row>
    <row r="28" ht="24" customHeight="1" spans="1:11" x14ac:dyDescent="0.25">
      <c r="A28" s="25" t="s">
        <v>35</v>
      </c>
      <c r="B28" s="25" t="s">
        <v>167</v>
      </c>
      <c r="C28" s="25" t="s">
        <v>157</v>
      </c>
      <c r="D28" s="25" t="s">
        <v>158</v>
      </c>
      <c r="E28" s="25" t="s">
        <v>159</v>
      </c>
      <c r="F28" s="25" t="s">
        <v>160</v>
      </c>
      <c r="G28" s="25" t="s">
        <v>161</v>
      </c>
      <c r="H28" s="25" t="s">
        <v>35</v>
      </c>
      <c r="I28" s="25" t="s">
        <v>29</v>
      </c>
      <c r="J28" s="25" t="s">
        <v>148</v>
      </c>
      <c r="K28" s="25" t="s">
        <v>38</v>
      </c>
    </row>
    <row r="29" spans="1:11" x14ac:dyDescent="0.25">
      <c r="A29" s="33"/>
      <c r="B29" s="33" t="s">
        <v>168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169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170</v>
      </c>
      <c r="C31" s="66">
        <v>1156.25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1156.25</v>
      </c>
      <c r="J31" s="35">
        <f>$D$8</f>
        <v>0.15</v>
      </c>
      <c r="K31" s="34">
        <f>I31/(1-J31)</f>
        <v>1360.29</v>
      </c>
    </row>
    <row r="32" spans="2:11" x14ac:dyDescent="0.25">
      <c r="B32" t="s">
        <v>171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172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173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22038.6</v>
      </c>
      <c r="J35" s="68"/>
      <c r="K35" s="69">
        <f>SUM(K29:K34)</f>
        <v>25927.76</v>
      </c>
    </row>
    <row r="37" ht="24" customHeight="1" spans="1:11" x14ac:dyDescent="0.25">
      <c r="A37" s="25" t="s">
        <v>35</v>
      </c>
      <c r="B37" s="25" t="s">
        <v>174</v>
      </c>
      <c r="C37" s="25" t="s">
        <v>157</v>
      </c>
      <c r="D37" s="25" t="s">
        <v>158</v>
      </c>
      <c r="E37" s="25" t="s">
        <v>159</v>
      </c>
      <c r="F37" s="25" t="s">
        <v>160</v>
      </c>
      <c r="G37" s="25" t="s">
        <v>161</v>
      </c>
      <c r="H37" s="25" t="s">
        <v>35</v>
      </c>
      <c r="I37" s="25" t="s">
        <v>29</v>
      </c>
      <c r="J37" s="25" t="s">
        <v>148</v>
      </c>
      <c r="K37" s="25" t="s">
        <v>38</v>
      </c>
    </row>
    <row r="38" spans="1:11" x14ac:dyDescent="0.25">
      <c r="A38" s="33"/>
      <c r="B38" s="33" t="s">
        <v>175</v>
      </c>
      <c r="C38" s="66">
        <v>1156.25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1156.25</v>
      </c>
      <c r="J38" s="35">
        <f>$D$9</f>
        <v>0.15</v>
      </c>
      <c r="K38" s="34">
        <f>I38/(1-J38)</f>
        <v>1360.29</v>
      </c>
    </row>
    <row r="39" spans="2:11" x14ac:dyDescent="0.25">
      <c r="B39" t="s">
        <v>176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177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178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179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180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1156.25</v>
      </c>
      <c r="J44" s="68"/>
      <c r="K44" s="69">
        <f>SUM(K38:K43)</f>
        <v>1360.29</v>
      </c>
    </row>
    <row r="46" ht="24" customHeight="1" spans="1:11" x14ac:dyDescent="0.25">
      <c r="A46" s="25" t="s">
        <v>35</v>
      </c>
      <c r="B46" s="25" t="s">
        <v>181</v>
      </c>
      <c r="C46" s="25" t="s">
        <v>157</v>
      </c>
      <c r="D46" s="25" t="s">
        <v>158</v>
      </c>
      <c r="E46" s="25" t="s">
        <v>159</v>
      </c>
      <c r="F46" s="25" t="s">
        <v>160</v>
      </c>
      <c r="G46" s="25" t="s">
        <v>161</v>
      </c>
      <c r="H46" s="25" t="s">
        <v>35</v>
      </c>
      <c r="I46" s="25" t="s">
        <v>29</v>
      </c>
      <c r="J46" s="25" t="s">
        <v>148</v>
      </c>
      <c r="K46" s="25" t="s">
        <v>38</v>
      </c>
    </row>
    <row r="47" spans="1:11" x14ac:dyDescent="0.25">
      <c r="A47" s="33"/>
      <c r="B47" s="33" t="s">
        <v>182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183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184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185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186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187</v>
      </c>
      <c r="C54" s="28"/>
      <c r="D54" s="28"/>
      <c r="E54" s="28"/>
      <c r="F54" s="28"/>
      <c r="G54" s="28"/>
      <c r="H54" s="28"/>
      <c r="I54" s="30">
        <f>I26+I35+I44+I52</f>
        <v>35295.38</v>
      </c>
      <c r="J54" s="28"/>
      <c r="K54" s="30">
        <f>K26+K35+K44+K52</f>
        <v>40935.74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145</v>
      </c>
    </row>
    <row r="4" spans="1:1" x14ac:dyDescent="0.25">
      <c r="A4" s="15" t="s">
        <v>8</v>
      </c>
    </row>
    <row r="5" spans="1:1" x14ac:dyDescent="0.25">
      <c r="A5" s="15" t="s">
        <v>146</v>
      </c>
    </row>
    <row r="7" spans="3:3" x14ac:dyDescent="0.25">
      <c r="C7" s="26" t="s">
        <v>147</v>
      </c>
    </row>
    <row r="8" spans="3:4" x14ac:dyDescent="0.25">
      <c r="C8" t="s">
        <v>148</v>
      </c>
      <c r="D8" s="21">
        <v>0.15</v>
      </c>
    </row>
    <row r="9" spans="3:4" x14ac:dyDescent="0.25">
      <c r="C9" t="s">
        <v>149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150</v>
      </c>
      <c r="D11" s="21">
        <v>0.15</v>
      </c>
    </row>
    <row r="15" spans="2:2" x14ac:dyDescent="0.25">
      <c r="B15" s="64" t="s">
        <v>197</v>
      </c>
    </row>
    <row r="16" spans="2:5" x14ac:dyDescent="0.25">
      <c r="B16" s="4" t="s">
        <v>152</v>
      </c>
      <c r="C16" s="4" t="s">
        <v>153</v>
      </c>
      <c r="D16" s="4" t="s">
        <v>154</v>
      </c>
      <c r="E16" s="4" t="s">
        <v>155</v>
      </c>
    </row>
    <row r="17" spans="2:5" x14ac:dyDescent="0.25">
      <c r="B17" s="49">
        <v>9</v>
      </c>
      <c r="C17" s="49">
        <v>16</v>
      </c>
      <c r="D17" s="65">
        <v>144</v>
      </c>
      <c r="E17">
        <v>1</v>
      </c>
    </row>
    <row r="19" ht="24" customHeight="1" spans="1:11" x14ac:dyDescent="0.25">
      <c r="A19" s="25" t="s">
        <v>35</v>
      </c>
      <c r="B19" s="25" t="s">
        <v>156</v>
      </c>
      <c r="C19" s="25" t="s">
        <v>157</v>
      </c>
      <c r="D19" s="25" t="s">
        <v>158</v>
      </c>
      <c r="E19" s="25" t="s">
        <v>159</v>
      </c>
      <c r="F19" s="25" t="s">
        <v>160</v>
      </c>
      <c r="G19" s="25" t="s">
        <v>161</v>
      </c>
      <c r="H19" s="25" t="s">
        <v>35</v>
      </c>
      <c r="I19" s="25" t="s">
        <v>29</v>
      </c>
      <c r="J19" s="25" t="s">
        <v>148</v>
      </c>
      <c r="K19" s="25" t="s">
        <v>38</v>
      </c>
    </row>
    <row r="20" spans="1:11" x14ac:dyDescent="0.25">
      <c r="A20" s="33"/>
      <c r="B20" s="33" t="s">
        <v>162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163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164</v>
      </c>
      <c r="C22" s="66">
        <v>1657.5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1657.5</v>
      </c>
      <c r="J22" s="35">
        <f>$D$8</f>
        <v>0.15</v>
      </c>
      <c r="K22" s="34">
        <f>I22/(1-J22)</f>
        <v>1950</v>
      </c>
    </row>
    <row r="23" spans="2:11" x14ac:dyDescent="0.25">
      <c r="B23" t="s">
        <v>165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166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166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1657.5</v>
      </c>
      <c r="J26" s="68"/>
      <c r="K26" s="69">
        <f>SUM(K20:K25)</f>
        <v>1950</v>
      </c>
    </row>
    <row r="28" ht="24" customHeight="1" spans="1:11" x14ac:dyDescent="0.25">
      <c r="A28" s="25" t="s">
        <v>35</v>
      </c>
      <c r="B28" s="25" t="s">
        <v>167</v>
      </c>
      <c r="C28" s="25" t="s">
        <v>157</v>
      </c>
      <c r="D28" s="25" t="s">
        <v>158</v>
      </c>
      <c r="E28" s="25" t="s">
        <v>159</v>
      </c>
      <c r="F28" s="25" t="s">
        <v>160</v>
      </c>
      <c r="G28" s="25" t="s">
        <v>161</v>
      </c>
      <c r="H28" s="25" t="s">
        <v>35</v>
      </c>
      <c r="I28" s="25" t="s">
        <v>29</v>
      </c>
      <c r="J28" s="25" t="s">
        <v>148</v>
      </c>
      <c r="K28" s="25" t="s">
        <v>38</v>
      </c>
    </row>
    <row r="29" spans="1:11" x14ac:dyDescent="0.25">
      <c r="A29" s="33"/>
      <c r="B29" s="33" t="s">
        <v>168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169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170</v>
      </c>
      <c r="C31" s="66">
        <v>6906.25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6906.25</v>
      </c>
      <c r="J31" s="35">
        <f>$D$8</f>
        <v>0.15</v>
      </c>
      <c r="K31" s="34">
        <f>I31/(1-J31)</f>
        <v>8125</v>
      </c>
    </row>
    <row r="32" spans="2:11" x14ac:dyDescent="0.25">
      <c r="B32" t="s">
        <v>171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172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173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27788.6</v>
      </c>
      <c r="J35" s="68"/>
      <c r="K35" s="69">
        <f>SUM(K29:K34)</f>
        <v>32692.47</v>
      </c>
    </row>
    <row r="37" ht="24" customHeight="1" spans="1:11" x14ac:dyDescent="0.25">
      <c r="A37" s="25" t="s">
        <v>35</v>
      </c>
      <c r="B37" s="25" t="s">
        <v>174</v>
      </c>
      <c r="C37" s="25" t="s">
        <v>157</v>
      </c>
      <c r="D37" s="25" t="s">
        <v>158</v>
      </c>
      <c r="E37" s="25" t="s">
        <v>159</v>
      </c>
      <c r="F37" s="25" t="s">
        <v>160</v>
      </c>
      <c r="G37" s="25" t="s">
        <v>161</v>
      </c>
      <c r="H37" s="25" t="s">
        <v>35</v>
      </c>
      <c r="I37" s="25" t="s">
        <v>29</v>
      </c>
      <c r="J37" s="25" t="s">
        <v>148</v>
      </c>
      <c r="K37" s="25" t="s">
        <v>38</v>
      </c>
    </row>
    <row r="38" spans="1:11" x14ac:dyDescent="0.25">
      <c r="A38" s="33"/>
      <c r="B38" s="33" t="s">
        <v>175</v>
      </c>
      <c r="C38" s="66">
        <v>6906.25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6906.25</v>
      </c>
      <c r="J38" s="35">
        <f>$D$9</f>
        <v>0.15</v>
      </c>
      <c r="K38" s="34">
        <f>I38/(1-J38)</f>
        <v>8125</v>
      </c>
    </row>
    <row r="39" spans="2:11" x14ac:dyDescent="0.25">
      <c r="B39" t="s">
        <v>176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177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178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179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180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6906.25</v>
      </c>
      <c r="J44" s="68"/>
      <c r="K44" s="69">
        <f>SUM(K38:K43)</f>
        <v>8125</v>
      </c>
    </row>
    <row r="46" ht="24" customHeight="1" spans="1:11" x14ac:dyDescent="0.25">
      <c r="A46" s="25" t="s">
        <v>35</v>
      </c>
      <c r="B46" s="25" t="s">
        <v>181</v>
      </c>
      <c r="C46" s="25" t="s">
        <v>157</v>
      </c>
      <c r="D46" s="25" t="s">
        <v>158</v>
      </c>
      <c r="E46" s="25" t="s">
        <v>159</v>
      </c>
      <c r="F46" s="25" t="s">
        <v>160</v>
      </c>
      <c r="G46" s="25" t="s">
        <v>161</v>
      </c>
      <c r="H46" s="25" t="s">
        <v>35</v>
      </c>
      <c r="I46" s="25" t="s">
        <v>29</v>
      </c>
      <c r="J46" s="25" t="s">
        <v>148</v>
      </c>
      <c r="K46" s="25" t="s">
        <v>38</v>
      </c>
    </row>
    <row r="47" spans="1:11" x14ac:dyDescent="0.25">
      <c r="A47" s="33"/>
      <c r="B47" s="33" t="s">
        <v>182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183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184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185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186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187</v>
      </c>
      <c r="C54" s="28"/>
      <c r="D54" s="28"/>
      <c r="E54" s="28"/>
      <c r="F54" s="28"/>
      <c r="G54" s="28"/>
      <c r="H54" s="28"/>
      <c r="I54" s="30">
        <f>I26+I35+I44+I52</f>
        <v>79951.1</v>
      </c>
      <c r="J54" s="28"/>
      <c r="K54" s="30">
        <f>K26+K35+K44+K52</f>
        <v>92366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145</v>
      </c>
    </row>
    <row r="4" spans="1:1" x14ac:dyDescent="0.25">
      <c r="A4" s="15" t="s">
        <v>8</v>
      </c>
    </row>
    <row r="5" spans="1:1" x14ac:dyDescent="0.25">
      <c r="A5" s="15" t="s">
        <v>146</v>
      </c>
    </row>
    <row r="7" spans="3:3" x14ac:dyDescent="0.25">
      <c r="C7" s="26" t="s">
        <v>147</v>
      </c>
    </row>
    <row r="8" spans="3:4" x14ac:dyDescent="0.25">
      <c r="C8" t="s">
        <v>148</v>
      </c>
      <c r="D8" s="21">
        <v>0.15</v>
      </c>
    </row>
    <row r="9" spans="3:4" x14ac:dyDescent="0.25">
      <c r="C9" t="s">
        <v>149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150</v>
      </c>
      <c r="D11" s="21">
        <v>0.15</v>
      </c>
    </row>
    <row r="15" spans="2:2" x14ac:dyDescent="0.25">
      <c r="B15" s="64" t="s">
        <v>198</v>
      </c>
    </row>
    <row r="16" spans="2:5" x14ac:dyDescent="0.25">
      <c r="B16" s="4" t="s">
        <v>152</v>
      </c>
      <c r="C16" s="4" t="s">
        <v>153</v>
      </c>
      <c r="D16" s="4" t="s">
        <v>154</v>
      </c>
      <c r="E16" s="4" t="s">
        <v>155</v>
      </c>
    </row>
    <row r="17" spans="2:5" x14ac:dyDescent="0.25">
      <c r="B17" s="49">
        <v>22</v>
      </c>
      <c r="C17" s="49">
        <v>3</v>
      </c>
      <c r="D17" s="65">
        <v>66</v>
      </c>
      <c r="E17">
        <v>1</v>
      </c>
    </row>
    <row r="19" ht="24" customHeight="1" spans="1:11" x14ac:dyDescent="0.25">
      <c r="A19" s="25" t="s">
        <v>35</v>
      </c>
      <c r="B19" s="25" t="s">
        <v>156</v>
      </c>
      <c r="C19" s="25" t="s">
        <v>157</v>
      </c>
      <c r="D19" s="25" t="s">
        <v>158</v>
      </c>
      <c r="E19" s="25" t="s">
        <v>159</v>
      </c>
      <c r="F19" s="25" t="s">
        <v>160</v>
      </c>
      <c r="G19" s="25" t="s">
        <v>161</v>
      </c>
      <c r="H19" s="25" t="s">
        <v>35</v>
      </c>
      <c r="I19" s="25" t="s">
        <v>29</v>
      </c>
      <c r="J19" s="25" t="s">
        <v>148</v>
      </c>
      <c r="K19" s="25" t="s">
        <v>38</v>
      </c>
    </row>
    <row r="20" spans="1:11" x14ac:dyDescent="0.25">
      <c r="A20" s="33"/>
      <c r="B20" s="33" t="s">
        <v>162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163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164</v>
      </c>
      <c r="C22" s="66">
        <v>757.5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757.5</v>
      </c>
      <c r="J22" s="35">
        <f>$D$8</f>
        <v>0.15</v>
      </c>
      <c r="K22" s="34">
        <f>I22/(1-J22)</f>
        <v>891.18</v>
      </c>
    </row>
    <row r="23" spans="2:11" x14ac:dyDescent="0.25">
      <c r="B23" t="s">
        <v>165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166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166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757.5</v>
      </c>
      <c r="J26" s="68"/>
      <c r="K26" s="69">
        <f>SUM(K20:K25)</f>
        <v>891.18</v>
      </c>
    </row>
    <row r="28" ht="24" customHeight="1" spans="1:11" x14ac:dyDescent="0.25">
      <c r="A28" s="25" t="s">
        <v>35</v>
      </c>
      <c r="B28" s="25" t="s">
        <v>167</v>
      </c>
      <c r="C28" s="25" t="s">
        <v>157</v>
      </c>
      <c r="D28" s="25" t="s">
        <v>158</v>
      </c>
      <c r="E28" s="25" t="s">
        <v>159</v>
      </c>
      <c r="F28" s="25" t="s">
        <v>160</v>
      </c>
      <c r="G28" s="25" t="s">
        <v>161</v>
      </c>
      <c r="H28" s="25" t="s">
        <v>35</v>
      </c>
      <c r="I28" s="25" t="s">
        <v>29</v>
      </c>
      <c r="J28" s="25" t="s">
        <v>148</v>
      </c>
      <c r="K28" s="25" t="s">
        <v>38</v>
      </c>
    </row>
    <row r="29" spans="1:11" x14ac:dyDescent="0.25">
      <c r="A29" s="33"/>
      <c r="B29" s="33" t="s">
        <v>168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169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170</v>
      </c>
      <c r="C31" s="66">
        <v>3156.25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3156.25</v>
      </c>
      <c r="J31" s="35">
        <f>$D$8</f>
        <v>0.15</v>
      </c>
      <c r="K31" s="34">
        <f>I31/(1-J31)</f>
        <v>3713.24</v>
      </c>
    </row>
    <row r="32" spans="2:11" x14ac:dyDescent="0.25">
      <c r="B32" t="s">
        <v>171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172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173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24038.6</v>
      </c>
      <c r="J35" s="68"/>
      <c r="K35" s="69">
        <f>SUM(K29:K34)</f>
        <v>28280.71</v>
      </c>
    </row>
    <row r="37" ht="24" customHeight="1" spans="1:11" x14ac:dyDescent="0.25">
      <c r="A37" s="25" t="s">
        <v>35</v>
      </c>
      <c r="B37" s="25" t="s">
        <v>174</v>
      </c>
      <c r="C37" s="25" t="s">
        <v>157</v>
      </c>
      <c r="D37" s="25" t="s">
        <v>158</v>
      </c>
      <c r="E37" s="25" t="s">
        <v>159</v>
      </c>
      <c r="F37" s="25" t="s">
        <v>160</v>
      </c>
      <c r="G37" s="25" t="s">
        <v>161</v>
      </c>
      <c r="H37" s="25" t="s">
        <v>35</v>
      </c>
      <c r="I37" s="25" t="s">
        <v>29</v>
      </c>
      <c r="J37" s="25" t="s">
        <v>148</v>
      </c>
      <c r="K37" s="25" t="s">
        <v>38</v>
      </c>
    </row>
    <row r="38" spans="1:11" x14ac:dyDescent="0.25">
      <c r="A38" s="33"/>
      <c r="B38" s="33" t="s">
        <v>175</v>
      </c>
      <c r="C38" s="66">
        <v>3156.25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3156.25</v>
      </c>
      <c r="J38" s="35">
        <f>$D$9</f>
        <v>0.15</v>
      </c>
      <c r="K38" s="34">
        <f>I38/(1-J38)</f>
        <v>3713.24</v>
      </c>
    </row>
    <row r="39" spans="2:11" x14ac:dyDescent="0.25">
      <c r="B39" t="s">
        <v>176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177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178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179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180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3156.25</v>
      </c>
      <c r="J44" s="68"/>
      <c r="K44" s="69">
        <f>SUM(K38:K43)</f>
        <v>3713.24</v>
      </c>
    </row>
    <row r="46" ht="24" customHeight="1" spans="1:11" x14ac:dyDescent="0.25">
      <c r="A46" s="25" t="s">
        <v>35</v>
      </c>
      <c r="B46" s="25" t="s">
        <v>181</v>
      </c>
      <c r="C46" s="25" t="s">
        <v>157</v>
      </c>
      <c r="D46" s="25" t="s">
        <v>158</v>
      </c>
      <c r="E46" s="25" t="s">
        <v>159</v>
      </c>
      <c r="F46" s="25" t="s">
        <v>160</v>
      </c>
      <c r="G46" s="25" t="s">
        <v>161</v>
      </c>
      <c r="H46" s="25" t="s">
        <v>35</v>
      </c>
      <c r="I46" s="25" t="s">
        <v>29</v>
      </c>
      <c r="J46" s="25" t="s">
        <v>148</v>
      </c>
      <c r="K46" s="25" t="s">
        <v>38</v>
      </c>
    </row>
    <row r="47" spans="1:11" x14ac:dyDescent="0.25">
      <c r="A47" s="33"/>
      <c r="B47" s="33" t="s">
        <v>182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183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184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185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186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187</v>
      </c>
      <c r="C54" s="28"/>
      <c r="D54" s="28"/>
      <c r="E54" s="28"/>
      <c r="F54" s="28"/>
      <c r="G54" s="28"/>
      <c r="H54" s="28"/>
      <c r="I54" s="30">
        <f>I26+I35+I44+I52</f>
        <v>50727.88</v>
      </c>
      <c r="J54" s="28"/>
      <c r="K54" s="30">
        <f>K26+K35+K44+K52</f>
        <v>58903.39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145</v>
      </c>
    </row>
    <row r="4" spans="1:1" x14ac:dyDescent="0.25">
      <c r="A4" s="15" t="s">
        <v>8</v>
      </c>
    </row>
    <row r="5" spans="1:1" x14ac:dyDescent="0.25">
      <c r="A5" s="15" t="s">
        <v>146</v>
      </c>
    </row>
    <row r="7" spans="3:3" x14ac:dyDescent="0.25">
      <c r="C7" s="26" t="s">
        <v>147</v>
      </c>
    </row>
    <row r="8" spans="3:4" x14ac:dyDescent="0.25">
      <c r="C8" t="s">
        <v>148</v>
      </c>
      <c r="D8" s="21">
        <v>0.15</v>
      </c>
    </row>
    <row r="9" spans="3:4" x14ac:dyDescent="0.25">
      <c r="C9" t="s">
        <v>149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150</v>
      </c>
      <c r="D11" s="21">
        <v>0.15</v>
      </c>
    </row>
    <row r="15" spans="2:2" x14ac:dyDescent="0.25">
      <c r="B15" s="64" t="s">
        <v>198</v>
      </c>
    </row>
    <row r="16" spans="2:5" x14ac:dyDescent="0.25">
      <c r="B16" s="4" t="s">
        <v>152</v>
      </c>
      <c r="C16" s="4" t="s">
        <v>153</v>
      </c>
      <c r="D16" s="4" t="s">
        <v>154</v>
      </c>
      <c r="E16" s="4" t="s">
        <v>155</v>
      </c>
    </row>
    <row r="17" spans="2:5" x14ac:dyDescent="0.25">
      <c r="B17" s="49">
        <v>19</v>
      </c>
      <c r="C17" s="49">
        <v>3</v>
      </c>
      <c r="D17" s="65">
        <v>57</v>
      </c>
      <c r="E17">
        <v>1</v>
      </c>
    </row>
    <row r="19" ht="24" customHeight="1" spans="1:11" x14ac:dyDescent="0.25">
      <c r="A19" s="25" t="s">
        <v>35</v>
      </c>
      <c r="B19" s="25" t="s">
        <v>156</v>
      </c>
      <c r="C19" s="25" t="s">
        <v>157</v>
      </c>
      <c r="D19" s="25" t="s">
        <v>158</v>
      </c>
      <c r="E19" s="25" t="s">
        <v>159</v>
      </c>
      <c r="F19" s="25" t="s">
        <v>160</v>
      </c>
      <c r="G19" s="25" t="s">
        <v>161</v>
      </c>
      <c r="H19" s="25" t="s">
        <v>35</v>
      </c>
      <c r="I19" s="25" t="s">
        <v>29</v>
      </c>
      <c r="J19" s="25" t="s">
        <v>148</v>
      </c>
      <c r="K19" s="25" t="s">
        <v>38</v>
      </c>
    </row>
    <row r="20" spans="1:11" x14ac:dyDescent="0.25">
      <c r="A20" s="33"/>
      <c r="B20" s="33" t="s">
        <v>162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163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164</v>
      </c>
      <c r="C22" s="66">
        <v>656.25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656.25</v>
      </c>
      <c r="J22" s="35">
        <f>$D$8</f>
        <v>0.15</v>
      </c>
      <c r="K22" s="34">
        <f>I22/(1-J22)</f>
        <v>772.06</v>
      </c>
    </row>
    <row r="23" spans="2:11" x14ac:dyDescent="0.25">
      <c r="B23" t="s">
        <v>165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166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166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656.25</v>
      </c>
      <c r="J26" s="68"/>
      <c r="K26" s="69">
        <f>SUM(K20:K25)</f>
        <v>772.06</v>
      </c>
    </row>
    <row r="28" ht="24" customHeight="1" spans="1:11" x14ac:dyDescent="0.25">
      <c r="A28" s="25" t="s">
        <v>35</v>
      </c>
      <c r="B28" s="25" t="s">
        <v>167</v>
      </c>
      <c r="C28" s="25" t="s">
        <v>157</v>
      </c>
      <c r="D28" s="25" t="s">
        <v>158</v>
      </c>
      <c r="E28" s="25" t="s">
        <v>159</v>
      </c>
      <c r="F28" s="25" t="s">
        <v>160</v>
      </c>
      <c r="G28" s="25" t="s">
        <v>161</v>
      </c>
      <c r="H28" s="25" t="s">
        <v>35</v>
      </c>
      <c r="I28" s="25" t="s">
        <v>29</v>
      </c>
      <c r="J28" s="25" t="s">
        <v>148</v>
      </c>
      <c r="K28" s="25" t="s">
        <v>38</v>
      </c>
    </row>
    <row r="29" spans="1:11" x14ac:dyDescent="0.25">
      <c r="A29" s="33"/>
      <c r="B29" s="33" t="s">
        <v>168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169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170</v>
      </c>
      <c r="C31" s="66">
        <v>2734.38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2734.38</v>
      </c>
      <c r="J31" s="35">
        <f>$D$8</f>
        <v>0.15</v>
      </c>
      <c r="K31" s="34">
        <f>I31/(1-J31)</f>
        <v>3216.92</v>
      </c>
    </row>
    <row r="32" spans="2:11" x14ac:dyDescent="0.25">
      <c r="B32" t="s">
        <v>171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172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173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23616.73</v>
      </c>
      <c r="J35" s="68"/>
      <c r="K35" s="69">
        <f>SUM(K29:K34)</f>
        <v>27784.39</v>
      </c>
    </row>
    <row r="37" ht="24" customHeight="1" spans="1:11" x14ac:dyDescent="0.25">
      <c r="A37" s="25" t="s">
        <v>35</v>
      </c>
      <c r="B37" s="25" t="s">
        <v>174</v>
      </c>
      <c r="C37" s="25" t="s">
        <v>157</v>
      </c>
      <c r="D37" s="25" t="s">
        <v>158</v>
      </c>
      <c r="E37" s="25" t="s">
        <v>159</v>
      </c>
      <c r="F37" s="25" t="s">
        <v>160</v>
      </c>
      <c r="G37" s="25" t="s">
        <v>161</v>
      </c>
      <c r="H37" s="25" t="s">
        <v>35</v>
      </c>
      <c r="I37" s="25" t="s">
        <v>29</v>
      </c>
      <c r="J37" s="25" t="s">
        <v>148</v>
      </c>
      <c r="K37" s="25" t="s">
        <v>38</v>
      </c>
    </row>
    <row r="38" spans="1:11" x14ac:dyDescent="0.25">
      <c r="A38" s="33"/>
      <c r="B38" s="33" t="s">
        <v>175</v>
      </c>
      <c r="C38" s="66">
        <v>2734.38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2734.38</v>
      </c>
      <c r="J38" s="35">
        <f>$D$9</f>
        <v>0.15</v>
      </c>
      <c r="K38" s="34">
        <f>I38/(1-J38)</f>
        <v>3216.92</v>
      </c>
    </row>
    <row r="39" spans="2:11" x14ac:dyDescent="0.25">
      <c r="B39" t="s">
        <v>176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177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178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179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180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2734.38</v>
      </c>
      <c r="J44" s="68"/>
      <c r="K44" s="69">
        <f>SUM(K38:K43)</f>
        <v>3216.92</v>
      </c>
    </row>
    <row r="46" ht="24" customHeight="1" spans="1:11" x14ac:dyDescent="0.25">
      <c r="A46" s="25" t="s">
        <v>35</v>
      </c>
      <c r="B46" s="25" t="s">
        <v>181</v>
      </c>
      <c r="C46" s="25" t="s">
        <v>157</v>
      </c>
      <c r="D46" s="25" t="s">
        <v>158</v>
      </c>
      <c r="E46" s="25" t="s">
        <v>159</v>
      </c>
      <c r="F46" s="25" t="s">
        <v>160</v>
      </c>
      <c r="G46" s="25" t="s">
        <v>161</v>
      </c>
      <c r="H46" s="25" t="s">
        <v>35</v>
      </c>
      <c r="I46" s="25" t="s">
        <v>29</v>
      </c>
      <c r="J46" s="25" t="s">
        <v>148</v>
      </c>
      <c r="K46" s="25" t="s">
        <v>38</v>
      </c>
    </row>
    <row r="47" spans="1:11" x14ac:dyDescent="0.25">
      <c r="A47" s="33"/>
      <c r="B47" s="33" t="s">
        <v>182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183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184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185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186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187</v>
      </c>
      <c r="C54" s="28"/>
      <c r="D54" s="28"/>
      <c r="E54" s="28"/>
      <c r="F54" s="28"/>
      <c r="G54" s="28"/>
      <c r="H54" s="28"/>
      <c r="I54" s="30">
        <f>I26+I35+I44+I52</f>
        <v>47380.21</v>
      </c>
      <c r="J54" s="28"/>
      <c r="K54" s="30">
        <f>K26+K35+K44+K52</f>
        <v>55070.83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145</v>
      </c>
    </row>
    <row r="4" spans="1:1" x14ac:dyDescent="0.25">
      <c r="A4" s="15" t="s">
        <v>8</v>
      </c>
    </row>
    <row r="5" spans="1:1" x14ac:dyDescent="0.25">
      <c r="A5" s="15" t="s">
        <v>146</v>
      </c>
    </row>
    <row r="7" spans="3:3" x14ac:dyDescent="0.25">
      <c r="C7" s="26" t="s">
        <v>147</v>
      </c>
    </row>
    <row r="8" spans="3:4" x14ac:dyDescent="0.25">
      <c r="C8" t="s">
        <v>148</v>
      </c>
      <c r="D8" s="21">
        <v>0.15</v>
      </c>
    </row>
    <row r="9" spans="3:4" x14ac:dyDescent="0.25">
      <c r="C9" t="s">
        <v>149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150</v>
      </c>
      <c r="D11" s="21">
        <v>0.15</v>
      </c>
    </row>
    <row r="15" spans="2:2" x14ac:dyDescent="0.25">
      <c r="B15" s="64" t="s">
        <v>198</v>
      </c>
    </row>
    <row r="16" spans="2:5" x14ac:dyDescent="0.25">
      <c r="B16" s="4" t="s">
        <v>152</v>
      </c>
      <c r="C16" s="4" t="s">
        <v>153</v>
      </c>
      <c r="D16" s="4" t="s">
        <v>154</v>
      </c>
      <c r="E16" s="4" t="s">
        <v>155</v>
      </c>
    </row>
    <row r="17" spans="2:5" x14ac:dyDescent="0.25">
      <c r="B17" s="49">
        <v>22</v>
      </c>
      <c r="C17" s="49">
        <v>3.17</v>
      </c>
      <c r="D17" s="65">
        <v>69.74</v>
      </c>
      <c r="E17">
        <v>1</v>
      </c>
    </row>
    <row r="19" ht="24" customHeight="1" spans="1:11" x14ac:dyDescent="0.25">
      <c r="A19" s="25" t="s">
        <v>35</v>
      </c>
      <c r="B19" s="25" t="s">
        <v>156</v>
      </c>
      <c r="C19" s="25" t="s">
        <v>157</v>
      </c>
      <c r="D19" s="25" t="s">
        <v>158</v>
      </c>
      <c r="E19" s="25" t="s">
        <v>159</v>
      </c>
      <c r="F19" s="25" t="s">
        <v>160</v>
      </c>
      <c r="G19" s="25" t="s">
        <v>161</v>
      </c>
      <c r="H19" s="25" t="s">
        <v>35</v>
      </c>
      <c r="I19" s="25" t="s">
        <v>29</v>
      </c>
      <c r="J19" s="25" t="s">
        <v>148</v>
      </c>
      <c r="K19" s="25" t="s">
        <v>38</v>
      </c>
    </row>
    <row r="20" spans="1:11" x14ac:dyDescent="0.25">
      <c r="A20" s="33"/>
      <c r="B20" s="33" t="s">
        <v>162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163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164</v>
      </c>
      <c r="C22" s="66">
        <v>802.5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802.5</v>
      </c>
      <c r="J22" s="35">
        <f>$D$8</f>
        <v>0.15</v>
      </c>
      <c r="K22" s="34">
        <f>I22/(1-J22)</f>
        <v>944.12</v>
      </c>
    </row>
    <row r="23" spans="2:11" x14ac:dyDescent="0.25">
      <c r="B23" t="s">
        <v>165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166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166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802.5</v>
      </c>
      <c r="J26" s="68"/>
      <c r="K26" s="69">
        <f>SUM(K20:K25)</f>
        <v>944.12</v>
      </c>
    </row>
    <row r="28" ht="24" customHeight="1" spans="1:11" x14ac:dyDescent="0.25">
      <c r="A28" s="25" t="s">
        <v>35</v>
      </c>
      <c r="B28" s="25" t="s">
        <v>167</v>
      </c>
      <c r="C28" s="25" t="s">
        <v>157</v>
      </c>
      <c r="D28" s="25" t="s">
        <v>158</v>
      </c>
      <c r="E28" s="25" t="s">
        <v>159</v>
      </c>
      <c r="F28" s="25" t="s">
        <v>160</v>
      </c>
      <c r="G28" s="25" t="s">
        <v>161</v>
      </c>
      <c r="H28" s="25" t="s">
        <v>35</v>
      </c>
      <c r="I28" s="25" t="s">
        <v>29</v>
      </c>
      <c r="J28" s="25" t="s">
        <v>148</v>
      </c>
      <c r="K28" s="25" t="s">
        <v>38</v>
      </c>
    </row>
    <row r="29" spans="1:11" x14ac:dyDescent="0.25">
      <c r="A29" s="33"/>
      <c r="B29" s="33" t="s">
        <v>168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169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170</v>
      </c>
      <c r="C31" s="66">
        <v>3343.75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3343.75</v>
      </c>
      <c r="J31" s="35">
        <f>$D$8</f>
        <v>0.15</v>
      </c>
      <c r="K31" s="34">
        <f>I31/(1-J31)</f>
        <v>3933.82</v>
      </c>
    </row>
    <row r="32" spans="2:11" x14ac:dyDescent="0.25">
      <c r="B32" t="s">
        <v>171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172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173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24226.1</v>
      </c>
      <c r="J35" s="68"/>
      <c r="K35" s="69">
        <f>SUM(K29:K34)</f>
        <v>28501.29</v>
      </c>
    </row>
    <row r="37" ht="24" customHeight="1" spans="1:11" x14ac:dyDescent="0.25">
      <c r="A37" s="25" t="s">
        <v>35</v>
      </c>
      <c r="B37" s="25" t="s">
        <v>174</v>
      </c>
      <c r="C37" s="25" t="s">
        <v>157</v>
      </c>
      <c r="D37" s="25" t="s">
        <v>158</v>
      </c>
      <c r="E37" s="25" t="s">
        <v>159</v>
      </c>
      <c r="F37" s="25" t="s">
        <v>160</v>
      </c>
      <c r="G37" s="25" t="s">
        <v>161</v>
      </c>
      <c r="H37" s="25" t="s">
        <v>35</v>
      </c>
      <c r="I37" s="25" t="s">
        <v>29</v>
      </c>
      <c r="J37" s="25" t="s">
        <v>148</v>
      </c>
      <c r="K37" s="25" t="s">
        <v>38</v>
      </c>
    </row>
    <row r="38" spans="1:11" x14ac:dyDescent="0.25">
      <c r="A38" s="33"/>
      <c r="B38" s="33" t="s">
        <v>175</v>
      </c>
      <c r="C38" s="66">
        <v>3343.75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3343.75</v>
      </c>
      <c r="J38" s="35">
        <f>$D$9</f>
        <v>0.15</v>
      </c>
      <c r="K38" s="34">
        <f>I38/(1-J38)</f>
        <v>3933.82</v>
      </c>
    </row>
    <row r="39" spans="2:11" x14ac:dyDescent="0.25">
      <c r="B39" t="s">
        <v>176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177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178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179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180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3343.75</v>
      </c>
      <c r="J44" s="68"/>
      <c r="K44" s="69">
        <f>SUM(K38:K43)</f>
        <v>3933.82</v>
      </c>
    </row>
    <row r="46" ht="24" customHeight="1" spans="1:11" x14ac:dyDescent="0.25">
      <c r="A46" s="25" t="s">
        <v>35</v>
      </c>
      <c r="B46" s="25" t="s">
        <v>181</v>
      </c>
      <c r="C46" s="25" t="s">
        <v>157</v>
      </c>
      <c r="D46" s="25" t="s">
        <v>158</v>
      </c>
      <c r="E46" s="25" t="s">
        <v>159</v>
      </c>
      <c r="F46" s="25" t="s">
        <v>160</v>
      </c>
      <c r="G46" s="25" t="s">
        <v>161</v>
      </c>
      <c r="H46" s="25" t="s">
        <v>35</v>
      </c>
      <c r="I46" s="25" t="s">
        <v>29</v>
      </c>
      <c r="J46" s="25" t="s">
        <v>148</v>
      </c>
      <c r="K46" s="25" t="s">
        <v>38</v>
      </c>
    </row>
    <row r="47" spans="1:11" x14ac:dyDescent="0.25">
      <c r="A47" s="33"/>
      <c r="B47" s="33" t="s">
        <v>182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183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184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185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186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187</v>
      </c>
      <c r="C54" s="28"/>
      <c r="D54" s="28"/>
      <c r="E54" s="28"/>
      <c r="F54" s="28"/>
      <c r="G54" s="28"/>
      <c r="H54" s="28"/>
      <c r="I54" s="30">
        <f>I26+I35+I44+I52</f>
        <v>52146.31</v>
      </c>
      <c r="J54" s="28"/>
      <c r="K54" s="30">
        <f>K26+K35+K44+K52</f>
        <v>60528.13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145</v>
      </c>
    </row>
    <row r="4" spans="1:1" x14ac:dyDescent="0.25">
      <c r="A4" s="15" t="s">
        <v>8</v>
      </c>
    </row>
    <row r="5" spans="1:1" x14ac:dyDescent="0.25">
      <c r="A5" s="15" t="s">
        <v>146</v>
      </c>
    </row>
    <row r="7" spans="3:3" x14ac:dyDescent="0.25">
      <c r="C7" s="26" t="s">
        <v>147</v>
      </c>
    </row>
    <row r="8" spans="3:4" x14ac:dyDescent="0.25">
      <c r="C8" t="s">
        <v>148</v>
      </c>
      <c r="D8" s="21">
        <v>0.15</v>
      </c>
    </row>
    <row r="9" spans="3:4" x14ac:dyDescent="0.25">
      <c r="C9" t="s">
        <v>149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150</v>
      </c>
      <c r="D11" s="21">
        <v>0.15</v>
      </c>
    </row>
    <row r="15" spans="2:2" x14ac:dyDescent="0.25">
      <c r="B15" s="64" t="s">
        <v>198</v>
      </c>
    </row>
    <row r="16" spans="2:5" x14ac:dyDescent="0.25">
      <c r="B16" s="4" t="s">
        <v>152</v>
      </c>
      <c r="C16" s="4" t="s">
        <v>153</v>
      </c>
      <c r="D16" s="4" t="s">
        <v>154</v>
      </c>
      <c r="E16" s="4" t="s">
        <v>155</v>
      </c>
    </row>
    <row r="17" spans="2:5" x14ac:dyDescent="0.25">
      <c r="B17" s="49">
        <v>22</v>
      </c>
      <c r="C17" s="49">
        <v>3</v>
      </c>
      <c r="D17" s="65">
        <v>66</v>
      </c>
      <c r="E17">
        <v>1</v>
      </c>
    </row>
    <row r="19" ht="24" customHeight="1" spans="1:11" x14ac:dyDescent="0.25">
      <c r="A19" s="25" t="s">
        <v>35</v>
      </c>
      <c r="B19" s="25" t="s">
        <v>156</v>
      </c>
      <c r="C19" s="25" t="s">
        <v>157</v>
      </c>
      <c r="D19" s="25" t="s">
        <v>158</v>
      </c>
      <c r="E19" s="25" t="s">
        <v>159</v>
      </c>
      <c r="F19" s="25" t="s">
        <v>160</v>
      </c>
      <c r="G19" s="25" t="s">
        <v>161</v>
      </c>
      <c r="H19" s="25" t="s">
        <v>35</v>
      </c>
      <c r="I19" s="25" t="s">
        <v>29</v>
      </c>
      <c r="J19" s="25" t="s">
        <v>148</v>
      </c>
      <c r="K19" s="25" t="s">
        <v>38</v>
      </c>
    </row>
    <row r="20" spans="1:11" x14ac:dyDescent="0.25">
      <c r="A20" s="33"/>
      <c r="B20" s="33" t="s">
        <v>162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163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164</v>
      </c>
      <c r="C22" s="66">
        <v>757.5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757.5</v>
      </c>
      <c r="J22" s="35">
        <f>$D$8</f>
        <v>0.15</v>
      </c>
      <c r="K22" s="34">
        <f>I22/(1-J22)</f>
        <v>891.18</v>
      </c>
    </row>
    <row r="23" spans="2:11" x14ac:dyDescent="0.25">
      <c r="B23" t="s">
        <v>165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166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166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757.5</v>
      </c>
      <c r="J26" s="68"/>
      <c r="K26" s="69">
        <f>SUM(K20:K25)</f>
        <v>891.18</v>
      </c>
    </row>
    <row r="28" ht="24" customHeight="1" spans="1:11" x14ac:dyDescent="0.25">
      <c r="A28" s="25" t="s">
        <v>35</v>
      </c>
      <c r="B28" s="25" t="s">
        <v>167</v>
      </c>
      <c r="C28" s="25" t="s">
        <v>157</v>
      </c>
      <c r="D28" s="25" t="s">
        <v>158</v>
      </c>
      <c r="E28" s="25" t="s">
        <v>159</v>
      </c>
      <c r="F28" s="25" t="s">
        <v>160</v>
      </c>
      <c r="G28" s="25" t="s">
        <v>161</v>
      </c>
      <c r="H28" s="25" t="s">
        <v>35</v>
      </c>
      <c r="I28" s="25" t="s">
        <v>29</v>
      </c>
      <c r="J28" s="25" t="s">
        <v>148</v>
      </c>
      <c r="K28" s="25" t="s">
        <v>38</v>
      </c>
    </row>
    <row r="29" spans="1:11" x14ac:dyDescent="0.25">
      <c r="A29" s="33"/>
      <c r="B29" s="33" t="s">
        <v>168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169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170</v>
      </c>
      <c r="C31" s="66">
        <v>3156.25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3156.25</v>
      </c>
      <c r="J31" s="35">
        <f>$D$8</f>
        <v>0.15</v>
      </c>
      <c r="K31" s="34">
        <f>I31/(1-J31)</f>
        <v>3713.24</v>
      </c>
    </row>
    <row r="32" spans="2:11" x14ac:dyDescent="0.25">
      <c r="B32" t="s">
        <v>171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172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173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24038.6</v>
      </c>
      <c r="J35" s="68"/>
      <c r="K35" s="69">
        <f>SUM(K29:K34)</f>
        <v>28280.71</v>
      </c>
    </row>
    <row r="37" ht="24" customHeight="1" spans="1:11" x14ac:dyDescent="0.25">
      <c r="A37" s="25" t="s">
        <v>35</v>
      </c>
      <c r="B37" s="25" t="s">
        <v>174</v>
      </c>
      <c r="C37" s="25" t="s">
        <v>157</v>
      </c>
      <c r="D37" s="25" t="s">
        <v>158</v>
      </c>
      <c r="E37" s="25" t="s">
        <v>159</v>
      </c>
      <c r="F37" s="25" t="s">
        <v>160</v>
      </c>
      <c r="G37" s="25" t="s">
        <v>161</v>
      </c>
      <c r="H37" s="25" t="s">
        <v>35</v>
      </c>
      <c r="I37" s="25" t="s">
        <v>29</v>
      </c>
      <c r="J37" s="25" t="s">
        <v>148</v>
      </c>
      <c r="K37" s="25" t="s">
        <v>38</v>
      </c>
    </row>
    <row r="38" spans="1:11" x14ac:dyDescent="0.25">
      <c r="A38" s="33"/>
      <c r="B38" s="33" t="s">
        <v>175</v>
      </c>
      <c r="C38" s="66">
        <v>3156.25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3156.25</v>
      </c>
      <c r="J38" s="35">
        <f>$D$9</f>
        <v>0.15</v>
      </c>
      <c r="K38" s="34">
        <f>I38/(1-J38)</f>
        <v>3713.24</v>
      </c>
    </row>
    <row r="39" spans="2:11" x14ac:dyDescent="0.25">
      <c r="B39" t="s">
        <v>176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177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178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179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180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3156.25</v>
      </c>
      <c r="J44" s="68"/>
      <c r="K44" s="69">
        <f>SUM(K38:K43)</f>
        <v>3713.24</v>
      </c>
    </row>
    <row r="46" ht="24" customHeight="1" spans="1:11" x14ac:dyDescent="0.25">
      <c r="A46" s="25" t="s">
        <v>35</v>
      </c>
      <c r="B46" s="25" t="s">
        <v>181</v>
      </c>
      <c r="C46" s="25" t="s">
        <v>157</v>
      </c>
      <c r="D46" s="25" t="s">
        <v>158</v>
      </c>
      <c r="E46" s="25" t="s">
        <v>159</v>
      </c>
      <c r="F46" s="25" t="s">
        <v>160</v>
      </c>
      <c r="G46" s="25" t="s">
        <v>161</v>
      </c>
      <c r="H46" s="25" t="s">
        <v>35</v>
      </c>
      <c r="I46" s="25" t="s">
        <v>29</v>
      </c>
      <c r="J46" s="25" t="s">
        <v>148</v>
      </c>
      <c r="K46" s="25" t="s">
        <v>38</v>
      </c>
    </row>
    <row r="47" spans="1:11" x14ac:dyDescent="0.25">
      <c r="A47" s="33"/>
      <c r="B47" s="33" t="s">
        <v>182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183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184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185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186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187</v>
      </c>
      <c r="C54" s="28"/>
      <c r="D54" s="28"/>
      <c r="E54" s="28"/>
      <c r="F54" s="28"/>
      <c r="G54" s="28"/>
      <c r="H54" s="28"/>
      <c r="I54" s="30">
        <f>I26+I35+I44+I52</f>
        <v>50727.88</v>
      </c>
      <c r="J54" s="28"/>
      <c r="K54" s="30">
        <f>K26+K35+K44+K52</f>
        <v>58903.39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145</v>
      </c>
    </row>
    <row r="4" spans="1:1" x14ac:dyDescent="0.25">
      <c r="A4" s="15" t="s">
        <v>8</v>
      </c>
    </row>
    <row r="5" spans="1:1" x14ac:dyDescent="0.25">
      <c r="A5" s="15" t="s">
        <v>146</v>
      </c>
    </row>
    <row r="7" spans="3:3" x14ac:dyDescent="0.25">
      <c r="C7" s="26" t="s">
        <v>147</v>
      </c>
    </row>
    <row r="8" spans="3:4" x14ac:dyDescent="0.25">
      <c r="C8" t="s">
        <v>148</v>
      </c>
      <c r="D8" s="21">
        <v>0.15</v>
      </c>
    </row>
    <row r="9" spans="3:4" x14ac:dyDescent="0.25">
      <c r="C9" t="s">
        <v>149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150</v>
      </c>
      <c r="D11" s="21">
        <v>0.15</v>
      </c>
    </row>
    <row r="15" spans="2:2" x14ac:dyDescent="0.25">
      <c r="B15" s="64" t="s">
        <v>198</v>
      </c>
    </row>
    <row r="16" spans="2:5" x14ac:dyDescent="0.25">
      <c r="B16" s="4" t="s">
        <v>152</v>
      </c>
      <c r="C16" s="4" t="s">
        <v>153</v>
      </c>
      <c r="D16" s="4" t="s">
        <v>154</v>
      </c>
      <c r="E16" s="4" t="s">
        <v>155</v>
      </c>
    </row>
    <row r="17" spans="2:5" x14ac:dyDescent="0.25">
      <c r="B17" s="49">
        <v>22</v>
      </c>
      <c r="C17" s="49">
        <v>3</v>
      </c>
      <c r="D17" s="65">
        <v>66</v>
      </c>
      <c r="E17">
        <v>1</v>
      </c>
    </row>
    <row r="19" ht="24" customHeight="1" spans="1:11" x14ac:dyDescent="0.25">
      <c r="A19" s="25" t="s">
        <v>35</v>
      </c>
      <c r="B19" s="25" t="s">
        <v>156</v>
      </c>
      <c r="C19" s="25" t="s">
        <v>157</v>
      </c>
      <c r="D19" s="25" t="s">
        <v>158</v>
      </c>
      <c r="E19" s="25" t="s">
        <v>159</v>
      </c>
      <c r="F19" s="25" t="s">
        <v>160</v>
      </c>
      <c r="G19" s="25" t="s">
        <v>161</v>
      </c>
      <c r="H19" s="25" t="s">
        <v>35</v>
      </c>
      <c r="I19" s="25" t="s">
        <v>29</v>
      </c>
      <c r="J19" s="25" t="s">
        <v>148</v>
      </c>
      <c r="K19" s="25" t="s">
        <v>38</v>
      </c>
    </row>
    <row r="20" spans="1:11" x14ac:dyDescent="0.25">
      <c r="A20" s="33"/>
      <c r="B20" s="33" t="s">
        <v>162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163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164</v>
      </c>
      <c r="C22" s="66">
        <v>757.5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757.5</v>
      </c>
      <c r="J22" s="35">
        <f>$D$8</f>
        <v>0.15</v>
      </c>
      <c r="K22" s="34">
        <f>I22/(1-J22)</f>
        <v>891.18</v>
      </c>
    </row>
    <row r="23" spans="2:11" x14ac:dyDescent="0.25">
      <c r="B23" t="s">
        <v>165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166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166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757.5</v>
      </c>
      <c r="J26" s="68"/>
      <c r="K26" s="69">
        <f>SUM(K20:K25)</f>
        <v>891.18</v>
      </c>
    </row>
    <row r="28" ht="24" customHeight="1" spans="1:11" x14ac:dyDescent="0.25">
      <c r="A28" s="25" t="s">
        <v>35</v>
      </c>
      <c r="B28" s="25" t="s">
        <v>167</v>
      </c>
      <c r="C28" s="25" t="s">
        <v>157</v>
      </c>
      <c r="D28" s="25" t="s">
        <v>158</v>
      </c>
      <c r="E28" s="25" t="s">
        <v>159</v>
      </c>
      <c r="F28" s="25" t="s">
        <v>160</v>
      </c>
      <c r="G28" s="25" t="s">
        <v>161</v>
      </c>
      <c r="H28" s="25" t="s">
        <v>35</v>
      </c>
      <c r="I28" s="25" t="s">
        <v>29</v>
      </c>
      <c r="J28" s="25" t="s">
        <v>148</v>
      </c>
      <c r="K28" s="25" t="s">
        <v>38</v>
      </c>
    </row>
    <row r="29" spans="1:11" x14ac:dyDescent="0.25">
      <c r="A29" s="33"/>
      <c r="B29" s="33" t="s">
        <v>168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169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170</v>
      </c>
      <c r="C31" s="66">
        <v>3156.25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3156.25</v>
      </c>
      <c r="J31" s="35">
        <f>$D$8</f>
        <v>0.15</v>
      </c>
      <c r="K31" s="34">
        <f>I31/(1-J31)</f>
        <v>3713.24</v>
      </c>
    </row>
    <row r="32" spans="2:11" x14ac:dyDescent="0.25">
      <c r="B32" t="s">
        <v>171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172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173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24038.6</v>
      </c>
      <c r="J35" s="68"/>
      <c r="K35" s="69">
        <f>SUM(K29:K34)</f>
        <v>28280.71</v>
      </c>
    </row>
    <row r="37" ht="24" customHeight="1" spans="1:11" x14ac:dyDescent="0.25">
      <c r="A37" s="25" t="s">
        <v>35</v>
      </c>
      <c r="B37" s="25" t="s">
        <v>174</v>
      </c>
      <c r="C37" s="25" t="s">
        <v>157</v>
      </c>
      <c r="D37" s="25" t="s">
        <v>158</v>
      </c>
      <c r="E37" s="25" t="s">
        <v>159</v>
      </c>
      <c r="F37" s="25" t="s">
        <v>160</v>
      </c>
      <c r="G37" s="25" t="s">
        <v>161</v>
      </c>
      <c r="H37" s="25" t="s">
        <v>35</v>
      </c>
      <c r="I37" s="25" t="s">
        <v>29</v>
      </c>
      <c r="J37" s="25" t="s">
        <v>148</v>
      </c>
      <c r="K37" s="25" t="s">
        <v>38</v>
      </c>
    </row>
    <row r="38" spans="1:11" x14ac:dyDescent="0.25">
      <c r="A38" s="33"/>
      <c r="B38" s="33" t="s">
        <v>175</v>
      </c>
      <c r="C38" s="66">
        <v>3156.25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3156.25</v>
      </c>
      <c r="J38" s="35">
        <f>$D$9</f>
        <v>0.15</v>
      </c>
      <c r="K38" s="34">
        <f>I38/(1-J38)</f>
        <v>3713.24</v>
      </c>
    </row>
    <row r="39" spans="2:11" x14ac:dyDescent="0.25">
      <c r="B39" t="s">
        <v>176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177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178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179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180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3156.25</v>
      </c>
      <c r="J44" s="68"/>
      <c r="K44" s="69">
        <f>SUM(K38:K43)</f>
        <v>3713.24</v>
      </c>
    </row>
    <row r="46" ht="24" customHeight="1" spans="1:11" x14ac:dyDescent="0.25">
      <c r="A46" s="25" t="s">
        <v>35</v>
      </c>
      <c r="B46" s="25" t="s">
        <v>181</v>
      </c>
      <c r="C46" s="25" t="s">
        <v>157</v>
      </c>
      <c r="D46" s="25" t="s">
        <v>158</v>
      </c>
      <c r="E46" s="25" t="s">
        <v>159</v>
      </c>
      <c r="F46" s="25" t="s">
        <v>160</v>
      </c>
      <c r="G46" s="25" t="s">
        <v>161</v>
      </c>
      <c r="H46" s="25" t="s">
        <v>35</v>
      </c>
      <c r="I46" s="25" t="s">
        <v>29</v>
      </c>
      <c r="J46" s="25" t="s">
        <v>148</v>
      </c>
      <c r="K46" s="25" t="s">
        <v>38</v>
      </c>
    </row>
    <row r="47" spans="1:11" x14ac:dyDescent="0.25">
      <c r="A47" s="33"/>
      <c r="B47" s="33" t="s">
        <v>182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183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184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185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186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187</v>
      </c>
      <c r="C54" s="28"/>
      <c r="D54" s="28"/>
      <c r="E54" s="28"/>
      <c r="F54" s="28"/>
      <c r="G54" s="28"/>
      <c r="H54" s="28"/>
      <c r="I54" s="30">
        <f>I26+I35+I44+I52</f>
        <v>50727.88</v>
      </c>
      <c r="J54" s="28"/>
      <c r="K54" s="30">
        <f>K26+K35+K44+K52</f>
        <v>58903.39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145</v>
      </c>
    </row>
    <row r="4" spans="1:1" x14ac:dyDescent="0.25">
      <c r="A4" s="15" t="s">
        <v>8</v>
      </c>
    </row>
    <row r="5" spans="1:1" x14ac:dyDescent="0.25">
      <c r="A5" s="15" t="s">
        <v>146</v>
      </c>
    </row>
    <row r="7" spans="3:3" x14ac:dyDescent="0.25">
      <c r="C7" s="26" t="s">
        <v>147</v>
      </c>
    </row>
    <row r="8" spans="3:4" x14ac:dyDescent="0.25">
      <c r="C8" t="s">
        <v>148</v>
      </c>
      <c r="D8" s="21">
        <v>0.15</v>
      </c>
    </row>
    <row r="9" spans="3:4" x14ac:dyDescent="0.25">
      <c r="C9" t="s">
        <v>149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150</v>
      </c>
      <c r="D11" s="21">
        <v>0.15</v>
      </c>
    </row>
    <row r="15" spans="2:2" x14ac:dyDescent="0.25">
      <c r="B15" s="64" t="s">
        <v>198</v>
      </c>
    </row>
    <row r="16" spans="2:5" x14ac:dyDescent="0.25">
      <c r="B16" s="4" t="s">
        <v>152</v>
      </c>
      <c r="C16" s="4" t="s">
        <v>153</v>
      </c>
      <c r="D16" s="4" t="s">
        <v>154</v>
      </c>
      <c r="E16" s="4" t="s">
        <v>155</v>
      </c>
    </row>
    <row r="17" spans="2:5" x14ac:dyDescent="0.25">
      <c r="B17" s="49">
        <v>8</v>
      </c>
      <c r="C17" s="49">
        <v>29</v>
      </c>
      <c r="D17" s="65">
        <v>232</v>
      </c>
      <c r="E17">
        <v>1</v>
      </c>
    </row>
    <row r="19" ht="24" customHeight="1" spans="1:11" x14ac:dyDescent="0.25">
      <c r="A19" s="25" t="s">
        <v>35</v>
      </c>
      <c r="B19" s="25" t="s">
        <v>156</v>
      </c>
      <c r="C19" s="25" t="s">
        <v>157</v>
      </c>
      <c r="D19" s="25" t="s">
        <v>158</v>
      </c>
      <c r="E19" s="25" t="s">
        <v>159</v>
      </c>
      <c r="F19" s="25" t="s">
        <v>160</v>
      </c>
      <c r="G19" s="25" t="s">
        <v>161</v>
      </c>
      <c r="H19" s="25" t="s">
        <v>35</v>
      </c>
      <c r="I19" s="25" t="s">
        <v>29</v>
      </c>
      <c r="J19" s="25" t="s">
        <v>148</v>
      </c>
      <c r="K19" s="25" t="s">
        <v>38</v>
      </c>
    </row>
    <row r="20" spans="1:11" x14ac:dyDescent="0.25">
      <c r="A20" s="33"/>
      <c r="B20" s="33" t="s">
        <v>162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163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164</v>
      </c>
      <c r="C22" s="66">
        <v>2670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2670</v>
      </c>
      <c r="J22" s="35">
        <f>$D$8</f>
        <v>0.15</v>
      </c>
      <c r="K22" s="34">
        <f>I22/(1-J22)</f>
        <v>3141.18</v>
      </c>
    </row>
    <row r="23" spans="2:11" x14ac:dyDescent="0.25">
      <c r="B23" t="s">
        <v>165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166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166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2670</v>
      </c>
      <c r="J26" s="68"/>
      <c r="K26" s="69">
        <f>SUM(K20:K25)</f>
        <v>3141.18</v>
      </c>
    </row>
    <row r="28" ht="24" customHeight="1" spans="1:11" x14ac:dyDescent="0.25">
      <c r="A28" s="25" t="s">
        <v>35</v>
      </c>
      <c r="B28" s="25" t="s">
        <v>167</v>
      </c>
      <c r="C28" s="25" t="s">
        <v>157</v>
      </c>
      <c r="D28" s="25" t="s">
        <v>158</v>
      </c>
      <c r="E28" s="25" t="s">
        <v>159</v>
      </c>
      <c r="F28" s="25" t="s">
        <v>160</v>
      </c>
      <c r="G28" s="25" t="s">
        <v>161</v>
      </c>
      <c r="H28" s="25" t="s">
        <v>35</v>
      </c>
      <c r="I28" s="25" t="s">
        <v>29</v>
      </c>
      <c r="J28" s="25" t="s">
        <v>148</v>
      </c>
      <c r="K28" s="25" t="s">
        <v>38</v>
      </c>
    </row>
    <row r="29" spans="1:11" x14ac:dyDescent="0.25">
      <c r="A29" s="33"/>
      <c r="B29" s="33" t="s">
        <v>168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169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170</v>
      </c>
      <c r="C31" s="66">
        <v>11125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11125</v>
      </c>
      <c r="J31" s="35">
        <f>$D$8</f>
        <v>0.15</v>
      </c>
      <c r="K31" s="34">
        <f>I31/(1-J31)</f>
        <v>13088.24</v>
      </c>
    </row>
    <row r="32" spans="2:11" x14ac:dyDescent="0.25">
      <c r="B32" t="s">
        <v>171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172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173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32007.35</v>
      </c>
      <c r="J35" s="68"/>
      <c r="K35" s="69">
        <f>SUM(K29:K34)</f>
        <v>37655.71</v>
      </c>
    </row>
    <row r="37" ht="24" customHeight="1" spans="1:11" x14ac:dyDescent="0.25">
      <c r="A37" s="25" t="s">
        <v>35</v>
      </c>
      <c r="B37" s="25" t="s">
        <v>174</v>
      </c>
      <c r="C37" s="25" t="s">
        <v>157</v>
      </c>
      <c r="D37" s="25" t="s">
        <v>158</v>
      </c>
      <c r="E37" s="25" t="s">
        <v>159</v>
      </c>
      <c r="F37" s="25" t="s">
        <v>160</v>
      </c>
      <c r="G37" s="25" t="s">
        <v>161</v>
      </c>
      <c r="H37" s="25" t="s">
        <v>35</v>
      </c>
      <c r="I37" s="25" t="s">
        <v>29</v>
      </c>
      <c r="J37" s="25" t="s">
        <v>148</v>
      </c>
      <c r="K37" s="25" t="s">
        <v>38</v>
      </c>
    </row>
    <row r="38" spans="1:11" x14ac:dyDescent="0.25">
      <c r="A38" s="33"/>
      <c r="B38" s="33" t="s">
        <v>175</v>
      </c>
      <c r="C38" s="66">
        <v>11125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11125</v>
      </c>
      <c r="J38" s="35">
        <f>$D$9</f>
        <v>0.15</v>
      </c>
      <c r="K38" s="34">
        <f>I38/(1-J38)</f>
        <v>13088.24</v>
      </c>
    </row>
    <row r="39" spans="2:11" x14ac:dyDescent="0.25">
      <c r="B39" t="s">
        <v>176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177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178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179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180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11125</v>
      </c>
      <c r="J44" s="68"/>
      <c r="K44" s="69">
        <f>SUM(K38:K43)</f>
        <v>13088.24</v>
      </c>
    </row>
    <row r="46" ht="24" customHeight="1" spans="1:11" x14ac:dyDescent="0.25">
      <c r="A46" s="25" t="s">
        <v>35</v>
      </c>
      <c r="B46" s="25" t="s">
        <v>181</v>
      </c>
      <c r="C46" s="25" t="s">
        <v>157</v>
      </c>
      <c r="D46" s="25" t="s">
        <v>158</v>
      </c>
      <c r="E46" s="25" t="s">
        <v>159</v>
      </c>
      <c r="F46" s="25" t="s">
        <v>160</v>
      </c>
      <c r="G46" s="25" t="s">
        <v>161</v>
      </c>
      <c r="H46" s="25" t="s">
        <v>35</v>
      </c>
      <c r="I46" s="25" t="s">
        <v>29</v>
      </c>
      <c r="J46" s="25" t="s">
        <v>148</v>
      </c>
      <c r="K46" s="25" t="s">
        <v>38</v>
      </c>
    </row>
    <row r="47" spans="1:11" x14ac:dyDescent="0.25">
      <c r="A47" s="33"/>
      <c r="B47" s="33" t="s">
        <v>182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183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184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185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186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187</v>
      </c>
      <c r="C54" s="28"/>
      <c r="D54" s="28"/>
      <c r="E54" s="28"/>
      <c r="F54" s="28"/>
      <c r="G54" s="28"/>
      <c r="H54" s="28"/>
      <c r="I54" s="30">
        <f>I26+I35+I44+I52</f>
        <v>112893.96</v>
      </c>
      <c r="J54" s="28"/>
      <c r="K54" s="30">
        <f>K26+K35+K44+K52</f>
        <v>130087.02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145</v>
      </c>
    </row>
    <row r="4" spans="1:1" x14ac:dyDescent="0.25">
      <c r="A4" s="15" t="s">
        <v>8</v>
      </c>
    </row>
    <row r="5" spans="1:1" x14ac:dyDescent="0.25">
      <c r="A5" s="15" t="s">
        <v>146</v>
      </c>
    </row>
    <row r="7" spans="3:3" x14ac:dyDescent="0.25">
      <c r="C7" s="26" t="s">
        <v>147</v>
      </c>
    </row>
    <row r="8" spans="3:4" x14ac:dyDescent="0.25">
      <c r="C8" t="s">
        <v>148</v>
      </c>
      <c r="D8" s="21">
        <v>0.15</v>
      </c>
    </row>
    <row r="9" spans="3:4" x14ac:dyDescent="0.25">
      <c r="C9" t="s">
        <v>149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150</v>
      </c>
      <c r="D11" s="21">
        <v>0.15</v>
      </c>
    </row>
    <row r="15" spans="2:2" x14ac:dyDescent="0.25">
      <c r="B15" s="64" t="s">
        <v>198</v>
      </c>
    </row>
    <row r="16" spans="2:5" x14ac:dyDescent="0.25">
      <c r="B16" s="4" t="s">
        <v>152</v>
      </c>
      <c r="C16" s="4" t="s">
        <v>153</v>
      </c>
      <c r="D16" s="4" t="s">
        <v>154</v>
      </c>
      <c r="E16" s="4" t="s">
        <v>155</v>
      </c>
    </row>
    <row r="17" spans="2:5" x14ac:dyDescent="0.25">
      <c r="B17" s="49">
        <v>4.08</v>
      </c>
      <c r="C17" s="49">
        <v>37.25</v>
      </c>
      <c r="D17" s="65">
        <v>151.98</v>
      </c>
      <c r="E17">
        <v>1</v>
      </c>
    </row>
    <row r="19" ht="24" customHeight="1" spans="1:11" x14ac:dyDescent="0.25">
      <c r="A19" s="25" t="s">
        <v>35</v>
      </c>
      <c r="B19" s="25" t="s">
        <v>156</v>
      </c>
      <c r="C19" s="25" t="s">
        <v>157</v>
      </c>
      <c r="D19" s="25" t="s">
        <v>158</v>
      </c>
      <c r="E19" s="25" t="s">
        <v>159</v>
      </c>
      <c r="F19" s="25" t="s">
        <v>160</v>
      </c>
      <c r="G19" s="25" t="s">
        <v>161</v>
      </c>
      <c r="H19" s="25" t="s">
        <v>35</v>
      </c>
      <c r="I19" s="25" t="s">
        <v>29</v>
      </c>
      <c r="J19" s="25" t="s">
        <v>148</v>
      </c>
      <c r="K19" s="25" t="s">
        <v>38</v>
      </c>
    </row>
    <row r="20" spans="1:11" x14ac:dyDescent="0.25">
      <c r="A20" s="33"/>
      <c r="B20" s="33" t="s">
        <v>162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163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164</v>
      </c>
      <c r="C22" s="66">
        <v>1751.25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1751.25</v>
      </c>
      <c r="J22" s="35">
        <f>$D$8</f>
        <v>0.15</v>
      </c>
      <c r="K22" s="34">
        <f>I22/(1-J22)</f>
        <v>2060.29</v>
      </c>
    </row>
    <row r="23" spans="2:11" x14ac:dyDescent="0.25">
      <c r="B23" t="s">
        <v>165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166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166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1751.25</v>
      </c>
      <c r="J26" s="68"/>
      <c r="K26" s="69">
        <f>SUM(K20:K25)</f>
        <v>2060.29</v>
      </c>
    </row>
    <row r="28" ht="24" customHeight="1" spans="1:11" x14ac:dyDescent="0.25">
      <c r="A28" s="25" t="s">
        <v>35</v>
      </c>
      <c r="B28" s="25" t="s">
        <v>167</v>
      </c>
      <c r="C28" s="25" t="s">
        <v>157</v>
      </c>
      <c r="D28" s="25" t="s">
        <v>158</v>
      </c>
      <c r="E28" s="25" t="s">
        <v>159</v>
      </c>
      <c r="F28" s="25" t="s">
        <v>160</v>
      </c>
      <c r="G28" s="25" t="s">
        <v>161</v>
      </c>
      <c r="H28" s="25" t="s">
        <v>35</v>
      </c>
      <c r="I28" s="25" t="s">
        <v>29</v>
      </c>
      <c r="J28" s="25" t="s">
        <v>148</v>
      </c>
      <c r="K28" s="25" t="s">
        <v>38</v>
      </c>
    </row>
    <row r="29" spans="1:11" x14ac:dyDescent="0.25">
      <c r="A29" s="33"/>
      <c r="B29" s="33" t="s">
        <v>168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169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170</v>
      </c>
      <c r="C31" s="66">
        <v>7296.88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7296.88</v>
      </c>
      <c r="J31" s="35">
        <f>$D$8</f>
        <v>0.15</v>
      </c>
      <c r="K31" s="34">
        <f>I31/(1-J31)</f>
        <v>8584.56</v>
      </c>
    </row>
    <row r="32" spans="2:11" x14ac:dyDescent="0.25">
      <c r="B32" t="s">
        <v>171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172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173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28179.23</v>
      </c>
      <c r="J35" s="68"/>
      <c r="K35" s="69">
        <f>SUM(K29:K34)</f>
        <v>33152.04</v>
      </c>
    </row>
    <row r="37" ht="24" customHeight="1" spans="1:11" x14ac:dyDescent="0.25">
      <c r="A37" s="25" t="s">
        <v>35</v>
      </c>
      <c r="B37" s="25" t="s">
        <v>174</v>
      </c>
      <c r="C37" s="25" t="s">
        <v>157</v>
      </c>
      <c r="D37" s="25" t="s">
        <v>158</v>
      </c>
      <c r="E37" s="25" t="s">
        <v>159</v>
      </c>
      <c r="F37" s="25" t="s">
        <v>160</v>
      </c>
      <c r="G37" s="25" t="s">
        <v>161</v>
      </c>
      <c r="H37" s="25" t="s">
        <v>35</v>
      </c>
      <c r="I37" s="25" t="s">
        <v>29</v>
      </c>
      <c r="J37" s="25" t="s">
        <v>148</v>
      </c>
      <c r="K37" s="25" t="s">
        <v>38</v>
      </c>
    </row>
    <row r="38" spans="1:11" x14ac:dyDescent="0.25">
      <c r="A38" s="33"/>
      <c r="B38" s="33" t="s">
        <v>175</v>
      </c>
      <c r="C38" s="66">
        <v>7296.88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7296.88</v>
      </c>
      <c r="J38" s="35">
        <f>$D$9</f>
        <v>0.15</v>
      </c>
      <c r="K38" s="34">
        <f>I38/(1-J38)</f>
        <v>8584.56</v>
      </c>
    </row>
    <row r="39" spans="2:11" x14ac:dyDescent="0.25">
      <c r="B39" t="s">
        <v>176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177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178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179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180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7296.88</v>
      </c>
      <c r="J44" s="68"/>
      <c r="K44" s="69">
        <f>SUM(K38:K43)</f>
        <v>8584.56</v>
      </c>
    </row>
    <row r="46" ht="24" customHeight="1" spans="1:11" x14ac:dyDescent="0.25">
      <c r="A46" s="25" t="s">
        <v>35</v>
      </c>
      <c r="B46" s="25" t="s">
        <v>181</v>
      </c>
      <c r="C46" s="25" t="s">
        <v>157</v>
      </c>
      <c r="D46" s="25" t="s">
        <v>158</v>
      </c>
      <c r="E46" s="25" t="s">
        <v>159</v>
      </c>
      <c r="F46" s="25" t="s">
        <v>160</v>
      </c>
      <c r="G46" s="25" t="s">
        <v>161</v>
      </c>
      <c r="H46" s="25" t="s">
        <v>35</v>
      </c>
      <c r="I46" s="25" t="s">
        <v>29</v>
      </c>
      <c r="J46" s="25" t="s">
        <v>148</v>
      </c>
      <c r="K46" s="25" t="s">
        <v>38</v>
      </c>
    </row>
    <row r="47" spans="1:11" x14ac:dyDescent="0.25">
      <c r="A47" s="33"/>
      <c r="B47" s="33" t="s">
        <v>182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183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184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185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186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187</v>
      </c>
      <c r="C54" s="28"/>
      <c r="D54" s="28"/>
      <c r="E54" s="28"/>
      <c r="F54" s="28"/>
      <c r="G54" s="28"/>
      <c r="H54" s="28"/>
      <c r="I54" s="30">
        <f>I26+I35+I44+I52</f>
        <v>82956.49</v>
      </c>
      <c r="J54" s="28"/>
      <c r="K54" s="30">
        <f>K26+K35+K44+K52</f>
        <v>95807.86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145</v>
      </c>
    </row>
    <row r="4" spans="1:1" x14ac:dyDescent="0.25">
      <c r="A4" s="15" t="s">
        <v>8</v>
      </c>
    </row>
    <row r="5" spans="1:1" x14ac:dyDescent="0.25">
      <c r="A5" s="15" t="s">
        <v>146</v>
      </c>
    </row>
    <row r="7" spans="3:3" x14ac:dyDescent="0.25">
      <c r="C7" s="26" t="s">
        <v>147</v>
      </c>
    </row>
    <row r="8" spans="3:4" x14ac:dyDescent="0.25">
      <c r="C8" t="s">
        <v>148</v>
      </c>
      <c r="D8" s="21">
        <v>0.15</v>
      </c>
    </row>
    <row r="9" spans="3:4" x14ac:dyDescent="0.25">
      <c r="C9" t="s">
        <v>149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150</v>
      </c>
      <c r="D11" s="21">
        <v>0.15</v>
      </c>
    </row>
    <row r="15" spans="2:2" x14ac:dyDescent="0.25">
      <c r="B15" s="64" t="s">
        <v>199</v>
      </c>
    </row>
    <row r="16" spans="2:5" x14ac:dyDescent="0.25">
      <c r="B16" s="4" t="s">
        <v>152</v>
      </c>
      <c r="C16" s="4" t="s">
        <v>153</v>
      </c>
      <c r="D16" s="4" t="s">
        <v>154</v>
      </c>
      <c r="E16" s="4" t="s">
        <v>155</v>
      </c>
    </row>
    <row r="17" spans="2:5" x14ac:dyDescent="0.25">
      <c r="B17" s="49">
        <v>9</v>
      </c>
      <c r="C17" s="49">
        <v>37.25</v>
      </c>
      <c r="D17" s="65">
        <v>335.25</v>
      </c>
      <c r="E17">
        <v>1</v>
      </c>
    </row>
    <row r="19" ht="24" customHeight="1" spans="1:11" x14ac:dyDescent="0.25">
      <c r="A19" s="25" t="s">
        <v>35</v>
      </c>
      <c r="B19" s="25" t="s">
        <v>156</v>
      </c>
      <c r="C19" s="25" t="s">
        <v>157</v>
      </c>
      <c r="D19" s="25" t="s">
        <v>158</v>
      </c>
      <c r="E19" s="25" t="s">
        <v>159</v>
      </c>
      <c r="F19" s="25" t="s">
        <v>160</v>
      </c>
      <c r="G19" s="25" t="s">
        <v>161</v>
      </c>
      <c r="H19" s="25" t="s">
        <v>35</v>
      </c>
      <c r="I19" s="25" t="s">
        <v>29</v>
      </c>
      <c r="J19" s="25" t="s">
        <v>148</v>
      </c>
      <c r="K19" s="25" t="s">
        <v>38</v>
      </c>
    </row>
    <row r="20" spans="1:11" x14ac:dyDescent="0.25">
      <c r="A20" s="33"/>
      <c r="B20" s="33" t="s">
        <v>162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163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164</v>
      </c>
      <c r="C22" s="66">
        <v>3858.75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3858.75</v>
      </c>
      <c r="J22" s="35">
        <f>$D$8</f>
        <v>0.15</v>
      </c>
      <c r="K22" s="34">
        <f>I22/(1-J22)</f>
        <v>4539.71</v>
      </c>
    </row>
    <row r="23" spans="2:11" x14ac:dyDescent="0.25">
      <c r="B23" t="s">
        <v>165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166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166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3858.75</v>
      </c>
      <c r="J26" s="68"/>
      <c r="K26" s="69">
        <f>SUM(K20:K25)</f>
        <v>4539.71</v>
      </c>
    </row>
    <row r="28" ht="24" customHeight="1" spans="1:11" x14ac:dyDescent="0.25">
      <c r="A28" s="25" t="s">
        <v>35</v>
      </c>
      <c r="B28" s="25" t="s">
        <v>167</v>
      </c>
      <c r="C28" s="25" t="s">
        <v>157</v>
      </c>
      <c r="D28" s="25" t="s">
        <v>158</v>
      </c>
      <c r="E28" s="25" t="s">
        <v>159</v>
      </c>
      <c r="F28" s="25" t="s">
        <v>160</v>
      </c>
      <c r="G28" s="25" t="s">
        <v>161</v>
      </c>
      <c r="H28" s="25" t="s">
        <v>35</v>
      </c>
      <c r="I28" s="25" t="s">
        <v>29</v>
      </c>
      <c r="J28" s="25" t="s">
        <v>148</v>
      </c>
      <c r="K28" s="25" t="s">
        <v>38</v>
      </c>
    </row>
    <row r="29" spans="1:11" x14ac:dyDescent="0.25">
      <c r="A29" s="33"/>
      <c r="B29" s="33" t="s">
        <v>168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169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170</v>
      </c>
      <c r="C31" s="66">
        <v>16078.13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16078.13</v>
      </c>
      <c r="J31" s="35">
        <f>$D$8</f>
        <v>0.15</v>
      </c>
      <c r="K31" s="34">
        <f>I31/(1-J31)</f>
        <v>18915.45</v>
      </c>
    </row>
    <row r="32" spans="2:11" x14ac:dyDescent="0.25">
      <c r="B32" t="s">
        <v>171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172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173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36960.479999999996</v>
      </c>
      <c r="J35" s="68"/>
      <c r="K35" s="69">
        <f>SUM(K29:K34)</f>
        <v>43482.92</v>
      </c>
    </row>
    <row r="37" ht="24" customHeight="1" spans="1:11" x14ac:dyDescent="0.25">
      <c r="A37" s="25" t="s">
        <v>35</v>
      </c>
      <c r="B37" s="25" t="s">
        <v>174</v>
      </c>
      <c r="C37" s="25" t="s">
        <v>157</v>
      </c>
      <c r="D37" s="25" t="s">
        <v>158</v>
      </c>
      <c r="E37" s="25" t="s">
        <v>159</v>
      </c>
      <c r="F37" s="25" t="s">
        <v>160</v>
      </c>
      <c r="G37" s="25" t="s">
        <v>161</v>
      </c>
      <c r="H37" s="25" t="s">
        <v>35</v>
      </c>
      <c r="I37" s="25" t="s">
        <v>29</v>
      </c>
      <c r="J37" s="25" t="s">
        <v>148</v>
      </c>
      <c r="K37" s="25" t="s">
        <v>38</v>
      </c>
    </row>
    <row r="38" spans="1:11" x14ac:dyDescent="0.25">
      <c r="A38" s="33"/>
      <c r="B38" s="33" t="s">
        <v>175</v>
      </c>
      <c r="C38" s="66">
        <v>16078.13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16078.13</v>
      </c>
      <c r="J38" s="35">
        <f>$D$9</f>
        <v>0.15</v>
      </c>
      <c r="K38" s="34">
        <f>I38/(1-J38)</f>
        <v>18915.45</v>
      </c>
    </row>
    <row r="39" spans="2:11" x14ac:dyDescent="0.25">
      <c r="B39" t="s">
        <v>176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177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178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179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180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16078.13</v>
      </c>
      <c r="J44" s="68"/>
      <c r="K44" s="69">
        <f>SUM(K38:K43)</f>
        <v>18915.45</v>
      </c>
    </row>
    <row r="46" ht="24" customHeight="1" spans="1:11" x14ac:dyDescent="0.25">
      <c r="A46" s="25" t="s">
        <v>35</v>
      </c>
      <c r="B46" s="25" t="s">
        <v>181</v>
      </c>
      <c r="C46" s="25" t="s">
        <v>157</v>
      </c>
      <c r="D46" s="25" t="s">
        <v>158</v>
      </c>
      <c r="E46" s="25" t="s">
        <v>159</v>
      </c>
      <c r="F46" s="25" t="s">
        <v>160</v>
      </c>
      <c r="G46" s="25" t="s">
        <v>161</v>
      </c>
      <c r="H46" s="25" t="s">
        <v>35</v>
      </c>
      <c r="I46" s="25" t="s">
        <v>29</v>
      </c>
      <c r="J46" s="25" t="s">
        <v>148</v>
      </c>
      <c r="K46" s="25" t="s">
        <v>38</v>
      </c>
    </row>
    <row r="47" spans="1:11" x14ac:dyDescent="0.25">
      <c r="A47" s="33"/>
      <c r="B47" s="33" t="s">
        <v>182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183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184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185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186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187</v>
      </c>
      <c r="C54" s="28"/>
      <c r="D54" s="28"/>
      <c r="E54" s="28"/>
      <c r="F54" s="28"/>
      <c r="G54" s="28"/>
      <c r="H54" s="28"/>
      <c r="I54" s="30">
        <f>I26+I35+I44+I52</f>
        <v>163553.02</v>
      </c>
      <c r="J54" s="28"/>
      <c r="K54" s="30">
        <f>K26+K35+K44+K52</f>
        <v>188471.2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145</v>
      </c>
    </row>
    <row r="4" spans="1:1" x14ac:dyDescent="0.25">
      <c r="A4" s="15" t="s">
        <v>8</v>
      </c>
    </row>
    <row r="5" spans="1:1" x14ac:dyDescent="0.25">
      <c r="A5" s="15" t="s">
        <v>146</v>
      </c>
    </row>
    <row r="7" spans="3:3" x14ac:dyDescent="0.25">
      <c r="C7" s="26" t="s">
        <v>147</v>
      </c>
    </row>
    <row r="8" spans="3:4" x14ac:dyDescent="0.25">
      <c r="C8" t="s">
        <v>148</v>
      </c>
      <c r="D8" s="21">
        <v>0.15</v>
      </c>
    </row>
    <row r="9" spans="3:4" x14ac:dyDescent="0.25">
      <c r="C9" t="s">
        <v>149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150</v>
      </c>
      <c r="D11" s="21">
        <v>0.15</v>
      </c>
    </row>
    <row r="15" spans="2:2" x14ac:dyDescent="0.25">
      <c r="B15" s="64" t="s">
        <v>196</v>
      </c>
    </row>
    <row r="16" spans="2:5" x14ac:dyDescent="0.25">
      <c r="B16" s="4" t="s">
        <v>152</v>
      </c>
      <c r="C16" s="4" t="s">
        <v>153</v>
      </c>
      <c r="D16" s="4" t="s">
        <v>154</v>
      </c>
      <c r="E16" s="4" t="s">
        <v>155</v>
      </c>
    </row>
    <row r="17" spans="2:5" x14ac:dyDescent="0.25">
      <c r="B17" s="49">
        <v>4</v>
      </c>
      <c r="C17" s="49">
        <v>6</v>
      </c>
      <c r="D17" s="65">
        <v>24</v>
      </c>
      <c r="E17">
        <v>1</v>
      </c>
    </row>
    <row r="19" ht="24" customHeight="1" spans="1:11" x14ac:dyDescent="0.25">
      <c r="A19" s="25" t="s">
        <v>35</v>
      </c>
      <c r="B19" s="25" t="s">
        <v>156</v>
      </c>
      <c r="C19" s="25" t="s">
        <v>157</v>
      </c>
      <c r="D19" s="25" t="s">
        <v>158</v>
      </c>
      <c r="E19" s="25" t="s">
        <v>159</v>
      </c>
      <c r="F19" s="25" t="s">
        <v>160</v>
      </c>
      <c r="G19" s="25" t="s">
        <v>161</v>
      </c>
      <c r="H19" s="25" t="s">
        <v>35</v>
      </c>
      <c r="I19" s="25" t="s">
        <v>29</v>
      </c>
      <c r="J19" s="25" t="s">
        <v>148</v>
      </c>
      <c r="K19" s="25" t="s">
        <v>38</v>
      </c>
    </row>
    <row r="20" spans="1:11" x14ac:dyDescent="0.25">
      <c r="A20" s="33"/>
      <c r="B20" s="33" t="s">
        <v>162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163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164</v>
      </c>
      <c r="C22" s="66">
        <v>277.5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277.5</v>
      </c>
      <c r="J22" s="35">
        <f>$D$8</f>
        <v>0.15</v>
      </c>
      <c r="K22" s="34">
        <f>I22/(1-J22)</f>
        <v>326.47</v>
      </c>
    </row>
    <row r="23" spans="2:11" x14ac:dyDescent="0.25">
      <c r="B23" t="s">
        <v>165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166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166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277.5</v>
      </c>
      <c r="J26" s="68"/>
      <c r="K26" s="69">
        <f>SUM(K20:K25)</f>
        <v>326.47</v>
      </c>
    </row>
    <row r="28" ht="24" customHeight="1" spans="1:11" x14ac:dyDescent="0.25">
      <c r="A28" s="25" t="s">
        <v>35</v>
      </c>
      <c r="B28" s="25" t="s">
        <v>167</v>
      </c>
      <c r="C28" s="25" t="s">
        <v>157</v>
      </c>
      <c r="D28" s="25" t="s">
        <v>158</v>
      </c>
      <c r="E28" s="25" t="s">
        <v>159</v>
      </c>
      <c r="F28" s="25" t="s">
        <v>160</v>
      </c>
      <c r="G28" s="25" t="s">
        <v>161</v>
      </c>
      <c r="H28" s="25" t="s">
        <v>35</v>
      </c>
      <c r="I28" s="25" t="s">
        <v>29</v>
      </c>
      <c r="J28" s="25" t="s">
        <v>148</v>
      </c>
      <c r="K28" s="25" t="s">
        <v>38</v>
      </c>
    </row>
    <row r="29" spans="1:11" x14ac:dyDescent="0.25">
      <c r="A29" s="33"/>
      <c r="B29" s="33" t="s">
        <v>168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169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170</v>
      </c>
      <c r="C31" s="66">
        <v>1156.25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1156.25</v>
      </c>
      <c r="J31" s="35">
        <f>$D$8</f>
        <v>0.15</v>
      </c>
      <c r="K31" s="34">
        <f>I31/(1-J31)</f>
        <v>1360.29</v>
      </c>
    </row>
    <row r="32" spans="2:11" x14ac:dyDescent="0.25">
      <c r="B32" t="s">
        <v>171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172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173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22038.6</v>
      </c>
      <c r="J35" s="68"/>
      <c r="K35" s="69">
        <f>SUM(K29:K34)</f>
        <v>25927.76</v>
      </c>
    </row>
    <row r="37" ht="24" customHeight="1" spans="1:11" x14ac:dyDescent="0.25">
      <c r="A37" s="25" t="s">
        <v>35</v>
      </c>
      <c r="B37" s="25" t="s">
        <v>174</v>
      </c>
      <c r="C37" s="25" t="s">
        <v>157</v>
      </c>
      <c r="D37" s="25" t="s">
        <v>158</v>
      </c>
      <c r="E37" s="25" t="s">
        <v>159</v>
      </c>
      <c r="F37" s="25" t="s">
        <v>160</v>
      </c>
      <c r="G37" s="25" t="s">
        <v>161</v>
      </c>
      <c r="H37" s="25" t="s">
        <v>35</v>
      </c>
      <c r="I37" s="25" t="s">
        <v>29</v>
      </c>
      <c r="J37" s="25" t="s">
        <v>148</v>
      </c>
      <c r="K37" s="25" t="s">
        <v>38</v>
      </c>
    </row>
    <row r="38" spans="1:11" x14ac:dyDescent="0.25">
      <c r="A38" s="33"/>
      <c r="B38" s="33" t="s">
        <v>175</v>
      </c>
      <c r="C38" s="66">
        <v>1156.25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1156.25</v>
      </c>
      <c r="J38" s="35">
        <f>$D$9</f>
        <v>0.15</v>
      </c>
      <c r="K38" s="34">
        <f>I38/(1-J38)</f>
        <v>1360.29</v>
      </c>
    </row>
    <row r="39" spans="2:11" x14ac:dyDescent="0.25">
      <c r="B39" t="s">
        <v>176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177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178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179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180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1156.25</v>
      </c>
      <c r="J44" s="68"/>
      <c r="K44" s="69">
        <f>SUM(K38:K43)</f>
        <v>1360.29</v>
      </c>
    </row>
    <row r="46" ht="24" customHeight="1" spans="1:11" x14ac:dyDescent="0.25">
      <c r="A46" s="25" t="s">
        <v>35</v>
      </c>
      <c r="B46" s="25" t="s">
        <v>181</v>
      </c>
      <c r="C46" s="25" t="s">
        <v>157</v>
      </c>
      <c r="D46" s="25" t="s">
        <v>158</v>
      </c>
      <c r="E46" s="25" t="s">
        <v>159</v>
      </c>
      <c r="F46" s="25" t="s">
        <v>160</v>
      </c>
      <c r="G46" s="25" t="s">
        <v>161</v>
      </c>
      <c r="H46" s="25" t="s">
        <v>35</v>
      </c>
      <c r="I46" s="25" t="s">
        <v>29</v>
      </c>
      <c r="J46" s="25" t="s">
        <v>148</v>
      </c>
      <c r="K46" s="25" t="s">
        <v>38</v>
      </c>
    </row>
    <row r="47" spans="1:11" x14ac:dyDescent="0.25">
      <c r="A47" s="33"/>
      <c r="B47" s="33" t="s">
        <v>182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183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184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185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186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187</v>
      </c>
      <c r="C54" s="28"/>
      <c r="D54" s="28"/>
      <c r="E54" s="28"/>
      <c r="F54" s="28"/>
      <c r="G54" s="28"/>
      <c r="H54" s="28"/>
      <c r="I54" s="30">
        <f>I26+I35+I44+I52</f>
        <v>35295.38</v>
      </c>
      <c r="J54" s="28"/>
      <c r="K54" s="30">
        <f>K26+K35+K44+K52</f>
        <v>40935.74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145</v>
      </c>
    </row>
    <row r="4" spans="1:1" x14ac:dyDescent="0.25">
      <c r="A4" s="15" t="s">
        <v>8</v>
      </c>
    </row>
    <row r="5" spans="1:1" x14ac:dyDescent="0.25">
      <c r="A5" s="15" t="s">
        <v>146</v>
      </c>
    </row>
    <row r="7" spans="3:3" x14ac:dyDescent="0.25">
      <c r="C7" s="26" t="s">
        <v>147</v>
      </c>
    </row>
    <row r="8" spans="3:4" x14ac:dyDescent="0.25">
      <c r="C8" t="s">
        <v>148</v>
      </c>
      <c r="D8" s="21">
        <v>0.15</v>
      </c>
    </row>
    <row r="9" spans="3:4" x14ac:dyDescent="0.25">
      <c r="C9" t="s">
        <v>149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150</v>
      </c>
      <c r="D11" s="21">
        <v>0.15</v>
      </c>
    </row>
    <row r="15" spans="2:2" x14ac:dyDescent="0.25">
      <c r="B15" s="64" t="s">
        <v>199</v>
      </c>
    </row>
    <row r="16" spans="2:5" x14ac:dyDescent="0.25">
      <c r="B16" s="4" t="s">
        <v>152</v>
      </c>
      <c r="C16" s="4" t="s">
        <v>153</v>
      </c>
      <c r="D16" s="4" t="s">
        <v>154</v>
      </c>
      <c r="E16" s="4" t="s">
        <v>155</v>
      </c>
    </row>
    <row r="17" spans="2:5" x14ac:dyDescent="0.25">
      <c r="B17" s="49">
        <v>9</v>
      </c>
      <c r="C17" s="49">
        <v>16</v>
      </c>
      <c r="D17" s="65">
        <v>144</v>
      </c>
      <c r="E17">
        <v>1</v>
      </c>
    </row>
    <row r="19" ht="24" customHeight="1" spans="1:11" x14ac:dyDescent="0.25">
      <c r="A19" s="25" t="s">
        <v>35</v>
      </c>
      <c r="B19" s="25" t="s">
        <v>156</v>
      </c>
      <c r="C19" s="25" t="s">
        <v>157</v>
      </c>
      <c r="D19" s="25" t="s">
        <v>158</v>
      </c>
      <c r="E19" s="25" t="s">
        <v>159</v>
      </c>
      <c r="F19" s="25" t="s">
        <v>160</v>
      </c>
      <c r="G19" s="25" t="s">
        <v>161</v>
      </c>
      <c r="H19" s="25" t="s">
        <v>35</v>
      </c>
      <c r="I19" s="25" t="s">
        <v>29</v>
      </c>
      <c r="J19" s="25" t="s">
        <v>148</v>
      </c>
      <c r="K19" s="25" t="s">
        <v>38</v>
      </c>
    </row>
    <row r="20" spans="1:11" x14ac:dyDescent="0.25">
      <c r="A20" s="33"/>
      <c r="B20" s="33" t="s">
        <v>162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163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164</v>
      </c>
      <c r="C22" s="66">
        <v>1657.5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1657.5</v>
      </c>
      <c r="J22" s="35">
        <f>$D$8</f>
        <v>0.15</v>
      </c>
      <c r="K22" s="34">
        <f>I22/(1-J22)</f>
        <v>1950</v>
      </c>
    </row>
    <row r="23" spans="2:11" x14ac:dyDescent="0.25">
      <c r="B23" t="s">
        <v>165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166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166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1657.5</v>
      </c>
      <c r="J26" s="68"/>
      <c r="K26" s="69">
        <f>SUM(K20:K25)</f>
        <v>1950</v>
      </c>
    </row>
    <row r="28" ht="24" customHeight="1" spans="1:11" x14ac:dyDescent="0.25">
      <c r="A28" s="25" t="s">
        <v>35</v>
      </c>
      <c r="B28" s="25" t="s">
        <v>167</v>
      </c>
      <c r="C28" s="25" t="s">
        <v>157</v>
      </c>
      <c r="D28" s="25" t="s">
        <v>158</v>
      </c>
      <c r="E28" s="25" t="s">
        <v>159</v>
      </c>
      <c r="F28" s="25" t="s">
        <v>160</v>
      </c>
      <c r="G28" s="25" t="s">
        <v>161</v>
      </c>
      <c r="H28" s="25" t="s">
        <v>35</v>
      </c>
      <c r="I28" s="25" t="s">
        <v>29</v>
      </c>
      <c r="J28" s="25" t="s">
        <v>148</v>
      </c>
      <c r="K28" s="25" t="s">
        <v>38</v>
      </c>
    </row>
    <row r="29" spans="1:11" x14ac:dyDescent="0.25">
      <c r="A29" s="33"/>
      <c r="B29" s="33" t="s">
        <v>168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169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170</v>
      </c>
      <c r="C31" s="66">
        <v>6906.25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6906.25</v>
      </c>
      <c r="J31" s="35">
        <f>$D$8</f>
        <v>0.15</v>
      </c>
      <c r="K31" s="34">
        <f>I31/(1-J31)</f>
        <v>8125</v>
      </c>
    </row>
    <row r="32" spans="2:11" x14ac:dyDescent="0.25">
      <c r="B32" t="s">
        <v>171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172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173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27788.6</v>
      </c>
      <c r="J35" s="68"/>
      <c r="K35" s="69">
        <f>SUM(K29:K34)</f>
        <v>32692.47</v>
      </c>
    </row>
    <row r="37" ht="24" customHeight="1" spans="1:11" x14ac:dyDescent="0.25">
      <c r="A37" s="25" t="s">
        <v>35</v>
      </c>
      <c r="B37" s="25" t="s">
        <v>174</v>
      </c>
      <c r="C37" s="25" t="s">
        <v>157</v>
      </c>
      <c r="D37" s="25" t="s">
        <v>158</v>
      </c>
      <c r="E37" s="25" t="s">
        <v>159</v>
      </c>
      <c r="F37" s="25" t="s">
        <v>160</v>
      </c>
      <c r="G37" s="25" t="s">
        <v>161</v>
      </c>
      <c r="H37" s="25" t="s">
        <v>35</v>
      </c>
      <c r="I37" s="25" t="s">
        <v>29</v>
      </c>
      <c r="J37" s="25" t="s">
        <v>148</v>
      </c>
      <c r="K37" s="25" t="s">
        <v>38</v>
      </c>
    </row>
    <row r="38" spans="1:11" x14ac:dyDescent="0.25">
      <c r="A38" s="33"/>
      <c r="B38" s="33" t="s">
        <v>175</v>
      </c>
      <c r="C38" s="66">
        <v>6906.25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6906.25</v>
      </c>
      <c r="J38" s="35">
        <f>$D$9</f>
        <v>0.15</v>
      </c>
      <c r="K38" s="34">
        <f>I38/(1-J38)</f>
        <v>8125</v>
      </c>
    </row>
    <row r="39" spans="2:11" x14ac:dyDescent="0.25">
      <c r="B39" t="s">
        <v>176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177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178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179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180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6906.25</v>
      </c>
      <c r="J44" s="68"/>
      <c r="K44" s="69">
        <f>SUM(K38:K43)</f>
        <v>8125</v>
      </c>
    </row>
    <row r="46" ht="24" customHeight="1" spans="1:11" x14ac:dyDescent="0.25">
      <c r="A46" s="25" t="s">
        <v>35</v>
      </c>
      <c r="B46" s="25" t="s">
        <v>181</v>
      </c>
      <c r="C46" s="25" t="s">
        <v>157</v>
      </c>
      <c r="D46" s="25" t="s">
        <v>158</v>
      </c>
      <c r="E46" s="25" t="s">
        <v>159</v>
      </c>
      <c r="F46" s="25" t="s">
        <v>160</v>
      </c>
      <c r="G46" s="25" t="s">
        <v>161</v>
      </c>
      <c r="H46" s="25" t="s">
        <v>35</v>
      </c>
      <c r="I46" s="25" t="s">
        <v>29</v>
      </c>
      <c r="J46" s="25" t="s">
        <v>148</v>
      </c>
      <c r="K46" s="25" t="s">
        <v>38</v>
      </c>
    </row>
    <row r="47" spans="1:11" x14ac:dyDescent="0.25">
      <c r="A47" s="33"/>
      <c r="B47" s="33" t="s">
        <v>182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183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184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185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186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187</v>
      </c>
      <c r="C54" s="28"/>
      <c r="D54" s="28"/>
      <c r="E54" s="28"/>
      <c r="F54" s="28"/>
      <c r="G54" s="28"/>
      <c r="H54" s="28"/>
      <c r="I54" s="30">
        <f>I26+I35+I44+I52</f>
        <v>79951.1</v>
      </c>
      <c r="J54" s="28"/>
      <c r="K54" s="30">
        <f>K26+K35+K44+K52</f>
        <v>92366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145</v>
      </c>
    </row>
    <row r="4" spans="1:1" x14ac:dyDescent="0.25">
      <c r="A4" s="15" t="s">
        <v>8</v>
      </c>
    </row>
    <row r="5" spans="1:1" x14ac:dyDescent="0.25">
      <c r="A5" s="15" t="s">
        <v>146</v>
      </c>
    </row>
    <row r="7" spans="3:3" x14ac:dyDescent="0.25">
      <c r="C7" s="26" t="s">
        <v>147</v>
      </c>
    </row>
    <row r="8" spans="3:4" x14ac:dyDescent="0.25">
      <c r="C8" t="s">
        <v>148</v>
      </c>
      <c r="D8" s="21">
        <v>0.15</v>
      </c>
    </row>
    <row r="9" spans="3:4" x14ac:dyDescent="0.25">
      <c r="C9" t="s">
        <v>149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150</v>
      </c>
      <c r="D11" s="21">
        <v>0.15</v>
      </c>
    </row>
    <row r="15" spans="2:2" x14ac:dyDescent="0.25">
      <c r="B15" s="64" t="s">
        <v>196</v>
      </c>
    </row>
    <row r="16" spans="2:5" x14ac:dyDescent="0.25">
      <c r="B16" s="4" t="s">
        <v>152</v>
      </c>
      <c r="C16" s="4" t="s">
        <v>153</v>
      </c>
      <c r="D16" s="4" t="s">
        <v>154</v>
      </c>
      <c r="E16" s="4" t="s">
        <v>155</v>
      </c>
    </row>
    <row r="17" spans="2:5" x14ac:dyDescent="0.25">
      <c r="B17" s="49">
        <v>4</v>
      </c>
      <c r="C17" s="49">
        <v>6</v>
      </c>
      <c r="D17" s="65">
        <v>24</v>
      </c>
      <c r="E17">
        <v>1</v>
      </c>
    </row>
    <row r="19" ht="24" customHeight="1" spans="1:11" x14ac:dyDescent="0.25">
      <c r="A19" s="25" t="s">
        <v>35</v>
      </c>
      <c r="B19" s="25" t="s">
        <v>156</v>
      </c>
      <c r="C19" s="25" t="s">
        <v>157</v>
      </c>
      <c r="D19" s="25" t="s">
        <v>158</v>
      </c>
      <c r="E19" s="25" t="s">
        <v>159</v>
      </c>
      <c r="F19" s="25" t="s">
        <v>160</v>
      </c>
      <c r="G19" s="25" t="s">
        <v>161</v>
      </c>
      <c r="H19" s="25" t="s">
        <v>35</v>
      </c>
      <c r="I19" s="25" t="s">
        <v>29</v>
      </c>
      <c r="J19" s="25" t="s">
        <v>148</v>
      </c>
      <c r="K19" s="25" t="s">
        <v>38</v>
      </c>
    </row>
    <row r="20" spans="1:11" x14ac:dyDescent="0.25">
      <c r="A20" s="33"/>
      <c r="B20" s="33" t="s">
        <v>162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163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164</v>
      </c>
      <c r="C22" s="66">
        <v>277.5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277.5</v>
      </c>
      <c r="J22" s="35">
        <f>$D$8</f>
        <v>0.15</v>
      </c>
      <c r="K22" s="34">
        <f>I22/(1-J22)</f>
        <v>326.47</v>
      </c>
    </row>
    <row r="23" spans="2:11" x14ac:dyDescent="0.25">
      <c r="B23" t="s">
        <v>165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166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166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277.5</v>
      </c>
      <c r="J26" s="68"/>
      <c r="K26" s="69">
        <f>SUM(K20:K25)</f>
        <v>326.47</v>
      </c>
    </row>
    <row r="28" ht="24" customHeight="1" spans="1:11" x14ac:dyDescent="0.25">
      <c r="A28" s="25" t="s">
        <v>35</v>
      </c>
      <c r="B28" s="25" t="s">
        <v>167</v>
      </c>
      <c r="C28" s="25" t="s">
        <v>157</v>
      </c>
      <c r="D28" s="25" t="s">
        <v>158</v>
      </c>
      <c r="E28" s="25" t="s">
        <v>159</v>
      </c>
      <c r="F28" s="25" t="s">
        <v>160</v>
      </c>
      <c r="G28" s="25" t="s">
        <v>161</v>
      </c>
      <c r="H28" s="25" t="s">
        <v>35</v>
      </c>
      <c r="I28" s="25" t="s">
        <v>29</v>
      </c>
      <c r="J28" s="25" t="s">
        <v>148</v>
      </c>
      <c r="K28" s="25" t="s">
        <v>38</v>
      </c>
    </row>
    <row r="29" spans="1:11" x14ac:dyDescent="0.25">
      <c r="A29" s="33"/>
      <c r="B29" s="33" t="s">
        <v>168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169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170</v>
      </c>
      <c r="C31" s="66">
        <v>1156.25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1156.25</v>
      </c>
      <c r="J31" s="35">
        <f>$D$8</f>
        <v>0.15</v>
      </c>
      <c r="K31" s="34">
        <f>I31/(1-J31)</f>
        <v>1360.29</v>
      </c>
    </row>
    <row r="32" spans="2:11" x14ac:dyDescent="0.25">
      <c r="B32" t="s">
        <v>171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172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173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22038.6</v>
      </c>
      <c r="J35" s="68"/>
      <c r="K35" s="69">
        <f>SUM(K29:K34)</f>
        <v>25927.76</v>
      </c>
    </row>
    <row r="37" ht="24" customHeight="1" spans="1:11" x14ac:dyDescent="0.25">
      <c r="A37" s="25" t="s">
        <v>35</v>
      </c>
      <c r="B37" s="25" t="s">
        <v>174</v>
      </c>
      <c r="C37" s="25" t="s">
        <v>157</v>
      </c>
      <c r="D37" s="25" t="s">
        <v>158</v>
      </c>
      <c r="E37" s="25" t="s">
        <v>159</v>
      </c>
      <c r="F37" s="25" t="s">
        <v>160</v>
      </c>
      <c r="G37" s="25" t="s">
        <v>161</v>
      </c>
      <c r="H37" s="25" t="s">
        <v>35</v>
      </c>
      <c r="I37" s="25" t="s">
        <v>29</v>
      </c>
      <c r="J37" s="25" t="s">
        <v>148</v>
      </c>
      <c r="K37" s="25" t="s">
        <v>38</v>
      </c>
    </row>
    <row r="38" spans="1:11" x14ac:dyDescent="0.25">
      <c r="A38" s="33"/>
      <c r="B38" s="33" t="s">
        <v>175</v>
      </c>
      <c r="C38" s="66">
        <v>1156.25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1156.25</v>
      </c>
      <c r="J38" s="35">
        <f>$D$9</f>
        <v>0.15</v>
      </c>
      <c r="K38" s="34">
        <f>I38/(1-J38)</f>
        <v>1360.29</v>
      </c>
    </row>
    <row r="39" spans="2:11" x14ac:dyDescent="0.25">
      <c r="B39" t="s">
        <v>176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177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178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179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180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1156.25</v>
      </c>
      <c r="J44" s="68"/>
      <c r="K44" s="69">
        <f>SUM(K38:K43)</f>
        <v>1360.29</v>
      </c>
    </row>
    <row r="46" ht="24" customHeight="1" spans="1:11" x14ac:dyDescent="0.25">
      <c r="A46" s="25" t="s">
        <v>35</v>
      </c>
      <c r="B46" s="25" t="s">
        <v>181</v>
      </c>
      <c r="C46" s="25" t="s">
        <v>157</v>
      </c>
      <c r="D46" s="25" t="s">
        <v>158</v>
      </c>
      <c r="E46" s="25" t="s">
        <v>159</v>
      </c>
      <c r="F46" s="25" t="s">
        <v>160</v>
      </c>
      <c r="G46" s="25" t="s">
        <v>161</v>
      </c>
      <c r="H46" s="25" t="s">
        <v>35</v>
      </c>
      <c r="I46" s="25" t="s">
        <v>29</v>
      </c>
      <c r="J46" s="25" t="s">
        <v>148</v>
      </c>
      <c r="K46" s="25" t="s">
        <v>38</v>
      </c>
    </row>
    <row r="47" spans="1:11" x14ac:dyDescent="0.25">
      <c r="A47" s="33"/>
      <c r="B47" s="33" t="s">
        <v>182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183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184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185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186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187</v>
      </c>
      <c r="C54" s="28"/>
      <c r="D54" s="28"/>
      <c r="E54" s="28"/>
      <c r="F54" s="28"/>
      <c r="G54" s="28"/>
      <c r="H54" s="28"/>
      <c r="I54" s="30">
        <f>I26+I35+I44+I52</f>
        <v>35295.38</v>
      </c>
      <c r="J54" s="28"/>
      <c r="K54" s="30">
        <f>K26+K35+K44+K52</f>
        <v>40935.74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145</v>
      </c>
    </row>
    <row r="4" spans="1:1" x14ac:dyDescent="0.25">
      <c r="A4" s="15" t="s">
        <v>8</v>
      </c>
    </row>
    <row r="5" spans="1:1" x14ac:dyDescent="0.25">
      <c r="A5" s="15" t="s">
        <v>146</v>
      </c>
    </row>
    <row r="7" spans="3:3" x14ac:dyDescent="0.25">
      <c r="C7" s="26" t="s">
        <v>147</v>
      </c>
    </row>
    <row r="8" spans="3:4" x14ac:dyDescent="0.25">
      <c r="C8" t="s">
        <v>148</v>
      </c>
      <c r="D8" s="21">
        <v>0.15</v>
      </c>
    </row>
    <row r="9" spans="3:4" x14ac:dyDescent="0.25">
      <c r="C9" t="s">
        <v>149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150</v>
      </c>
      <c r="D11" s="21">
        <v>0.15</v>
      </c>
    </row>
    <row r="15" spans="2:2" x14ac:dyDescent="0.25">
      <c r="B15" s="64" t="s">
        <v>196</v>
      </c>
    </row>
    <row r="16" spans="2:5" x14ac:dyDescent="0.25">
      <c r="B16" s="4" t="s">
        <v>152</v>
      </c>
      <c r="C16" s="4" t="s">
        <v>153</v>
      </c>
      <c r="D16" s="4" t="s">
        <v>154</v>
      </c>
      <c r="E16" s="4" t="s">
        <v>155</v>
      </c>
    </row>
    <row r="17" spans="2:5" x14ac:dyDescent="0.25">
      <c r="B17" s="49">
        <v>4</v>
      </c>
      <c r="C17" s="49">
        <v>6</v>
      </c>
      <c r="D17" s="65">
        <v>24</v>
      </c>
      <c r="E17">
        <v>1</v>
      </c>
    </row>
    <row r="19" ht="24" customHeight="1" spans="1:11" x14ac:dyDescent="0.25">
      <c r="A19" s="25" t="s">
        <v>35</v>
      </c>
      <c r="B19" s="25" t="s">
        <v>156</v>
      </c>
      <c r="C19" s="25" t="s">
        <v>157</v>
      </c>
      <c r="D19" s="25" t="s">
        <v>158</v>
      </c>
      <c r="E19" s="25" t="s">
        <v>159</v>
      </c>
      <c r="F19" s="25" t="s">
        <v>160</v>
      </c>
      <c r="G19" s="25" t="s">
        <v>161</v>
      </c>
      <c r="H19" s="25" t="s">
        <v>35</v>
      </c>
      <c r="I19" s="25" t="s">
        <v>29</v>
      </c>
      <c r="J19" s="25" t="s">
        <v>148</v>
      </c>
      <c r="K19" s="25" t="s">
        <v>38</v>
      </c>
    </row>
    <row r="20" spans="1:11" x14ac:dyDescent="0.25">
      <c r="A20" s="33"/>
      <c r="B20" s="33" t="s">
        <v>162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163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164</v>
      </c>
      <c r="C22" s="66">
        <v>277.5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277.5</v>
      </c>
      <c r="J22" s="35">
        <f>$D$8</f>
        <v>0.15</v>
      </c>
      <c r="K22" s="34">
        <f>I22/(1-J22)</f>
        <v>326.47</v>
      </c>
    </row>
    <row r="23" spans="2:11" x14ac:dyDescent="0.25">
      <c r="B23" t="s">
        <v>165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166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166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277.5</v>
      </c>
      <c r="J26" s="68"/>
      <c r="K26" s="69">
        <f>SUM(K20:K25)</f>
        <v>326.47</v>
      </c>
    </row>
    <row r="28" ht="24" customHeight="1" spans="1:11" x14ac:dyDescent="0.25">
      <c r="A28" s="25" t="s">
        <v>35</v>
      </c>
      <c r="B28" s="25" t="s">
        <v>167</v>
      </c>
      <c r="C28" s="25" t="s">
        <v>157</v>
      </c>
      <c r="D28" s="25" t="s">
        <v>158</v>
      </c>
      <c r="E28" s="25" t="s">
        <v>159</v>
      </c>
      <c r="F28" s="25" t="s">
        <v>160</v>
      </c>
      <c r="G28" s="25" t="s">
        <v>161</v>
      </c>
      <c r="H28" s="25" t="s">
        <v>35</v>
      </c>
      <c r="I28" s="25" t="s">
        <v>29</v>
      </c>
      <c r="J28" s="25" t="s">
        <v>148</v>
      </c>
      <c r="K28" s="25" t="s">
        <v>38</v>
      </c>
    </row>
    <row r="29" spans="1:11" x14ac:dyDescent="0.25">
      <c r="A29" s="33"/>
      <c r="B29" s="33" t="s">
        <v>168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169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170</v>
      </c>
      <c r="C31" s="66">
        <v>1156.25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1156.25</v>
      </c>
      <c r="J31" s="35">
        <f>$D$8</f>
        <v>0.15</v>
      </c>
      <c r="K31" s="34">
        <f>I31/(1-J31)</f>
        <v>1360.29</v>
      </c>
    </row>
    <row r="32" spans="2:11" x14ac:dyDescent="0.25">
      <c r="B32" t="s">
        <v>171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172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173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22038.6</v>
      </c>
      <c r="J35" s="68"/>
      <c r="K35" s="69">
        <f>SUM(K29:K34)</f>
        <v>25927.76</v>
      </c>
    </row>
    <row r="37" ht="24" customHeight="1" spans="1:11" x14ac:dyDescent="0.25">
      <c r="A37" s="25" t="s">
        <v>35</v>
      </c>
      <c r="B37" s="25" t="s">
        <v>174</v>
      </c>
      <c r="C37" s="25" t="s">
        <v>157</v>
      </c>
      <c r="D37" s="25" t="s">
        <v>158</v>
      </c>
      <c r="E37" s="25" t="s">
        <v>159</v>
      </c>
      <c r="F37" s="25" t="s">
        <v>160</v>
      </c>
      <c r="G37" s="25" t="s">
        <v>161</v>
      </c>
      <c r="H37" s="25" t="s">
        <v>35</v>
      </c>
      <c r="I37" s="25" t="s">
        <v>29</v>
      </c>
      <c r="J37" s="25" t="s">
        <v>148</v>
      </c>
      <c r="K37" s="25" t="s">
        <v>38</v>
      </c>
    </row>
    <row r="38" spans="1:11" x14ac:dyDescent="0.25">
      <c r="A38" s="33"/>
      <c r="B38" s="33" t="s">
        <v>175</v>
      </c>
      <c r="C38" s="66">
        <v>1156.25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1156.25</v>
      </c>
      <c r="J38" s="35">
        <f>$D$9</f>
        <v>0.15</v>
      </c>
      <c r="K38" s="34">
        <f>I38/(1-J38)</f>
        <v>1360.29</v>
      </c>
    </row>
    <row r="39" spans="2:11" x14ac:dyDescent="0.25">
      <c r="B39" t="s">
        <v>176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177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178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179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180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1156.25</v>
      </c>
      <c r="J44" s="68"/>
      <c r="K44" s="69">
        <f>SUM(K38:K43)</f>
        <v>1360.29</v>
      </c>
    </row>
    <row r="46" ht="24" customHeight="1" spans="1:11" x14ac:dyDescent="0.25">
      <c r="A46" s="25" t="s">
        <v>35</v>
      </c>
      <c r="B46" s="25" t="s">
        <v>181</v>
      </c>
      <c r="C46" s="25" t="s">
        <v>157</v>
      </c>
      <c r="D46" s="25" t="s">
        <v>158</v>
      </c>
      <c r="E46" s="25" t="s">
        <v>159</v>
      </c>
      <c r="F46" s="25" t="s">
        <v>160</v>
      </c>
      <c r="G46" s="25" t="s">
        <v>161</v>
      </c>
      <c r="H46" s="25" t="s">
        <v>35</v>
      </c>
      <c r="I46" s="25" t="s">
        <v>29</v>
      </c>
      <c r="J46" s="25" t="s">
        <v>148</v>
      </c>
      <c r="K46" s="25" t="s">
        <v>38</v>
      </c>
    </row>
    <row r="47" spans="1:11" x14ac:dyDescent="0.25">
      <c r="A47" s="33"/>
      <c r="B47" s="33" t="s">
        <v>182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183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184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185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186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187</v>
      </c>
      <c r="C54" s="28"/>
      <c r="D54" s="28"/>
      <c r="E54" s="28"/>
      <c r="F54" s="28"/>
      <c r="G54" s="28"/>
      <c r="H54" s="28"/>
      <c r="I54" s="30">
        <f>I26+I35+I44+I52</f>
        <v>35295.38</v>
      </c>
      <c r="J54" s="28"/>
      <c r="K54" s="30">
        <f>K26+K35+K44+K52</f>
        <v>40935.74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145</v>
      </c>
    </row>
    <row r="4" spans="1:1" x14ac:dyDescent="0.25">
      <c r="A4" s="15" t="s">
        <v>8</v>
      </c>
    </row>
    <row r="5" spans="1:1" x14ac:dyDescent="0.25">
      <c r="A5" s="15" t="s">
        <v>146</v>
      </c>
    </row>
    <row r="7" spans="3:3" x14ac:dyDescent="0.25">
      <c r="C7" s="26" t="s">
        <v>147</v>
      </c>
    </row>
    <row r="8" spans="3:4" x14ac:dyDescent="0.25">
      <c r="C8" t="s">
        <v>148</v>
      </c>
      <c r="D8" s="21">
        <v>0.15</v>
      </c>
    </row>
    <row r="9" spans="3:4" x14ac:dyDescent="0.25">
      <c r="C9" t="s">
        <v>149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150</v>
      </c>
      <c r="D11" s="21">
        <v>0.15</v>
      </c>
    </row>
    <row r="15" spans="2:2" x14ac:dyDescent="0.25">
      <c r="B15" s="64" t="s">
        <v>197</v>
      </c>
    </row>
    <row r="16" spans="2:5" x14ac:dyDescent="0.25">
      <c r="B16" s="4" t="s">
        <v>152</v>
      </c>
      <c r="C16" s="4" t="s">
        <v>153</v>
      </c>
      <c r="D16" s="4" t="s">
        <v>154</v>
      </c>
      <c r="E16" s="4" t="s">
        <v>155</v>
      </c>
    </row>
    <row r="17" spans="2:5" x14ac:dyDescent="0.25">
      <c r="B17" s="49">
        <v>9</v>
      </c>
      <c r="C17" s="49">
        <v>16</v>
      </c>
      <c r="D17" s="65">
        <v>144</v>
      </c>
      <c r="E17">
        <v>1</v>
      </c>
    </row>
    <row r="19" ht="24" customHeight="1" spans="1:11" x14ac:dyDescent="0.25">
      <c r="A19" s="25" t="s">
        <v>35</v>
      </c>
      <c r="B19" s="25" t="s">
        <v>156</v>
      </c>
      <c r="C19" s="25" t="s">
        <v>157</v>
      </c>
      <c r="D19" s="25" t="s">
        <v>158</v>
      </c>
      <c r="E19" s="25" t="s">
        <v>159</v>
      </c>
      <c r="F19" s="25" t="s">
        <v>160</v>
      </c>
      <c r="G19" s="25" t="s">
        <v>161</v>
      </c>
      <c r="H19" s="25" t="s">
        <v>35</v>
      </c>
      <c r="I19" s="25" t="s">
        <v>29</v>
      </c>
      <c r="J19" s="25" t="s">
        <v>148</v>
      </c>
      <c r="K19" s="25" t="s">
        <v>38</v>
      </c>
    </row>
    <row r="20" spans="1:11" x14ac:dyDescent="0.25">
      <c r="A20" s="33"/>
      <c r="B20" s="33" t="s">
        <v>162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163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164</v>
      </c>
      <c r="C22" s="66">
        <v>1657.5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1657.5</v>
      </c>
      <c r="J22" s="35">
        <f>$D$8</f>
        <v>0.15</v>
      </c>
      <c r="K22" s="34">
        <f>I22/(1-J22)</f>
        <v>1950</v>
      </c>
    </row>
    <row r="23" spans="2:11" x14ac:dyDescent="0.25">
      <c r="B23" t="s">
        <v>165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166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166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1657.5</v>
      </c>
      <c r="J26" s="68"/>
      <c r="K26" s="69">
        <f>SUM(K20:K25)</f>
        <v>1950</v>
      </c>
    </row>
    <row r="28" ht="24" customHeight="1" spans="1:11" x14ac:dyDescent="0.25">
      <c r="A28" s="25" t="s">
        <v>35</v>
      </c>
      <c r="B28" s="25" t="s">
        <v>167</v>
      </c>
      <c r="C28" s="25" t="s">
        <v>157</v>
      </c>
      <c r="D28" s="25" t="s">
        <v>158</v>
      </c>
      <c r="E28" s="25" t="s">
        <v>159</v>
      </c>
      <c r="F28" s="25" t="s">
        <v>160</v>
      </c>
      <c r="G28" s="25" t="s">
        <v>161</v>
      </c>
      <c r="H28" s="25" t="s">
        <v>35</v>
      </c>
      <c r="I28" s="25" t="s">
        <v>29</v>
      </c>
      <c r="J28" s="25" t="s">
        <v>148</v>
      </c>
      <c r="K28" s="25" t="s">
        <v>38</v>
      </c>
    </row>
    <row r="29" spans="1:11" x14ac:dyDescent="0.25">
      <c r="A29" s="33"/>
      <c r="B29" s="33" t="s">
        <v>168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169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170</v>
      </c>
      <c r="C31" s="66">
        <v>6906.25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6906.25</v>
      </c>
      <c r="J31" s="35">
        <f>$D$8</f>
        <v>0.15</v>
      </c>
      <c r="K31" s="34">
        <f>I31/(1-J31)</f>
        <v>8125</v>
      </c>
    </row>
    <row r="32" spans="2:11" x14ac:dyDescent="0.25">
      <c r="B32" t="s">
        <v>171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172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173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27788.6</v>
      </c>
      <c r="J35" s="68"/>
      <c r="K35" s="69">
        <f>SUM(K29:K34)</f>
        <v>32692.47</v>
      </c>
    </row>
    <row r="37" ht="24" customHeight="1" spans="1:11" x14ac:dyDescent="0.25">
      <c r="A37" s="25" t="s">
        <v>35</v>
      </c>
      <c r="B37" s="25" t="s">
        <v>174</v>
      </c>
      <c r="C37" s="25" t="s">
        <v>157</v>
      </c>
      <c r="D37" s="25" t="s">
        <v>158</v>
      </c>
      <c r="E37" s="25" t="s">
        <v>159</v>
      </c>
      <c r="F37" s="25" t="s">
        <v>160</v>
      </c>
      <c r="G37" s="25" t="s">
        <v>161</v>
      </c>
      <c r="H37" s="25" t="s">
        <v>35</v>
      </c>
      <c r="I37" s="25" t="s">
        <v>29</v>
      </c>
      <c r="J37" s="25" t="s">
        <v>148</v>
      </c>
      <c r="K37" s="25" t="s">
        <v>38</v>
      </c>
    </row>
    <row r="38" spans="1:11" x14ac:dyDescent="0.25">
      <c r="A38" s="33"/>
      <c r="B38" s="33" t="s">
        <v>175</v>
      </c>
      <c r="C38" s="66">
        <v>6906.25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6906.25</v>
      </c>
      <c r="J38" s="35">
        <f>$D$9</f>
        <v>0.15</v>
      </c>
      <c r="K38" s="34">
        <f>I38/(1-J38)</f>
        <v>8125</v>
      </c>
    </row>
    <row r="39" spans="2:11" x14ac:dyDescent="0.25">
      <c r="B39" t="s">
        <v>176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177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178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179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180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6906.25</v>
      </c>
      <c r="J44" s="68"/>
      <c r="K44" s="69">
        <f>SUM(K38:K43)</f>
        <v>8125</v>
      </c>
    </row>
    <row r="46" ht="24" customHeight="1" spans="1:11" x14ac:dyDescent="0.25">
      <c r="A46" s="25" t="s">
        <v>35</v>
      </c>
      <c r="B46" s="25" t="s">
        <v>181</v>
      </c>
      <c r="C46" s="25" t="s">
        <v>157</v>
      </c>
      <c r="D46" s="25" t="s">
        <v>158</v>
      </c>
      <c r="E46" s="25" t="s">
        <v>159</v>
      </c>
      <c r="F46" s="25" t="s">
        <v>160</v>
      </c>
      <c r="G46" s="25" t="s">
        <v>161</v>
      </c>
      <c r="H46" s="25" t="s">
        <v>35</v>
      </c>
      <c r="I46" s="25" t="s">
        <v>29</v>
      </c>
      <c r="J46" s="25" t="s">
        <v>148</v>
      </c>
      <c r="K46" s="25" t="s">
        <v>38</v>
      </c>
    </row>
    <row r="47" spans="1:11" x14ac:dyDescent="0.25">
      <c r="A47" s="33"/>
      <c r="B47" s="33" t="s">
        <v>182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183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184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185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186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187</v>
      </c>
      <c r="C54" s="28"/>
      <c r="D54" s="28"/>
      <c r="E54" s="28"/>
      <c r="F54" s="28"/>
      <c r="G54" s="28"/>
      <c r="H54" s="28"/>
      <c r="I54" s="30">
        <f>I26+I35+I44+I52</f>
        <v>79951.1</v>
      </c>
      <c r="J54" s="28"/>
      <c r="K54" s="30">
        <f>K26+K35+K44+K52</f>
        <v>92366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145</v>
      </c>
    </row>
    <row r="4" spans="1:1" x14ac:dyDescent="0.25">
      <c r="A4" s="15" t="s">
        <v>8</v>
      </c>
    </row>
    <row r="5" spans="1:1" x14ac:dyDescent="0.25">
      <c r="A5" s="15" t="s">
        <v>146</v>
      </c>
    </row>
    <row r="7" spans="3:3" x14ac:dyDescent="0.25">
      <c r="C7" s="26" t="s">
        <v>147</v>
      </c>
    </row>
    <row r="8" spans="3:4" x14ac:dyDescent="0.25">
      <c r="C8" t="s">
        <v>148</v>
      </c>
      <c r="D8" s="21">
        <v>0.15</v>
      </c>
    </row>
    <row r="9" spans="3:4" x14ac:dyDescent="0.25">
      <c r="C9" t="s">
        <v>149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150</v>
      </c>
      <c r="D11" s="21">
        <v>0.15</v>
      </c>
    </row>
    <row r="15" spans="2:2" x14ac:dyDescent="0.25">
      <c r="B15" s="64" t="s">
        <v>200</v>
      </c>
    </row>
    <row r="16" spans="2:5" x14ac:dyDescent="0.25">
      <c r="B16" s="4" t="s">
        <v>152</v>
      </c>
      <c r="C16" s="4" t="s">
        <v>153</v>
      </c>
      <c r="D16" s="4" t="s">
        <v>154</v>
      </c>
      <c r="E16" s="4" t="s">
        <v>155</v>
      </c>
    </row>
    <row r="17" spans="2:5" x14ac:dyDescent="0.25">
      <c r="B17" s="49">
        <v>3</v>
      </c>
      <c r="C17" s="49">
        <v>20</v>
      </c>
      <c r="D17" s="65">
        <v>60</v>
      </c>
      <c r="E17">
        <v>1</v>
      </c>
    </row>
    <row r="19" ht="24" customHeight="1" spans="1:11" x14ac:dyDescent="0.25">
      <c r="A19" s="25" t="s">
        <v>35</v>
      </c>
      <c r="B19" s="25" t="s">
        <v>156</v>
      </c>
      <c r="C19" s="25" t="s">
        <v>157</v>
      </c>
      <c r="D19" s="25" t="s">
        <v>158</v>
      </c>
      <c r="E19" s="25" t="s">
        <v>159</v>
      </c>
      <c r="F19" s="25" t="s">
        <v>160</v>
      </c>
      <c r="G19" s="25" t="s">
        <v>161</v>
      </c>
      <c r="H19" s="25" t="s">
        <v>35</v>
      </c>
      <c r="I19" s="25" t="s">
        <v>29</v>
      </c>
      <c r="J19" s="25" t="s">
        <v>148</v>
      </c>
      <c r="K19" s="25" t="s">
        <v>38</v>
      </c>
    </row>
    <row r="20" spans="1:11" x14ac:dyDescent="0.25">
      <c r="A20" s="33"/>
      <c r="B20" s="33" t="s">
        <v>162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163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164</v>
      </c>
      <c r="C22" s="66">
        <v>1619.77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1619.77</v>
      </c>
      <c r="J22" s="35">
        <f>$D$8</f>
        <v>0.15</v>
      </c>
      <c r="K22" s="34">
        <f>I22/(1-J22)</f>
        <v>1905.61</v>
      </c>
    </row>
    <row r="23" spans="2:11" x14ac:dyDescent="0.25">
      <c r="B23" t="s">
        <v>165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166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166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1619.77</v>
      </c>
      <c r="J26" s="68"/>
      <c r="K26" s="69">
        <f>SUM(K20:K25)</f>
        <v>1905.61</v>
      </c>
    </row>
    <row r="28" ht="24" customHeight="1" spans="1:11" x14ac:dyDescent="0.25">
      <c r="A28" s="25" t="s">
        <v>35</v>
      </c>
      <c r="B28" s="25" t="s">
        <v>167</v>
      </c>
      <c r="C28" s="25" t="s">
        <v>157</v>
      </c>
      <c r="D28" s="25" t="s">
        <v>158</v>
      </c>
      <c r="E28" s="25" t="s">
        <v>159</v>
      </c>
      <c r="F28" s="25" t="s">
        <v>160</v>
      </c>
      <c r="G28" s="25" t="s">
        <v>161</v>
      </c>
      <c r="H28" s="25" t="s">
        <v>35</v>
      </c>
      <c r="I28" s="25" t="s">
        <v>29</v>
      </c>
      <c r="J28" s="25" t="s">
        <v>148</v>
      </c>
      <c r="K28" s="25" t="s">
        <v>38</v>
      </c>
    </row>
    <row r="29" spans="1:11" x14ac:dyDescent="0.25">
      <c r="A29" s="33"/>
      <c r="B29" s="33" t="s">
        <v>168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169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170</v>
      </c>
      <c r="C31" s="66">
        <v>11043.92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11043.92</v>
      </c>
      <c r="J31" s="35">
        <f>$D$8</f>
        <v>0.15</v>
      </c>
      <c r="K31" s="34">
        <f>I31/(1-J31)</f>
        <v>12992.85</v>
      </c>
    </row>
    <row r="32" spans="2:11" x14ac:dyDescent="0.25">
      <c r="B32" t="s">
        <v>171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172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173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31926.27</v>
      </c>
      <c r="J35" s="68"/>
      <c r="K35" s="69">
        <f>SUM(K29:K34)</f>
        <v>37560.32</v>
      </c>
    </row>
    <row r="37" ht="24" customHeight="1" spans="1:11" x14ac:dyDescent="0.25">
      <c r="A37" s="25" t="s">
        <v>35</v>
      </c>
      <c r="B37" s="25" t="s">
        <v>174</v>
      </c>
      <c r="C37" s="25" t="s">
        <v>157</v>
      </c>
      <c r="D37" s="25" t="s">
        <v>158</v>
      </c>
      <c r="E37" s="25" t="s">
        <v>159</v>
      </c>
      <c r="F37" s="25" t="s">
        <v>160</v>
      </c>
      <c r="G37" s="25" t="s">
        <v>161</v>
      </c>
      <c r="H37" s="25" t="s">
        <v>35</v>
      </c>
      <c r="I37" s="25" t="s">
        <v>29</v>
      </c>
      <c r="J37" s="25" t="s">
        <v>148</v>
      </c>
      <c r="K37" s="25" t="s">
        <v>38</v>
      </c>
    </row>
    <row r="38" spans="1:11" x14ac:dyDescent="0.25">
      <c r="A38" s="33"/>
      <c r="B38" s="33" t="s">
        <v>175</v>
      </c>
      <c r="C38" s="66">
        <v>3681.31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3681.31</v>
      </c>
      <c r="J38" s="35">
        <f>$D$9</f>
        <v>0.15</v>
      </c>
      <c r="K38" s="34">
        <f>I38/(1-J38)</f>
        <v>4330.95</v>
      </c>
    </row>
    <row r="39" spans="2:11" x14ac:dyDescent="0.25">
      <c r="B39" t="s">
        <v>176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177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178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179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180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3681.31</v>
      </c>
      <c r="J44" s="68"/>
      <c r="K44" s="69">
        <f>SUM(K38:K43)</f>
        <v>4330.95</v>
      </c>
    </row>
    <row r="46" ht="24" customHeight="1" spans="1:11" x14ac:dyDescent="0.25">
      <c r="A46" s="25" t="s">
        <v>35</v>
      </c>
      <c r="B46" s="25" t="s">
        <v>181</v>
      </c>
      <c r="C46" s="25" t="s">
        <v>157</v>
      </c>
      <c r="D46" s="25" t="s">
        <v>158</v>
      </c>
      <c r="E46" s="25" t="s">
        <v>159</v>
      </c>
      <c r="F46" s="25" t="s">
        <v>160</v>
      </c>
      <c r="G46" s="25" t="s">
        <v>161</v>
      </c>
      <c r="H46" s="25" t="s">
        <v>35</v>
      </c>
      <c r="I46" s="25" t="s">
        <v>29</v>
      </c>
      <c r="J46" s="25" t="s">
        <v>148</v>
      </c>
      <c r="K46" s="25" t="s">
        <v>38</v>
      </c>
    </row>
    <row r="47" spans="1:11" x14ac:dyDescent="0.25">
      <c r="A47" s="33"/>
      <c r="B47" s="33" t="s">
        <v>182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183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184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185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186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187</v>
      </c>
      <c r="C54" s="28"/>
      <c r="D54" s="28"/>
      <c r="E54" s="28"/>
      <c r="F54" s="28"/>
      <c r="G54" s="28"/>
      <c r="H54" s="28"/>
      <c r="I54" s="30">
        <f>I26+I35+I44+I52</f>
        <v>53662.58</v>
      </c>
      <c r="J54" s="28"/>
      <c r="K54" s="30">
        <f>K26+K35+K44+K52</f>
        <v>62426.56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145</v>
      </c>
    </row>
    <row r="4" spans="1:1" x14ac:dyDescent="0.25">
      <c r="A4" s="15" t="s">
        <v>8</v>
      </c>
    </row>
    <row r="5" spans="1:1" x14ac:dyDescent="0.25">
      <c r="A5" s="15" t="s">
        <v>146</v>
      </c>
    </row>
    <row r="7" spans="3:3" x14ac:dyDescent="0.25">
      <c r="C7" s="26" t="s">
        <v>147</v>
      </c>
    </row>
    <row r="8" spans="3:4" x14ac:dyDescent="0.25">
      <c r="C8" t="s">
        <v>148</v>
      </c>
      <c r="D8" s="21">
        <v>0.15</v>
      </c>
    </row>
    <row r="9" spans="3:4" x14ac:dyDescent="0.25">
      <c r="C9" t="s">
        <v>149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150</v>
      </c>
      <c r="D11" s="21">
        <v>0.15</v>
      </c>
    </row>
    <row r="15" spans="2:2" x14ac:dyDescent="0.25">
      <c r="B15" s="64" t="s">
        <v>200</v>
      </c>
    </row>
    <row r="16" spans="2:5" x14ac:dyDescent="0.25">
      <c r="B16" s="4" t="s">
        <v>152</v>
      </c>
      <c r="C16" s="4" t="s">
        <v>153</v>
      </c>
      <c r="D16" s="4" t="s">
        <v>154</v>
      </c>
      <c r="E16" s="4" t="s">
        <v>155</v>
      </c>
    </row>
    <row r="17" spans="2:5" x14ac:dyDescent="0.25">
      <c r="B17" s="49">
        <v>3</v>
      </c>
      <c r="C17" s="49">
        <v>20.49</v>
      </c>
      <c r="D17" s="65">
        <v>61.47</v>
      </c>
      <c r="E17">
        <v>1</v>
      </c>
    </row>
    <row r="19" ht="24" customHeight="1" spans="1:11" x14ac:dyDescent="0.25">
      <c r="A19" s="25" t="s">
        <v>35</v>
      </c>
      <c r="B19" s="25" t="s">
        <v>156</v>
      </c>
      <c r="C19" s="25" t="s">
        <v>157</v>
      </c>
      <c r="D19" s="25" t="s">
        <v>158</v>
      </c>
      <c r="E19" s="25" t="s">
        <v>159</v>
      </c>
      <c r="F19" s="25" t="s">
        <v>160</v>
      </c>
      <c r="G19" s="25" t="s">
        <v>161</v>
      </c>
      <c r="H19" s="25" t="s">
        <v>35</v>
      </c>
      <c r="I19" s="25" t="s">
        <v>29</v>
      </c>
      <c r="J19" s="25" t="s">
        <v>148</v>
      </c>
      <c r="K19" s="25" t="s">
        <v>38</v>
      </c>
    </row>
    <row r="20" spans="1:11" x14ac:dyDescent="0.25">
      <c r="A20" s="33"/>
      <c r="B20" s="33" t="s">
        <v>162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163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164</v>
      </c>
      <c r="C22" s="66">
        <v>2794.17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2794.17</v>
      </c>
      <c r="J22" s="35">
        <f>$D$8</f>
        <v>0.15</v>
      </c>
      <c r="K22" s="34">
        <f>I22/(1-J22)</f>
        <v>3287.26</v>
      </c>
    </row>
    <row r="23" spans="2:11" x14ac:dyDescent="0.25">
      <c r="B23" t="s">
        <v>165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166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166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2794.17</v>
      </c>
      <c r="J26" s="68"/>
      <c r="K26" s="69">
        <f>SUM(K20:K25)</f>
        <v>3287.26</v>
      </c>
    </row>
    <row r="28" ht="24" customHeight="1" spans="1:11" x14ac:dyDescent="0.25">
      <c r="A28" s="25" t="s">
        <v>35</v>
      </c>
      <c r="B28" s="25" t="s">
        <v>167</v>
      </c>
      <c r="C28" s="25" t="s">
        <v>157</v>
      </c>
      <c r="D28" s="25" t="s">
        <v>158</v>
      </c>
      <c r="E28" s="25" t="s">
        <v>159</v>
      </c>
      <c r="F28" s="25" t="s">
        <v>160</v>
      </c>
      <c r="G28" s="25" t="s">
        <v>161</v>
      </c>
      <c r="H28" s="25" t="s">
        <v>35</v>
      </c>
      <c r="I28" s="25" t="s">
        <v>29</v>
      </c>
      <c r="J28" s="25" t="s">
        <v>148</v>
      </c>
      <c r="K28" s="25" t="s">
        <v>38</v>
      </c>
    </row>
    <row r="29" spans="1:11" x14ac:dyDescent="0.25">
      <c r="A29" s="33"/>
      <c r="B29" s="33" t="s">
        <v>168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169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170</v>
      </c>
      <c r="C31" s="66">
        <v>7620.45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7620.45</v>
      </c>
      <c r="J31" s="35">
        <f>$D$8</f>
        <v>0.15</v>
      </c>
      <c r="K31" s="34">
        <f>I31/(1-J31)</f>
        <v>8965.24</v>
      </c>
    </row>
    <row r="32" spans="2:11" x14ac:dyDescent="0.25">
      <c r="B32" t="s">
        <v>171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172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173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28502.8</v>
      </c>
      <c r="J35" s="68"/>
      <c r="K35" s="69">
        <f>SUM(K29:K34)</f>
        <v>33532.71</v>
      </c>
    </row>
    <row r="37" ht="24" customHeight="1" spans="1:11" x14ac:dyDescent="0.25">
      <c r="A37" s="25" t="s">
        <v>35</v>
      </c>
      <c r="B37" s="25" t="s">
        <v>174</v>
      </c>
      <c r="C37" s="25" t="s">
        <v>157</v>
      </c>
      <c r="D37" s="25" t="s">
        <v>158</v>
      </c>
      <c r="E37" s="25" t="s">
        <v>159</v>
      </c>
      <c r="F37" s="25" t="s">
        <v>160</v>
      </c>
      <c r="G37" s="25" t="s">
        <v>161</v>
      </c>
      <c r="H37" s="25" t="s">
        <v>35</v>
      </c>
      <c r="I37" s="25" t="s">
        <v>29</v>
      </c>
      <c r="J37" s="25" t="s">
        <v>148</v>
      </c>
      <c r="K37" s="25" t="s">
        <v>38</v>
      </c>
    </row>
    <row r="38" spans="1:11" x14ac:dyDescent="0.25">
      <c r="A38" s="33"/>
      <c r="B38" s="33" t="s">
        <v>175</v>
      </c>
      <c r="C38" s="66">
        <v>6350.38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6350.38</v>
      </c>
      <c r="J38" s="35">
        <f>$D$9</f>
        <v>0.15</v>
      </c>
      <c r="K38" s="34">
        <f>I38/(1-J38)</f>
        <v>7471.04</v>
      </c>
    </row>
    <row r="39" spans="2:11" x14ac:dyDescent="0.25">
      <c r="B39" t="s">
        <v>176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177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178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179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180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6350.38</v>
      </c>
      <c r="J44" s="68"/>
      <c r="K44" s="69">
        <f>SUM(K38:K43)</f>
        <v>7471.04</v>
      </c>
    </row>
    <row r="46" ht="24" customHeight="1" spans="1:11" x14ac:dyDescent="0.25">
      <c r="A46" s="25" t="s">
        <v>35</v>
      </c>
      <c r="B46" s="25" t="s">
        <v>181</v>
      </c>
      <c r="C46" s="25" t="s">
        <v>157</v>
      </c>
      <c r="D46" s="25" t="s">
        <v>158</v>
      </c>
      <c r="E46" s="25" t="s">
        <v>159</v>
      </c>
      <c r="F46" s="25" t="s">
        <v>160</v>
      </c>
      <c r="G46" s="25" t="s">
        <v>161</v>
      </c>
      <c r="H46" s="25" t="s">
        <v>35</v>
      </c>
      <c r="I46" s="25" t="s">
        <v>29</v>
      </c>
      <c r="J46" s="25" t="s">
        <v>148</v>
      </c>
      <c r="K46" s="25" t="s">
        <v>38</v>
      </c>
    </row>
    <row r="47" spans="1:11" x14ac:dyDescent="0.25">
      <c r="A47" s="33"/>
      <c r="B47" s="33" t="s">
        <v>182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183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184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185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186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187</v>
      </c>
      <c r="C54" s="28"/>
      <c r="D54" s="28"/>
      <c r="E54" s="28"/>
      <c r="F54" s="28"/>
      <c r="G54" s="28"/>
      <c r="H54" s="28"/>
      <c r="I54" s="30">
        <f>I26+I35+I44+I52</f>
        <v>54297.67</v>
      </c>
      <c r="J54" s="28"/>
      <c r="K54" s="30">
        <f>K26+K35+K44+K52</f>
        <v>63156.44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145</v>
      </c>
    </row>
    <row r="4" spans="1:1" x14ac:dyDescent="0.25">
      <c r="A4" s="15" t="s">
        <v>8</v>
      </c>
    </row>
    <row r="5" spans="1:1" x14ac:dyDescent="0.25">
      <c r="A5" s="15" t="s">
        <v>146</v>
      </c>
    </row>
    <row r="7" spans="3:3" x14ac:dyDescent="0.25">
      <c r="C7" s="26" t="s">
        <v>147</v>
      </c>
    </row>
    <row r="8" spans="3:4" x14ac:dyDescent="0.25">
      <c r="C8" t="s">
        <v>148</v>
      </c>
      <c r="D8" s="21">
        <v>0.15</v>
      </c>
    </row>
    <row r="9" spans="3:4" x14ac:dyDescent="0.25">
      <c r="C9" t="s">
        <v>149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150</v>
      </c>
      <c r="D11" s="21">
        <v>0.15</v>
      </c>
    </row>
    <row r="15" spans="2:2" x14ac:dyDescent="0.25">
      <c r="B15" s="64" t="s">
        <v>200</v>
      </c>
    </row>
    <row r="16" spans="2:5" x14ac:dyDescent="0.25">
      <c r="B16" s="4" t="s">
        <v>152</v>
      </c>
      <c r="C16" s="4" t="s">
        <v>153</v>
      </c>
      <c r="D16" s="4" t="s">
        <v>154</v>
      </c>
      <c r="E16" s="4" t="s">
        <v>155</v>
      </c>
    </row>
    <row r="17" spans="2:5" x14ac:dyDescent="0.25">
      <c r="B17" s="49">
        <v>3</v>
      </c>
      <c r="C17" s="49">
        <v>35.21</v>
      </c>
      <c r="D17" s="65">
        <v>105.63</v>
      </c>
      <c r="E17">
        <v>1</v>
      </c>
    </row>
    <row r="19" ht="24" customHeight="1" spans="1:11" x14ac:dyDescent="0.25">
      <c r="A19" s="25" t="s">
        <v>35</v>
      </c>
      <c r="B19" s="25" t="s">
        <v>156</v>
      </c>
      <c r="C19" s="25" t="s">
        <v>157</v>
      </c>
      <c r="D19" s="25" t="s">
        <v>158</v>
      </c>
      <c r="E19" s="25" t="s">
        <v>159</v>
      </c>
      <c r="F19" s="25" t="s">
        <v>160</v>
      </c>
      <c r="G19" s="25" t="s">
        <v>161</v>
      </c>
      <c r="H19" s="25" t="s">
        <v>35</v>
      </c>
      <c r="I19" s="25" t="s">
        <v>29</v>
      </c>
      <c r="J19" s="25" t="s">
        <v>148</v>
      </c>
      <c r="K19" s="25" t="s">
        <v>38</v>
      </c>
    </row>
    <row r="20" spans="1:11" x14ac:dyDescent="0.25">
      <c r="A20" s="33"/>
      <c r="B20" s="33" t="s">
        <v>162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163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164</v>
      </c>
      <c r="C22" s="66">
        <v>4795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4795</v>
      </c>
      <c r="J22" s="35">
        <f>$D$8</f>
        <v>0.15</v>
      </c>
      <c r="K22" s="34">
        <f>I22/(1-J22)</f>
        <v>5641.18</v>
      </c>
    </row>
    <row r="23" spans="2:11" x14ac:dyDescent="0.25">
      <c r="B23" t="s">
        <v>165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166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166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4795</v>
      </c>
      <c r="J26" s="68"/>
      <c r="K26" s="69">
        <f>SUM(K20:K25)</f>
        <v>5641.18</v>
      </c>
    </row>
    <row r="28" ht="24" customHeight="1" spans="1:11" x14ac:dyDescent="0.25">
      <c r="A28" s="25" t="s">
        <v>35</v>
      </c>
      <c r="B28" s="25" t="s">
        <v>167</v>
      </c>
      <c r="C28" s="25" t="s">
        <v>157</v>
      </c>
      <c r="D28" s="25" t="s">
        <v>158</v>
      </c>
      <c r="E28" s="25" t="s">
        <v>159</v>
      </c>
      <c r="F28" s="25" t="s">
        <v>160</v>
      </c>
      <c r="G28" s="25" t="s">
        <v>161</v>
      </c>
      <c r="H28" s="25" t="s">
        <v>35</v>
      </c>
      <c r="I28" s="25" t="s">
        <v>29</v>
      </c>
      <c r="J28" s="25" t="s">
        <v>148</v>
      </c>
      <c r="K28" s="25" t="s">
        <v>38</v>
      </c>
    </row>
    <row r="29" spans="1:11" x14ac:dyDescent="0.25">
      <c r="A29" s="33"/>
      <c r="B29" s="33" t="s">
        <v>168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169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170</v>
      </c>
      <c r="C31" s="66">
        <v>13077.27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13077.27</v>
      </c>
      <c r="J31" s="35">
        <f>$D$8</f>
        <v>0.15</v>
      </c>
      <c r="K31" s="34">
        <f>I31/(1-J31)</f>
        <v>15385.02</v>
      </c>
    </row>
    <row r="32" spans="2:11" x14ac:dyDescent="0.25">
      <c r="B32" t="s">
        <v>171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172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173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33959.62</v>
      </c>
      <c r="J35" s="68"/>
      <c r="K35" s="69">
        <f>SUM(K29:K34)</f>
        <v>39952.49</v>
      </c>
    </row>
    <row r="37" ht="24" customHeight="1" spans="1:11" x14ac:dyDescent="0.25">
      <c r="A37" s="25" t="s">
        <v>35</v>
      </c>
      <c r="B37" s="25" t="s">
        <v>174</v>
      </c>
      <c r="C37" s="25" t="s">
        <v>157</v>
      </c>
      <c r="D37" s="25" t="s">
        <v>158</v>
      </c>
      <c r="E37" s="25" t="s">
        <v>159</v>
      </c>
      <c r="F37" s="25" t="s">
        <v>160</v>
      </c>
      <c r="G37" s="25" t="s">
        <v>161</v>
      </c>
      <c r="H37" s="25" t="s">
        <v>35</v>
      </c>
      <c r="I37" s="25" t="s">
        <v>29</v>
      </c>
      <c r="J37" s="25" t="s">
        <v>148</v>
      </c>
      <c r="K37" s="25" t="s">
        <v>38</v>
      </c>
    </row>
    <row r="38" spans="1:11" x14ac:dyDescent="0.25">
      <c r="A38" s="33"/>
      <c r="B38" s="33" t="s">
        <v>175</v>
      </c>
      <c r="C38" s="66">
        <v>10897.73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10897.73</v>
      </c>
      <c r="J38" s="35">
        <f>$D$9</f>
        <v>0.15</v>
      </c>
      <c r="K38" s="34">
        <f>I38/(1-J38)</f>
        <v>12820.86</v>
      </c>
    </row>
    <row r="39" spans="2:11" x14ac:dyDescent="0.25">
      <c r="B39" t="s">
        <v>176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177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178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179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180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10897.73</v>
      </c>
      <c r="J44" s="68"/>
      <c r="K44" s="69">
        <f>SUM(K38:K43)</f>
        <v>12820.86</v>
      </c>
    </row>
    <row r="46" ht="24" customHeight="1" spans="1:11" x14ac:dyDescent="0.25">
      <c r="A46" s="25" t="s">
        <v>35</v>
      </c>
      <c r="B46" s="25" t="s">
        <v>181</v>
      </c>
      <c r="C46" s="25" t="s">
        <v>157</v>
      </c>
      <c r="D46" s="25" t="s">
        <v>158</v>
      </c>
      <c r="E46" s="25" t="s">
        <v>159</v>
      </c>
      <c r="F46" s="25" t="s">
        <v>160</v>
      </c>
      <c r="G46" s="25" t="s">
        <v>161</v>
      </c>
      <c r="H46" s="25" t="s">
        <v>35</v>
      </c>
      <c r="I46" s="25" t="s">
        <v>29</v>
      </c>
      <c r="J46" s="25" t="s">
        <v>148</v>
      </c>
      <c r="K46" s="25" t="s">
        <v>38</v>
      </c>
    </row>
    <row r="47" spans="1:11" x14ac:dyDescent="0.25">
      <c r="A47" s="33"/>
      <c r="B47" s="33" t="s">
        <v>182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183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184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185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186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187</v>
      </c>
      <c r="C54" s="28"/>
      <c r="D54" s="28"/>
      <c r="E54" s="28"/>
      <c r="F54" s="28"/>
      <c r="G54" s="28"/>
      <c r="H54" s="28"/>
      <c r="I54" s="30">
        <f>I26+I35+I44+I52</f>
        <v>72764.28</v>
      </c>
      <c r="J54" s="28"/>
      <c r="K54" s="30">
        <f>K26+K35+K44+K52</f>
        <v>84362.33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145</v>
      </c>
    </row>
    <row r="4" spans="1:1" x14ac:dyDescent="0.25">
      <c r="A4" s="15" t="s">
        <v>8</v>
      </c>
    </row>
    <row r="5" spans="1:1" x14ac:dyDescent="0.25">
      <c r="A5" s="15" t="s">
        <v>146</v>
      </c>
    </row>
    <row r="7" spans="3:3" x14ac:dyDescent="0.25">
      <c r="C7" s="26" t="s">
        <v>147</v>
      </c>
    </row>
    <row r="8" spans="3:4" x14ac:dyDescent="0.25">
      <c r="C8" t="s">
        <v>148</v>
      </c>
      <c r="D8" s="21">
        <v>0.15</v>
      </c>
    </row>
    <row r="9" spans="3:4" x14ac:dyDescent="0.25">
      <c r="C9" t="s">
        <v>149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150</v>
      </c>
      <c r="D11" s="21">
        <v>0.15</v>
      </c>
    </row>
    <row r="15" spans="2:2" x14ac:dyDescent="0.25">
      <c r="B15" s="64" t="s">
        <v>200</v>
      </c>
    </row>
    <row r="16" spans="2:5" x14ac:dyDescent="0.25">
      <c r="B16" s="4" t="s">
        <v>152</v>
      </c>
      <c r="C16" s="4" t="s">
        <v>153</v>
      </c>
      <c r="D16" s="4" t="s">
        <v>154</v>
      </c>
      <c r="E16" s="4" t="s">
        <v>155</v>
      </c>
    </row>
    <row r="17" spans="2:5" x14ac:dyDescent="0.25">
      <c r="B17" s="49">
        <v>3</v>
      </c>
      <c r="C17" s="49">
        <v>35.31</v>
      </c>
      <c r="D17" s="65">
        <v>105.93</v>
      </c>
      <c r="E17">
        <v>1</v>
      </c>
    </row>
    <row r="19" ht="24" customHeight="1" spans="1:11" x14ac:dyDescent="0.25">
      <c r="A19" s="25" t="s">
        <v>35</v>
      </c>
      <c r="B19" s="25" t="s">
        <v>156</v>
      </c>
      <c r="C19" s="25" t="s">
        <v>157</v>
      </c>
      <c r="D19" s="25" t="s">
        <v>158</v>
      </c>
      <c r="E19" s="25" t="s">
        <v>159</v>
      </c>
      <c r="F19" s="25" t="s">
        <v>160</v>
      </c>
      <c r="G19" s="25" t="s">
        <v>161</v>
      </c>
      <c r="H19" s="25" t="s">
        <v>35</v>
      </c>
      <c r="I19" s="25" t="s">
        <v>29</v>
      </c>
      <c r="J19" s="25" t="s">
        <v>148</v>
      </c>
      <c r="K19" s="25" t="s">
        <v>38</v>
      </c>
    </row>
    <row r="20" spans="1:11" x14ac:dyDescent="0.25">
      <c r="A20" s="33"/>
      <c r="B20" s="33" t="s">
        <v>162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163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164</v>
      </c>
      <c r="C22" s="66">
        <v>4806.67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4806.67</v>
      </c>
      <c r="J22" s="35">
        <f>$D$8</f>
        <v>0.15</v>
      </c>
      <c r="K22" s="34">
        <f>I22/(1-J22)</f>
        <v>5654.91</v>
      </c>
    </row>
    <row r="23" spans="2:11" x14ac:dyDescent="0.25">
      <c r="B23" t="s">
        <v>165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166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166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4806.67</v>
      </c>
      <c r="J26" s="68"/>
      <c r="K26" s="69">
        <f>SUM(K20:K25)</f>
        <v>5654.91</v>
      </c>
    </row>
    <row r="28" ht="24" customHeight="1" spans="1:11" x14ac:dyDescent="0.25">
      <c r="A28" s="25" t="s">
        <v>35</v>
      </c>
      <c r="B28" s="25" t="s">
        <v>167</v>
      </c>
      <c r="C28" s="25" t="s">
        <v>157</v>
      </c>
      <c r="D28" s="25" t="s">
        <v>158</v>
      </c>
      <c r="E28" s="25" t="s">
        <v>159</v>
      </c>
      <c r="F28" s="25" t="s">
        <v>160</v>
      </c>
      <c r="G28" s="25" t="s">
        <v>161</v>
      </c>
      <c r="H28" s="25" t="s">
        <v>35</v>
      </c>
      <c r="I28" s="25" t="s">
        <v>29</v>
      </c>
      <c r="J28" s="25" t="s">
        <v>148</v>
      </c>
      <c r="K28" s="25" t="s">
        <v>38</v>
      </c>
    </row>
    <row r="29" spans="1:11" x14ac:dyDescent="0.25">
      <c r="A29" s="33"/>
      <c r="B29" s="33" t="s">
        <v>168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169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170</v>
      </c>
      <c r="C31" s="66">
        <v>13109.09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13109.09</v>
      </c>
      <c r="J31" s="35">
        <f>$D$8</f>
        <v>0.15</v>
      </c>
      <c r="K31" s="34">
        <f>I31/(1-J31)</f>
        <v>15422.46</v>
      </c>
    </row>
    <row r="32" spans="2:11" x14ac:dyDescent="0.25">
      <c r="B32" t="s">
        <v>171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172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173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33991.44</v>
      </c>
      <c r="J35" s="68"/>
      <c r="K35" s="69">
        <f>SUM(K29:K34)</f>
        <v>39989.93</v>
      </c>
    </row>
    <row r="37" ht="24" customHeight="1" spans="1:11" x14ac:dyDescent="0.25">
      <c r="A37" s="25" t="s">
        <v>35</v>
      </c>
      <c r="B37" s="25" t="s">
        <v>174</v>
      </c>
      <c r="C37" s="25" t="s">
        <v>157</v>
      </c>
      <c r="D37" s="25" t="s">
        <v>158</v>
      </c>
      <c r="E37" s="25" t="s">
        <v>159</v>
      </c>
      <c r="F37" s="25" t="s">
        <v>160</v>
      </c>
      <c r="G37" s="25" t="s">
        <v>161</v>
      </c>
      <c r="H37" s="25" t="s">
        <v>35</v>
      </c>
      <c r="I37" s="25" t="s">
        <v>29</v>
      </c>
      <c r="J37" s="25" t="s">
        <v>148</v>
      </c>
      <c r="K37" s="25" t="s">
        <v>38</v>
      </c>
    </row>
    <row r="38" spans="1:11" x14ac:dyDescent="0.25">
      <c r="A38" s="33"/>
      <c r="B38" s="33" t="s">
        <v>175</v>
      </c>
      <c r="C38" s="66">
        <v>10924.24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10924.24</v>
      </c>
      <c r="J38" s="35">
        <f>$D$9</f>
        <v>0.15</v>
      </c>
      <c r="K38" s="34">
        <f>I38/(1-J38)</f>
        <v>12852.05</v>
      </c>
    </row>
    <row r="39" spans="2:11" x14ac:dyDescent="0.25">
      <c r="B39" t="s">
        <v>176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177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178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179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180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10924.24</v>
      </c>
      <c r="J44" s="68"/>
      <c r="K44" s="69">
        <f>SUM(K38:K43)</f>
        <v>12852.05</v>
      </c>
    </row>
    <row r="46" ht="24" customHeight="1" spans="1:11" x14ac:dyDescent="0.25">
      <c r="A46" s="25" t="s">
        <v>35</v>
      </c>
      <c r="B46" s="25" t="s">
        <v>181</v>
      </c>
      <c r="C46" s="25" t="s">
        <v>157</v>
      </c>
      <c r="D46" s="25" t="s">
        <v>158</v>
      </c>
      <c r="E46" s="25" t="s">
        <v>159</v>
      </c>
      <c r="F46" s="25" t="s">
        <v>160</v>
      </c>
      <c r="G46" s="25" t="s">
        <v>161</v>
      </c>
      <c r="H46" s="25" t="s">
        <v>35</v>
      </c>
      <c r="I46" s="25" t="s">
        <v>29</v>
      </c>
      <c r="J46" s="25" t="s">
        <v>148</v>
      </c>
      <c r="K46" s="25" t="s">
        <v>38</v>
      </c>
    </row>
    <row r="47" spans="1:11" x14ac:dyDescent="0.25">
      <c r="A47" s="33"/>
      <c r="B47" s="33" t="s">
        <v>182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183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184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185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186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187</v>
      </c>
      <c r="C54" s="28"/>
      <c r="D54" s="28"/>
      <c r="E54" s="28"/>
      <c r="F54" s="28"/>
      <c r="G54" s="28"/>
      <c r="H54" s="28"/>
      <c r="I54" s="30">
        <f>I26+I35+I44+I52</f>
        <v>72878.17</v>
      </c>
      <c r="J54" s="28"/>
      <c r="K54" s="30">
        <f>K26+K35+K44+K52</f>
        <v>84492.79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145</v>
      </c>
    </row>
    <row r="4" spans="1:1" x14ac:dyDescent="0.25">
      <c r="A4" s="15" t="s">
        <v>8</v>
      </c>
    </row>
    <row r="5" spans="1:1" x14ac:dyDescent="0.25">
      <c r="A5" s="15" t="s">
        <v>146</v>
      </c>
    </row>
    <row r="7" spans="3:3" x14ac:dyDescent="0.25">
      <c r="C7" s="26" t="s">
        <v>147</v>
      </c>
    </row>
    <row r="8" spans="3:4" x14ac:dyDescent="0.25">
      <c r="C8" t="s">
        <v>148</v>
      </c>
      <c r="D8" s="21">
        <v>0.15</v>
      </c>
    </row>
    <row r="9" spans="3:4" x14ac:dyDescent="0.25">
      <c r="C9" t="s">
        <v>149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150</v>
      </c>
      <c r="D11" s="21">
        <v>0.15</v>
      </c>
    </row>
    <row r="15" spans="2:2" x14ac:dyDescent="0.25">
      <c r="B15" s="64" t="s">
        <v>201</v>
      </c>
    </row>
    <row r="16" spans="2:5" x14ac:dyDescent="0.25">
      <c r="B16" s="4" t="s">
        <v>152</v>
      </c>
      <c r="C16" s="4" t="s">
        <v>153</v>
      </c>
      <c r="D16" s="4" t="s">
        <v>154</v>
      </c>
      <c r="E16" s="4" t="s">
        <v>155</v>
      </c>
    </row>
    <row r="17" spans="2:5" x14ac:dyDescent="0.25">
      <c r="B17" s="49">
        <v>4</v>
      </c>
      <c r="C17" s="49">
        <v>35.41</v>
      </c>
      <c r="D17" s="65">
        <v>141.64</v>
      </c>
      <c r="E17">
        <v>1</v>
      </c>
    </row>
    <row r="19" ht="24" customHeight="1" spans="1:11" x14ac:dyDescent="0.25">
      <c r="A19" s="25" t="s">
        <v>35</v>
      </c>
      <c r="B19" s="25" t="s">
        <v>156</v>
      </c>
      <c r="C19" s="25" t="s">
        <v>157</v>
      </c>
      <c r="D19" s="25" t="s">
        <v>158</v>
      </c>
      <c r="E19" s="25" t="s">
        <v>159</v>
      </c>
      <c r="F19" s="25" t="s">
        <v>160</v>
      </c>
      <c r="G19" s="25" t="s">
        <v>161</v>
      </c>
      <c r="H19" s="25" t="s">
        <v>35</v>
      </c>
      <c r="I19" s="25" t="s">
        <v>29</v>
      </c>
      <c r="J19" s="25" t="s">
        <v>148</v>
      </c>
      <c r="K19" s="25" t="s">
        <v>38</v>
      </c>
    </row>
    <row r="20" spans="1:11" x14ac:dyDescent="0.25">
      <c r="A20" s="33"/>
      <c r="B20" s="33" t="s">
        <v>162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163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164</v>
      </c>
      <c r="C22" s="66">
        <v>3843.06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3843.06</v>
      </c>
      <c r="J22" s="35">
        <f>$D$8</f>
        <v>0.15</v>
      </c>
      <c r="K22" s="34">
        <f>I22/(1-J22)</f>
        <v>4521.25</v>
      </c>
    </row>
    <row r="23" spans="2:11" x14ac:dyDescent="0.25">
      <c r="B23" t="s">
        <v>165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166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166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3843.06</v>
      </c>
      <c r="J26" s="68"/>
      <c r="K26" s="69">
        <f>SUM(K20:K25)</f>
        <v>4521.25</v>
      </c>
    </row>
    <row r="28" ht="24" customHeight="1" spans="1:11" x14ac:dyDescent="0.25">
      <c r="A28" s="25" t="s">
        <v>35</v>
      </c>
      <c r="B28" s="25" t="s">
        <v>167</v>
      </c>
      <c r="C28" s="25" t="s">
        <v>157</v>
      </c>
      <c r="D28" s="25" t="s">
        <v>158</v>
      </c>
      <c r="E28" s="25" t="s">
        <v>159</v>
      </c>
      <c r="F28" s="25" t="s">
        <v>160</v>
      </c>
      <c r="G28" s="25" t="s">
        <v>161</v>
      </c>
      <c r="H28" s="25" t="s">
        <v>35</v>
      </c>
      <c r="I28" s="25" t="s">
        <v>29</v>
      </c>
      <c r="J28" s="25" t="s">
        <v>148</v>
      </c>
      <c r="K28" s="25" t="s">
        <v>38</v>
      </c>
    </row>
    <row r="29" spans="1:11" x14ac:dyDescent="0.25">
      <c r="A29" s="33"/>
      <c r="B29" s="33" t="s">
        <v>168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169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170</v>
      </c>
      <c r="C31" s="66">
        <v>26202.7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26202.7</v>
      </c>
      <c r="J31" s="35">
        <f>$D$8</f>
        <v>0.15</v>
      </c>
      <c r="K31" s="34">
        <f>I31/(1-J31)</f>
        <v>30826.71</v>
      </c>
    </row>
    <row r="32" spans="2:11" x14ac:dyDescent="0.25">
      <c r="B32" t="s">
        <v>171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172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173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47085.05</v>
      </c>
      <c r="J35" s="68"/>
      <c r="K35" s="69">
        <f>SUM(K29:K34)</f>
        <v>55394.18</v>
      </c>
    </row>
    <row r="37" ht="24" customHeight="1" spans="1:11" x14ac:dyDescent="0.25">
      <c r="A37" s="25" t="s">
        <v>35</v>
      </c>
      <c r="B37" s="25" t="s">
        <v>174</v>
      </c>
      <c r="C37" s="25" t="s">
        <v>157</v>
      </c>
      <c r="D37" s="25" t="s">
        <v>158</v>
      </c>
      <c r="E37" s="25" t="s">
        <v>159</v>
      </c>
      <c r="F37" s="25" t="s">
        <v>160</v>
      </c>
      <c r="G37" s="25" t="s">
        <v>161</v>
      </c>
      <c r="H37" s="25" t="s">
        <v>35</v>
      </c>
      <c r="I37" s="25" t="s">
        <v>29</v>
      </c>
      <c r="J37" s="25" t="s">
        <v>148</v>
      </c>
      <c r="K37" s="25" t="s">
        <v>38</v>
      </c>
    </row>
    <row r="38" spans="1:11" x14ac:dyDescent="0.25">
      <c r="A38" s="33"/>
      <c r="B38" s="33" t="s">
        <v>175</v>
      </c>
      <c r="C38" s="66">
        <v>8734.23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8734.23</v>
      </c>
      <c r="J38" s="35">
        <f>$D$9</f>
        <v>0.15</v>
      </c>
      <c r="K38" s="34">
        <f>I38/(1-J38)</f>
        <v>10275.56</v>
      </c>
    </row>
    <row r="39" spans="2:11" x14ac:dyDescent="0.25">
      <c r="B39" t="s">
        <v>176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177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178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179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180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8734.23</v>
      </c>
      <c r="J44" s="68"/>
      <c r="K44" s="69">
        <f>SUM(K38:K43)</f>
        <v>10275.56</v>
      </c>
    </row>
    <row r="46" ht="24" customHeight="1" spans="1:11" x14ac:dyDescent="0.25">
      <c r="A46" s="25" t="s">
        <v>35</v>
      </c>
      <c r="B46" s="25" t="s">
        <v>181</v>
      </c>
      <c r="C46" s="25" t="s">
        <v>157</v>
      </c>
      <c r="D46" s="25" t="s">
        <v>158</v>
      </c>
      <c r="E46" s="25" t="s">
        <v>159</v>
      </c>
      <c r="F46" s="25" t="s">
        <v>160</v>
      </c>
      <c r="G46" s="25" t="s">
        <v>161</v>
      </c>
      <c r="H46" s="25" t="s">
        <v>35</v>
      </c>
      <c r="I46" s="25" t="s">
        <v>29</v>
      </c>
      <c r="J46" s="25" t="s">
        <v>148</v>
      </c>
      <c r="K46" s="25" t="s">
        <v>38</v>
      </c>
    </row>
    <row r="47" spans="1:11" x14ac:dyDescent="0.25">
      <c r="A47" s="33"/>
      <c r="B47" s="33" t="s">
        <v>182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183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184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185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186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187</v>
      </c>
      <c r="C54" s="28"/>
      <c r="D54" s="28"/>
      <c r="E54" s="28"/>
      <c r="F54" s="28"/>
      <c r="G54" s="28"/>
      <c r="H54" s="28"/>
      <c r="I54" s="30">
        <f>I26+I35+I44+I52</f>
        <v>88043.34</v>
      </c>
      <c r="J54" s="28"/>
      <c r="K54" s="30">
        <f>K26+K35+K44+K52</f>
        <v>101914.05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145</v>
      </c>
    </row>
    <row r="4" spans="1:1" x14ac:dyDescent="0.25">
      <c r="A4" s="15" t="s">
        <v>8</v>
      </c>
    </row>
    <row r="5" spans="1:1" x14ac:dyDescent="0.25">
      <c r="A5" s="15" t="s">
        <v>146</v>
      </c>
    </row>
    <row r="7" spans="3:3" x14ac:dyDescent="0.25">
      <c r="C7" s="26" t="s">
        <v>147</v>
      </c>
    </row>
    <row r="8" spans="3:4" x14ac:dyDescent="0.25">
      <c r="C8" t="s">
        <v>148</v>
      </c>
      <c r="D8" s="21">
        <v>0.15</v>
      </c>
    </row>
    <row r="9" spans="3:4" x14ac:dyDescent="0.25">
      <c r="C9" t="s">
        <v>149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150</v>
      </c>
      <c r="D11" s="21">
        <v>0.15</v>
      </c>
    </row>
    <row r="15" spans="2:2" x14ac:dyDescent="0.25">
      <c r="B15" s="64" t="s">
        <v>201</v>
      </c>
    </row>
    <row r="16" spans="2:5" x14ac:dyDescent="0.25">
      <c r="B16" s="4" t="s">
        <v>152</v>
      </c>
      <c r="C16" s="4" t="s">
        <v>153</v>
      </c>
      <c r="D16" s="4" t="s">
        <v>154</v>
      </c>
      <c r="E16" s="4" t="s">
        <v>155</v>
      </c>
    </row>
    <row r="17" spans="2:5" x14ac:dyDescent="0.25">
      <c r="B17" s="49">
        <v>4</v>
      </c>
      <c r="C17" s="49">
        <v>20.49</v>
      </c>
      <c r="D17" s="65">
        <v>81.96</v>
      </c>
      <c r="E17">
        <v>1</v>
      </c>
    </row>
    <row r="19" ht="24" customHeight="1" spans="1:11" x14ac:dyDescent="0.25">
      <c r="A19" s="25" t="s">
        <v>35</v>
      </c>
      <c r="B19" s="25" t="s">
        <v>156</v>
      </c>
      <c r="C19" s="25" t="s">
        <v>157</v>
      </c>
      <c r="D19" s="25" t="s">
        <v>158</v>
      </c>
      <c r="E19" s="25" t="s">
        <v>159</v>
      </c>
      <c r="F19" s="25" t="s">
        <v>160</v>
      </c>
      <c r="G19" s="25" t="s">
        <v>161</v>
      </c>
      <c r="H19" s="25" t="s">
        <v>35</v>
      </c>
      <c r="I19" s="25" t="s">
        <v>29</v>
      </c>
      <c r="J19" s="25" t="s">
        <v>148</v>
      </c>
      <c r="K19" s="25" t="s">
        <v>38</v>
      </c>
    </row>
    <row r="20" spans="1:11" x14ac:dyDescent="0.25">
      <c r="A20" s="33"/>
      <c r="B20" s="33" t="s">
        <v>162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163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164</v>
      </c>
      <c r="C22" s="66">
        <v>3745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3745</v>
      </c>
      <c r="J22" s="35">
        <f>$D$8</f>
        <v>0.15</v>
      </c>
      <c r="K22" s="34">
        <f>I22/(1-J22)</f>
        <v>4405.88</v>
      </c>
    </row>
    <row r="23" spans="2:11" x14ac:dyDescent="0.25">
      <c r="B23" t="s">
        <v>165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166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166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3745</v>
      </c>
      <c r="J26" s="68"/>
      <c r="K26" s="69">
        <f>SUM(K20:K25)</f>
        <v>4405.88</v>
      </c>
    </row>
    <row r="28" ht="24" customHeight="1" spans="1:11" x14ac:dyDescent="0.25">
      <c r="A28" s="25" t="s">
        <v>35</v>
      </c>
      <c r="B28" s="25" t="s">
        <v>167</v>
      </c>
      <c r="C28" s="25" t="s">
        <v>157</v>
      </c>
      <c r="D28" s="25" t="s">
        <v>158</v>
      </c>
      <c r="E28" s="25" t="s">
        <v>159</v>
      </c>
      <c r="F28" s="25" t="s">
        <v>160</v>
      </c>
      <c r="G28" s="25" t="s">
        <v>161</v>
      </c>
      <c r="H28" s="25" t="s">
        <v>35</v>
      </c>
      <c r="I28" s="25" t="s">
        <v>29</v>
      </c>
      <c r="J28" s="25" t="s">
        <v>148</v>
      </c>
      <c r="K28" s="25" t="s">
        <v>38</v>
      </c>
    </row>
    <row r="29" spans="1:11" x14ac:dyDescent="0.25">
      <c r="A29" s="33"/>
      <c r="B29" s="33" t="s">
        <v>168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169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170</v>
      </c>
      <c r="C31" s="66">
        <v>10213.64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10213.64</v>
      </c>
      <c r="J31" s="35">
        <f>$D$8</f>
        <v>0.15</v>
      </c>
      <c r="K31" s="34">
        <f>I31/(1-J31)</f>
        <v>12016.05</v>
      </c>
    </row>
    <row r="32" spans="2:11" x14ac:dyDescent="0.25">
      <c r="B32" t="s">
        <v>171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172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173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31095.989999999998</v>
      </c>
      <c r="J35" s="68"/>
      <c r="K35" s="69">
        <f>SUM(K29:K34)</f>
        <v>36583.52</v>
      </c>
    </row>
    <row r="37" ht="24" customHeight="1" spans="1:11" x14ac:dyDescent="0.25">
      <c r="A37" s="25" t="s">
        <v>35</v>
      </c>
      <c r="B37" s="25" t="s">
        <v>174</v>
      </c>
      <c r="C37" s="25" t="s">
        <v>157</v>
      </c>
      <c r="D37" s="25" t="s">
        <v>158</v>
      </c>
      <c r="E37" s="25" t="s">
        <v>159</v>
      </c>
      <c r="F37" s="25" t="s">
        <v>160</v>
      </c>
      <c r="G37" s="25" t="s">
        <v>161</v>
      </c>
      <c r="H37" s="25" t="s">
        <v>35</v>
      </c>
      <c r="I37" s="25" t="s">
        <v>29</v>
      </c>
      <c r="J37" s="25" t="s">
        <v>148</v>
      </c>
      <c r="K37" s="25" t="s">
        <v>38</v>
      </c>
    </row>
    <row r="38" spans="1:11" x14ac:dyDescent="0.25">
      <c r="A38" s="33"/>
      <c r="B38" s="33" t="s">
        <v>175</v>
      </c>
      <c r="C38" s="66">
        <v>8511.36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8511.36</v>
      </c>
      <c r="J38" s="35">
        <f>$D$9</f>
        <v>0.15</v>
      </c>
      <c r="K38" s="34">
        <f>I38/(1-J38)</f>
        <v>10013.36</v>
      </c>
    </row>
    <row r="39" spans="2:11" x14ac:dyDescent="0.25">
      <c r="B39" t="s">
        <v>176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177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178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179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180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8511.36</v>
      </c>
      <c r="J44" s="68"/>
      <c r="K44" s="69">
        <f>SUM(K38:K43)</f>
        <v>10013.36</v>
      </c>
    </row>
    <row r="46" ht="24" customHeight="1" spans="1:11" x14ac:dyDescent="0.25">
      <c r="A46" s="25" t="s">
        <v>35</v>
      </c>
      <c r="B46" s="25" t="s">
        <v>181</v>
      </c>
      <c r="C46" s="25" t="s">
        <v>157</v>
      </c>
      <c r="D46" s="25" t="s">
        <v>158</v>
      </c>
      <c r="E46" s="25" t="s">
        <v>159</v>
      </c>
      <c r="F46" s="25" t="s">
        <v>160</v>
      </c>
      <c r="G46" s="25" t="s">
        <v>161</v>
      </c>
      <c r="H46" s="25" t="s">
        <v>35</v>
      </c>
      <c r="I46" s="25" t="s">
        <v>29</v>
      </c>
      <c r="J46" s="25" t="s">
        <v>148</v>
      </c>
      <c r="K46" s="25" t="s">
        <v>38</v>
      </c>
    </row>
    <row r="47" spans="1:11" x14ac:dyDescent="0.25">
      <c r="A47" s="33"/>
      <c r="B47" s="33" t="s">
        <v>182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183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184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185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186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187</v>
      </c>
      <c r="C54" s="28"/>
      <c r="D54" s="28"/>
      <c r="E54" s="28"/>
      <c r="F54" s="28"/>
      <c r="G54" s="28"/>
      <c r="H54" s="28"/>
      <c r="I54" s="30">
        <f>I26+I35+I44+I52</f>
        <v>63000.83</v>
      </c>
      <c r="J54" s="28"/>
      <c r="K54" s="30">
        <f>K26+K35+K44+K52</f>
        <v>73154.38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145</v>
      </c>
    </row>
    <row r="4" spans="1:1" x14ac:dyDescent="0.25">
      <c r="A4" s="15" t="s">
        <v>8</v>
      </c>
    </row>
    <row r="5" spans="1:1" x14ac:dyDescent="0.25">
      <c r="A5" s="15" t="s">
        <v>146</v>
      </c>
    </row>
    <row r="7" spans="3:3" x14ac:dyDescent="0.25">
      <c r="C7" s="26" t="s">
        <v>147</v>
      </c>
    </row>
    <row r="8" spans="3:4" x14ac:dyDescent="0.25">
      <c r="C8" t="s">
        <v>148</v>
      </c>
      <c r="D8" s="21">
        <v>0.15</v>
      </c>
    </row>
    <row r="9" spans="3:4" x14ac:dyDescent="0.25">
      <c r="C9" t="s">
        <v>149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150</v>
      </c>
      <c r="D11" s="21">
        <v>0.15</v>
      </c>
    </row>
    <row r="15" spans="2:2" x14ac:dyDescent="0.25">
      <c r="B15" s="64" t="s">
        <v>201</v>
      </c>
    </row>
    <row r="16" spans="2:5" x14ac:dyDescent="0.25">
      <c r="B16" s="4" t="s">
        <v>152</v>
      </c>
      <c r="C16" s="4" t="s">
        <v>153</v>
      </c>
      <c r="D16" s="4" t="s">
        <v>154</v>
      </c>
      <c r="E16" s="4" t="s">
        <v>155</v>
      </c>
    </row>
    <row r="17" spans="2:5" x14ac:dyDescent="0.25">
      <c r="B17" s="49">
        <v>4</v>
      </c>
      <c r="C17" s="49">
        <v>35.21</v>
      </c>
      <c r="D17" s="65">
        <v>140.84</v>
      </c>
      <c r="E17">
        <v>1</v>
      </c>
    </row>
    <row r="19" ht="24" customHeight="1" spans="1:11" x14ac:dyDescent="0.25">
      <c r="A19" s="25" t="s">
        <v>35</v>
      </c>
      <c r="B19" s="25" t="s">
        <v>156</v>
      </c>
      <c r="C19" s="25" t="s">
        <v>157</v>
      </c>
      <c r="D19" s="25" t="s">
        <v>158</v>
      </c>
      <c r="E19" s="25" t="s">
        <v>159</v>
      </c>
      <c r="F19" s="25" t="s">
        <v>160</v>
      </c>
      <c r="G19" s="25" t="s">
        <v>161</v>
      </c>
      <c r="H19" s="25" t="s">
        <v>35</v>
      </c>
      <c r="I19" s="25" t="s">
        <v>29</v>
      </c>
      <c r="J19" s="25" t="s">
        <v>148</v>
      </c>
      <c r="K19" s="25" t="s">
        <v>38</v>
      </c>
    </row>
    <row r="20" spans="1:11" x14ac:dyDescent="0.25">
      <c r="A20" s="33"/>
      <c r="B20" s="33" t="s">
        <v>162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163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164</v>
      </c>
      <c r="C22" s="66">
        <v>6428.33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6428.33</v>
      </c>
      <c r="J22" s="35">
        <f>$D$8</f>
        <v>0.15</v>
      </c>
      <c r="K22" s="34">
        <f>I22/(1-J22)</f>
        <v>7562.74</v>
      </c>
    </row>
    <row r="23" spans="2:11" x14ac:dyDescent="0.25">
      <c r="B23" t="s">
        <v>165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166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166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6428.33</v>
      </c>
      <c r="J26" s="68"/>
      <c r="K26" s="69">
        <f>SUM(K20:K25)</f>
        <v>7562.74</v>
      </c>
    </row>
    <row r="28" ht="24" customHeight="1" spans="1:11" x14ac:dyDescent="0.25">
      <c r="A28" s="25" t="s">
        <v>35</v>
      </c>
      <c r="B28" s="25" t="s">
        <v>167</v>
      </c>
      <c r="C28" s="25" t="s">
        <v>157</v>
      </c>
      <c r="D28" s="25" t="s">
        <v>158</v>
      </c>
      <c r="E28" s="25" t="s">
        <v>159</v>
      </c>
      <c r="F28" s="25" t="s">
        <v>160</v>
      </c>
      <c r="G28" s="25" t="s">
        <v>161</v>
      </c>
      <c r="H28" s="25" t="s">
        <v>35</v>
      </c>
      <c r="I28" s="25" t="s">
        <v>29</v>
      </c>
      <c r="J28" s="25" t="s">
        <v>148</v>
      </c>
      <c r="K28" s="25" t="s">
        <v>38</v>
      </c>
    </row>
    <row r="29" spans="1:11" x14ac:dyDescent="0.25">
      <c r="A29" s="33"/>
      <c r="B29" s="33" t="s">
        <v>168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169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170</v>
      </c>
      <c r="C31" s="66">
        <v>17531.82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17531.82</v>
      </c>
      <c r="J31" s="35">
        <f>$D$8</f>
        <v>0.15</v>
      </c>
      <c r="K31" s="34">
        <f>I31/(1-J31)</f>
        <v>20625.67</v>
      </c>
    </row>
    <row r="32" spans="2:11" x14ac:dyDescent="0.25">
      <c r="B32" t="s">
        <v>171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172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173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38414.17</v>
      </c>
      <c r="J35" s="68"/>
      <c r="K35" s="69">
        <f>SUM(K29:K34)</f>
        <v>45193.14</v>
      </c>
    </row>
    <row r="37" ht="24" customHeight="1" spans="1:11" x14ac:dyDescent="0.25">
      <c r="A37" s="25" t="s">
        <v>35</v>
      </c>
      <c r="B37" s="25" t="s">
        <v>174</v>
      </c>
      <c r="C37" s="25" t="s">
        <v>157</v>
      </c>
      <c r="D37" s="25" t="s">
        <v>158</v>
      </c>
      <c r="E37" s="25" t="s">
        <v>159</v>
      </c>
      <c r="F37" s="25" t="s">
        <v>160</v>
      </c>
      <c r="G37" s="25" t="s">
        <v>161</v>
      </c>
      <c r="H37" s="25" t="s">
        <v>35</v>
      </c>
      <c r="I37" s="25" t="s">
        <v>29</v>
      </c>
      <c r="J37" s="25" t="s">
        <v>148</v>
      </c>
      <c r="K37" s="25" t="s">
        <v>38</v>
      </c>
    </row>
    <row r="38" spans="1:11" x14ac:dyDescent="0.25">
      <c r="A38" s="33"/>
      <c r="B38" s="33" t="s">
        <v>175</v>
      </c>
      <c r="C38" s="66">
        <v>14609.85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14609.85</v>
      </c>
      <c r="J38" s="35">
        <f>$D$9</f>
        <v>0.15</v>
      </c>
      <c r="K38" s="34">
        <f>I38/(1-J38)</f>
        <v>17188.06</v>
      </c>
    </row>
    <row r="39" spans="2:11" x14ac:dyDescent="0.25">
      <c r="B39" t="s">
        <v>176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177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178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179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180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14609.85</v>
      </c>
      <c r="J44" s="68"/>
      <c r="K44" s="69">
        <f>SUM(K38:K43)</f>
        <v>17188.06</v>
      </c>
    </row>
    <row r="46" ht="24" customHeight="1" spans="1:11" x14ac:dyDescent="0.25">
      <c r="A46" s="25" t="s">
        <v>35</v>
      </c>
      <c r="B46" s="25" t="s">
        <v>181</v>
      </c>
      <c r="C46" s="25" t="s">
        <v>157</v>
      </c>
      <c r="D46" s="25" t="s">
        <v>158</v>
      </c>
      <c r="E46" s="25" t="s">
        <v>159</v>
      </c>
      <c r="F46" s="25" t="s">
        <v>160</v>
      </c>
      <c r="G46" s="25" t="s">
        <v>161</v>
      </c>
      <c r="H46" s="25" t="s">
        <v>35</v>
      </c>
      <c r="I46" s="25" t="s">
        <v>29</v>
      </c>
      <c r="J46" s="25" t="s">
        <v>148</v>
      </c>
      <c r="K46" s="25" t="s">
        <v>38</v>
      </c>
    </row>
    <row r="47" spans="1:11" x14ac:dyDescent="0.25">
      <c r="A47" s="33"/>
      <c r="B47" s="33" t="s">
        <v>182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183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184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185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186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187</v>
      </c>
      <c r="C54" s="28"/>
      <c r="D54" s="28"/>
      <c r="E54" s="28"/>
      <c r="F54" s="28"/>
      <c r="G54" s="28"/>
      <c r="H54" s="28"/>
      <c r="I54" s="30">
        <f>I26+I35+I44+I52</f>
        <v>87716.29</v>
      </c>
      <c r="J54" s="28"/>
      <c r="K54" s="30">
        <f>K26+K35+K44+K52</f>
        <v>101538.69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145</v>
      </c>
    </row>
    <row r="4" spans="1:1" x14ac:dyDescent="0.25">
      <c r="A4" s="15" t="s">
        <v>8</v>
      </c>
    </row>
    <row r="5" spans="1:1" x14ac:dyDescent="0.25">
      <c r="A5" s="15" t="s">
        <v>146</v>
      </c>
    </row>
    <row r="7" spans="3:3" x14ac:dyDescent="0.25">
      <c r="C7" s="26" t="s">
        <v>147</v>
      </c>
    </row>
    <row r="8" spans="3:4" x14ac:dyDescent="0.25">
      <c r="C8" t="s">
        <v>148</v>
      </c>
      <c r="D8" s="21">
        <v>0.15</v>
      </c>
    </row>
    <row r="9" spans="3:4" x14ac:dyDescent="0.25">
      <c r="C9" t="s">
        <v>149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150</v>
      </c>
      <c r="D11" s="21">
        <v>0.15</v>
      </c>
    </row>
    <row r="15" spans="2:2" x14ac:dyDescent="0.25">
      <c r="B15" s="64" t="s">
        <v>202</v>
      </c>
    </row>
    <row r="16" spans="2:5" x14ac:dyDescent="0.25">
      <c r="B16" s="4" t="s">
        <v>152</v>
      </c>
      <c r="C16" s="4" t="s">
        <v>153</v>
      </c>
      <c r="D16" s="4" t="s">
        <v>154</v>
      </c>
      <c r="E16" s="4" t="s">
        <v>155</v>
      </c>
    </row>
    <row r="17" spans="2:5" x14ac:dyDescent="0.25">
      <c r="B17" s="49">
        <v>70</v>
      </c>
      <c r="C17" s="49">
        <v>35.31</v>
      </c>
      <c r="D17" s="65">
        <v>2471.7</v>
      </c>
      <c r="E17">
        <v>1</v>
      </c>
    </row>
    <row r="19" ht="24" customHeight="1" spans="1:11" x14ac:dyDescent="0.25">
      <c r="A19" s="25" t="s">
        <v>35</v>
      </c>
      <c r="B19" s="25" t="s">
        <v>156</v>
      </c>
      <c r="C19" s="25" t="s">
        <v>157</v>
      </c>
      <c r="D19" s="25" t="s">
        <v>158</v>
      </c>
      <c r="E19" s="25" t="s">
        <v>159</v>
      </c>
      <c r="F19" s="25" t="s">
        <v>160</v>
      </c>
      <c r="G19" s="25" t="s">
        <v>161</v>
      </c>
      <c r="H19" s="25" t="s">
        <v>35</v>
      </c>
      <c r="I19" s="25" t="s">
        <v>29</v>
      </c>
      <c r="J19" s="25" t="s">
        <v>148</v>
      </c>
      <c r="K19" s="25" t="s">
        <v>38</v>
      </c>
    </row>
    <row r="20" spans="1:11" x14ac:dyDescent="0.25">
      <c r="A20" s="33"/>
      <c r="B20" s="33" t="s">
        <v>162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163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164</v>
      </c>
      <c r="C22" s="66">
        <v>67059.37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67059.37</v>
      </c>
      <c r="J22" s="35">
        <f>$D$8</f>
        <v>0.15</v>
      </c>
      <c r="K22" s="34">
        <f>I22/(1-J22)</f>
        <v>78893.38</v>
      </c>
    </row>
    <row r="23" spans="2:11" x14ac:dyDescent="0.25">
      <c r="B23" t="s">
        <v>165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166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166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67059.37</v>
      </c>
      <c r="J26" s="68"/>
      <c r="K26" s="69">
        <f>SUM(K20:K25)</f>
        <v>78893.38</v>
      </c>
    </row>
    <row r="28" ht="24" customHeight="1" spans="1:11" x14ac:dyDescent="0.25">
      <c r="A28" s="25" t="s">
        <v>35</v>
      </c>
      <c r="B28" s="25" t="s">
        <v>167</v>
      </c>
      <c r="C28" s="25" t="s">
        <v>157</v>
      </c>
      <c r="D28" s="25" t="s">
        <v>158</v>
      </c>
      <c r="E28" s="25" t="s">
        <v>159</v>
      </c>
      <c r="F28" s="25" t="s">
        <v>160</v>
      </c>
      <c r="G28" s="25" t="s">
        <v>161</v>
      </c>
      <c r="H28" s="25" t="s">
        <v>35</v>
      </c>
      <c r="I28" s="25" t="s">
        <v>29</v>
      </c>
      <c r="J28" s="25" t="s">
        <v>148</v>
      </c>
      <c r="K28" s="25" t="s">
        <v>38</v>
      </c>
    </row>
    <row r="29" spans="1:11" x14ac:dyDescent="0.25">
      <c r="A29" s="33"/>
      <c r="B29" s="33" t="s">
        <v>168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169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170</v>
      </c>
      <c r="C31" s="66">
        <v>457222.97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457222.97</v>
      </c>
      <c r="J31" s="35">
        <f>$D$8</f>
        <v>0.15</v>
      </c>
      <c r="K31" s="34">
        <f>I31/(1-J31)</f>
        <v>537909.38</v>
      </c>
    </row>
    <row r="32" spans="2:11" x14ac:dyDescent="0.25">
      <c r="B32" t="s">
        <v>171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172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173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478105.31999999995</v>
      </c>
      <c r="J35" s="68"/>
      <c r="K35" s="69">
        <f>SUM(K29:K34)</f>
        <v>562476.85</v>
      </c>
    </row>
    <row r="37" ht="24" customHeight="1" spans="1:11" x14ac:dyDescent="0.25">
      <c r="A37" s="25" t="s">
        <v>35</v>
      </c>
      <c r="B37" s="25" t="s">
        <v>174</v>
      </c>
      <c r="C37" s="25" t="s">
        <v>157</v>
      </c>
      <c r="D37" s="25" t="s">
        <v>158</v>
      </c>
      <c r="E37" s="25" t="s">
        <v>159</v>
      </c>
      <c r="F37" s="25" t="s">
        <v>160</v>
      </c>
      <c r="G37" s="25" t="s">
        <v>161</v>
      </c>
      <c r="H37" s="25" t="s">
        <v>35</v>
      </c>
      <c r="I37" s="25" t="s">
        <v>29</v>
      </c>
      <c r="J37" s="25" t="s">
        <v>148</v>
      </c>
      <c r="K37" s="25" t="s">
        <v>38</v>
      </c>
    </row>
    <row r="38" spans="1:11" x14ac:dyDescent="0.25">
      <c r="A38" s="33"/>
      <c r="B38" s="33" t="s">
        <v>175</v>
      </c>
      <c r="C38" s="66">
        <v>152407.66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152407.66</v>
      </c>
      <c r="J38" s="35">
        <f>$D$9</f>
        <v>0.15</v>
      </c>
      <c r="K38" s="34">
        <f>I38/(1-J38)</f>
        <v>179303.13</v>
      </c>
    </row>
    <row r="39" spans="2:11" x14ac:dyDescent="0.25">
      <c r="B39" t="s">
        <v>176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177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178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179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180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152407.66</v>
      </c>
      <c r="J44" s="68"/>
      <c r="K44" s="69">
        <f>SUM(K38:K43)</f>
        <v>179303.13</v>
      </c>
    </row>
    <row r="46" ht="24" customHeight="1" spans="1:11" x14ac:dyDescent="0.25">
      <c r="A46" s="25" t="s">
        <v>35</v>
      </c>
      <c r="B46" s="25" t="s">
        <v>181</v>
      </c>
      <c r="C46" s="25" t="s">
        <v>157</v>
      </c>
      <c r="D46" s="25" t="s">
        <v>158</v>
      </c>
      <c r="E46" s="25" t="s">
        <v>159</v>
      </c>
      <c r="F46" s="25" t="s">
        <v>160</v>
      </c>
      <c r="G46" s="25" t="s">
        <v>161</v>
      </c>
      <c r="H46" s="25" t="s">
        <v>35</v>
      </c>
      <c r="I46" s="25" t="s">
        <v>29</v>
      </c>
      <c r="J46" s="25" t="s">
        <v>148</v>
      </c>
      <c r="K46" s="25" t="s">
        <v>38</v>
      </c>
    </row>
    <row r="47" spans="1:11" x14ac:dyDescent="0.25">
      <c r="A47" s="33"/>
      <c r="B47" s="33" t="s">
        <v>182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183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184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185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186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187</v>
      </c>
      <c r="C54" s="28"/>
      <c r="D54" s="28"/>
      <c r="E54" s="28"/>
      <c r="F54" s="28"/>
      <c r="G54" s="28"/>
      <c r="H54" s="28"/>
      <c r="I54" s="30">
        <f>I26+I35+I44+I52</f>
        <v>1078893.67</v>
      </c>
      <c r="J54" s="28"/>
      <c r="K54" s="30">
        <f>K26+K35+K44+K52</f>
        <v>1240207.84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145</v>
      </c>
    </row>
    <row r="4" spans="1:1" x14ac:dyDescent="0.25">
      <c r="A4" s="15" t="s">
        <v>8</v>
      </c>
    </row>
    <row r="5" spans="1:1" x14ac:dyDescent="0.25">
      <c r="A5" s="15" t="s">
        <v>146</v>
      </c>
    </row>
    <row r="7" spans="3:3" x14ac:dyDescent="0.25">
      <c r="C7" s="26" t="s">
        <v>147</v>
      </c>
    </row>
    <row r="8" spans="3:4" x14ac:dyDescent="0.25">
      <c r="C8" t="s">
        <v>148</v>
      </c>
      <c r="D8" s="21">
        <v>0.15</v>
      </c>
    </row>
    <row r="9" spans="3:4" x14ac:dyDescent="0.25">
      <c r="C9" t="s">
        <v>149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150</v>
      </c>
      <c r="D11" s="21">
        <v>0.15</v>
      </c>
    </row>
    <row r="15" spans="2:2" x14ac:dyDescent="0.25">
      <c r="B15" s="64" t="s">
        <v>203</v>
      </c>
    </row>
    <row r="16" spans="2:5" x14ac:dyDescent="0.25">
      <c r="B16" s="4" t="s">
        <v>152</v>
      </c>
      <c r="C16" s="4" t="s">
        <v>153</v>
      </c>
      <c r="D16" s="4" t="s">
        <v>154</v>
      </c>
      <c r="E16" s="4" t="s">
        <v>155</v>
      </c>
    </row>
    <row r="17" spans="2:5" x14ac:dyDescent="0.25">
      <c r="B17" s="49">
        <v>70</v>
      </c>
      <c r="C17" s="49">
        <v>252</v>
      </c>
      <c r="D17" s="65">
        <v>17640</v>
      </c>
      <c r="E17">
        <v>1</v>
      </c>
    </row>
    <row r="19" ht="24" customHeight="1" spans="1:11" x14ac:dyDescent="0.25">
      <c r="A19" s="25" t="s">
        <v>35</v>
      </c>
      <c r="B19" s="25" t="s">
        <v>156</v>
      </c>
      <c r="C19" s="25" t="s">
        <v>157</v>
      </c>
      <c r="D19" s="25" t="s">
        <v>158</v>
      </c>
      <c r="E19" s="25" t="s">
        <v>159</v>
      </c>
      <c r="F19" s="25" t="s">
        <v>160</v>
      </c>
      <c r="G19" s="25" t="s">
        <v>161</v>
      </c>
      <c r="H19" s="25" t="s">
        <v>35</v>
      </c>
      <c r="I19" s="25" t="s">
        <v>29</v>
      </c>
      <c r="J19" s="25" t="s">
        <v>148</v>
      </c>
      <c r="K19" s="25" t="s">
        <v>38</v>
      </c>
    </row>
    <row r="20" spans="1:11" x14ac:dyDescent="0.25">
      <c r="A20" s="33"/>
      <c r="B20" s="33" t="s">
        <v>162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163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164</v>
      </c>
      <c r="C22" s="66">
        <v>478697.21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478697.21</v>
      </c>
      <c r="J22" s="35">
        <f>$D$8</f>
        <v>0.15</v>
      </c>
      <c r="K22" s="34">
        <f>I22/(1-J22)</f>
        <v>563173.19</v>
      </c>
    </row>
    <row r="23" spans="2:11" x14ac:dyDescent="0.25">
      <c r="B23" t="s">
        <v>165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166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166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478697.21</v>
      </c>
      <c r="J26" s="68"/>
      <c r="K26" s="69">
        <f>SUM(K20:K25)</f>
        <v>563173.19</v>
      </c>
    </row>
    <row r="28" ht="24" customHeight="1" spans="1:11" x14ac:dyDescent="0.25">
      <c r="A28" s="25" t="s">
        <v>35</v>
      </c>
      <c r="B28" s="25" t="s">
        <v>167</v>
      </c>
      <c r="C28" s="25" t="s">
        <v>157</v>
      </c>
      <c r="D28" s="25" t="s">
        <v>158</v>
      </c>
      <c r="E28" s="25" t="s">
        <v>159</v>
      </c>
      <c r="F28" s="25" t="s">
        <v>160</v>
      </c>
      <c r="G28" s="25" t="s">
        <v>161</v>
      </c>
      <c r="H28" s="25" t="s">
        <v>35</v>
      </c>
      <c r="I28" s="25" t="s">
        <v>29</v>
      </c>
      <c r="J28" s="25" t="s">
        <v>148</v>
      </c>
      <c r="K28" s="25" t="s">
        <v>38</v>
      </c>
    </row>
    <row r="29" spans="1:11" x14ac:dyDescent="0.25">
      <c r="A29" s="33"/>
      <c r="B29" s="33" t="s">
        <v>168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169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170</v>
      </c>
      <c r="C31" s="66">
        <v>3263844.59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3263844.59</v>
      </c>
      <c r="J31" s="35">
        <f>$D$8</f>
        <v>0.15</v>
      </c>
      <c r="K31" s="34">
        <f>I31/(1-J31)</f>
        <v>3839817.16</v>
      </c>
    </row>
    <row r="32" spans="2:11" x14ac:dyDescent="0.25">
      <c r="B32" t="s">
        <v>171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172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173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3284726.94</v>
      </c>
      <c r="J35" s="68"/>
      <c r="K35" s="69">
        <f>SUM(K29:K34)</f>
        <v>3864384.64</v>
      </c>
    </row>
    <row r="37" ht="24" customHeight="1" spans="1:11" x14ac:dyDescent="0.25">
      <c r="A37" s="25" t="s">
        <v>35</v>
      </c>
      <c r="B37" s="25" t="s">
        <v>174</v>
      </c>
      <c r="C37" s="25" t="s">
        <v>157</v>
      </c>
      <c r="D37" s="25" t="s">
        <v>158</v>
      </c>
      <c r="E37" s="25" t="s">
        <v>159</v>
      </c>
      <c r="F37" s="25" t="s">
        <v>160</v>
      </c>
      <c r="G37" s="25" t="s">
        <v>161</v>
      </c>
      <c r="H37" s="25" t="s">
        <v>35</v>
      </c>
      <c r="I37" s="25" t="s">
        <v>29</v>
      </c>
      <c r="J37" s="25" t="s">
        <v>148</v>
      </c>
      <c r="K37" s="25" t="s">
        <v>38</v>
      </c>
    </row>
    <row r="38" spans="1:11" x14ac:dyDescent="0.25">
      <c r="A38" s="33"/>
      <c r="B38" s="33" t="s">
        <v>175</v>
      </c>
      <c r="C38" s="66">
        <v>1087948.2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1087948.2</v>
      </c>
      <c r="J38" s="35">
        <f>$D$9</f>
        <v>0.15</v>
      </c>
      <c r="K38" s="34">
        <f>I38/(1-J38)</f>
        <v>1279939.06</v>
      </c>
    </row>
    <row r="39" spans="2:11" x14ac:dyDescent="0.25">
      <c r="B39" t="s">
        <v>176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177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178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179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180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1087948.2</v>
      </c>
      <c r="J44" s="68"/>
      <c r="K44" s="69">
        <f>SUM(K38:K43)</f>
        <v>1279939.06</v>
      </c>
    </row>
    <row r="46" ht="24" customHeight="1" spans="1:11" x14ac:dyDescent="0.25">
      <c r="A46" s="25" t="s">
        <v>35</v>
      </c>
      <c r="B46" s="25" t="s">
        <v>181</v>
      </c>
      <c r="C46" s="25" t="s">
        <v>157</v>
      </c>
      <c r="D46" s="25" t="s">
        <v>158</v>
      </c>
      <c r="E46" s="25" t="s">
        <v>159</v>
      </c>
      <c r="F46" s="25" t="s">
        <v>160</v>
      </c>
      <c r="G46" s="25" t="s">
        <v>161</v>
      </c>
      <c r="H46" s="25" t="s">
        <v>35</v>
      </c>
      <c r="I46" s="25" t="s">
        <v>29</v>
      </c>
      <c r="J46" s="25" t="s">
        <v>148</v>
      </c>
      <c r="K46" s="25" t="s">
        <v>38</v>
      </c>
    </row>
    <row r="47" spans="1:11" x14ac:dyDescent="0.25">
      <c r="A47" s="33"/>
      <c r="B47" s="33" t="s">
        <v>182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183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184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185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186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187</v>
      </c>
      <c r="C54" s="28"/>
      <c r="D54" s="28"/>
      <c r="E54" s="28"/>
      <c r="F54" s="28"/>
      <c r="G54" s="28"/>
      <c r="H54" s="28"/>
      <c r="I54" s="30">
        <f>I26+I35+I44+I52</f>
        <v>7468508.01</v>
      </c>
      <c r="J54" s="28"/>
      <c r="K54" s="30">
        <f>K26+K35+K44+K52</f>
        <v>8578950.6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145</v>
      </c>
    </row>
    <row r="4" spans="1:1" x14ac:dyDescent="0.25">
      <c r="A4" s="15" t="s">
        <v>8</v>
      </c>
    </row>
    <row r="5" spans="1:1" x14ac:dyDescent="0.25">
      <c r="A5" s="15" t="s">
        <v>146</v>
      </c>
    </row>
    <row r="7" spans="3:3" x14ac:dyDescent="0.25">
      <c r="C7" s="26" t="s">
        <v>147</v>
      </c>
    </row>
    <row r="8" spans="3:4" x14ac:dyDescent="0.25">
      <c r="C8" t="s">
        <v>148</v>
      </c>
      <c r="D8" s="21">
        <v>0.15</v>
      </c>
    </row>
    <row r="9" spans="3:4" x14ac:dyDescent="0.25">
      <c r="C9" t="s">
        <v>149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150</v>
      </c>
      <c r="D11" s="21">
        <v>0.15</v>
      </c>
    </row>
    <row r="15" spans="2:2" x14ac:dyDescent="0.25">
      <c r="B15" s="64" t="s">
        <v>204</v>
      </c>
    </row>
    <row r="16" spans="2:5" x14ac:dyDescent="0.25">
      <c r="B16" s="4" t="s">
        <v>152</v>
      </c>
      <c r="C16" s="4" t="s">
        <v>153</v>
      </c>
      <c r="D16" s="4" t="s">
        <v>154</v>
      </c>
      <c r="E16" s="4" t="s">
        <v>155</v>
      </c>
    </row>
    <row r="17" spans="2:5" x14ac:dyDescent="0.25">
      <c r="B17" s="49">
        <v>17</v>
      </c>
      <c r="C17" s="49">
        <v>28</v>
      </c>
      <c r="D17" s="65">
        <v>476</v>
      </c>
      <c r="E17">
        <v>1</v>
      </c>
    </row>
    <row r="19" ht="24" customHeight="1" spans="1:11" x14ac:dyDescent="0.25">
      <c r="A19" s="25" t="s">
        <v>35</v>
      </c>
      <c r="B19" s="25" t="s">
        <v>156</v>
      </c>
      <c r="C19" s="25" t="s">
        <v>157</v>
      </c>
      <c r="D19" s="25" t="s">
        <v>158</v>
      </c>
      <c r="E19" s="25" t="s">
        <v>159</v>
      </c>
      <c r="F19" s="25" t="s">
        <v>160</v>
      </c>
      <c r="G19" s="25" t="s">
        <v>161</v>
      </c>
      <c r="H19" s="25" t="s">
        <v>35</v>
      </c>
      <c r="I19" s="25" t="s">
        <v>29</v>
      </c>
      <c r="J19" s="25" t="s">
        <v>148</v>
      </c>
      <c r="K19" s="25" t="s">
        <v>38</v>
      </c>
    </row>
    <row r="20" spans="1:11" x14ac:dyDescent="0.25">
      <c r="A20" s="33"/>
      <c r="B20" s="33" t="s">
        <v>162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163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164</v>
      </c>
      <c r="C22" s="66">
        <v>12902.7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12902.7</v>
      </c>
      <c r="J22" s="35">
        <f>$D$8</f>
        <v>0.15</v>
      </c>
      <c r="K22" s="34">
        <f>I22/(1-J22)</f>
        <v>15179.65</v>
      </c>
    </row>
    <row r="23" spans="2:11" x14ac:dyDescent="0.25">
      <c r="B23" t="s">
        <v>165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166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166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12902.7</v>
      </c>
      <c r="J26" s="68"/>
      <c r="K26" s="69">
        <f>SUM(K20:K25)</f>
        <v>15179.65</v>
      </c>
    </row>
    <row r="28" ht="24" customHeight="1" spans="1:11" x14ac:dyDescent="0.25">
      <c r="A28" s="25" t="s">
        <v>35</v>
      </c>
      <c r="B28" s="25" t="s">
        <v>167</v>
      </c>
      <c r="C28" s="25" t="s">
        <v>157</v>
      </c>
      <c r="D28" s="25" t="s">
        <v>158</v>
      </c>
      <c r="E28" s="25" t="s">
        <v>159</v>
      </c>
      <c r="F28" s="25" t="s">
        <v>160</v>
      </c>
      <c r="G28" s="25" t="s">
        <v>161</v>
      </c>
      <c r="H28" s="25" t="s">
        <v>35</v>
      </c>
      <c r="I28" s="25" t="s">
        <v>29</v>
      </c>
      <c r="J28" s="25" t="s">
        <v>148</v>
      </c>
      <c r="K28" s="25" t="s">
        <v>38</v>
      </c>
    </row>
    <row r="29" spans="1:11" x14ac:dyDescent="0.25">
      <c r="A29" s="33"/>
      <c r="B29" s="33" t="s">
        <v>168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169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170</v>
      </c>
      <c r="C31" s="66">
        <v>87972.97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87972.97</v>
      </c>
      <c r="J31" s="35">
        <f>$D$8</f>
        <v>0.15</v>
      </c>
      <c r="K31" s="34">
        <f>I31/(1-J31)</f>
        <v>103497.61</v>
      </c>
    </row>
    <row r="32" spans="2:11" x14ac:dyDescent="0.25">
      <c r="B32" t="s">
        <v>171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172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173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108855.32</v>
      </c>
      <c r="J35" s="68"/>
      <c r="K35" s="69">
        <f>SUM(K29:K34)</f>
        <v>128065.08</v>
      </c>
    </row>
    <row r="37" ht="24" customHeight="1" spans="1:11" x14ac:dyDescent="0.25">
      <c r="A37" s="25" t="s">
        <v>35</v>
      </c>
      <c r="B37" s="25" t="s">
        <v>174</v>
      </c>
      <c r="C37" s="25" t="s">
        <v>157</v>
      </c>
      <c r="D37" s="25" t="s">
        <v>158</v>
      </c>
      <c r="E37" s="25" t="s">
        <v>159</v>
      </c>
      <c r="F37" s="25" t="s">
        <v>160</v>
      </c>
      <c r="G37" s="25" t="s">
        <v>161</v>
      </c>
      <c r="H37" s="25" t="s">
        <v>35</v>
      </c>
      <c r="I37" s="25" t="s">
        <v>29</v>
      </c>
      <c r="J37" s="25" t="s">
        <v>148</v>
      </c>
      <c r="K37" s="25" t="s">
        <v>38</v>
      </c>
    </row>
    <row r="38" spans="1:11" x14ac:dyDescent="0.25">
      <c r="A38" s="33"/>
      <c r="B38" s="33" t="s">
        <v>175</v>
      </c>
      <c r="C38" s="66">
        <v>29324.32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29324.32</v>
      </c>
      <c r="J38" s="35">
        <f>$D$9</f>
        <v>0.15</v>
      </c>
      <c r="K38" s="34">
        <f>I38/(1-J38)</f>
        <v>34499.2</v>
      </c>
    </row>
    <row r="39" spans="2:11" x14ac:dyDescent="0.25">
      <c r="B39" t="s">
        <v>176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177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178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179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180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29324.32</v>
      </c>
      <c r="J44" s="68"/>
      <c r="K44" s="69">
        <f>SUM(K38:K43)</f>
        <v>34499.2</v>
      </c>
    </row>
    <row r="46" ht="24" customHeight="1" spans="1:11" x14ac:dyDescent="0.25">
      <c r="A46" s="25" t="s">
        <v>35</v>
      </c>
      <c r="B46" s="25" t="s">
        <v>181</v>
      </c>
      <c r="C46" s="25" t="s">
        <v>157</v>
      </c>
      <c r="D46" s="25" t="s">
        <v>158</v>
      </c>
      <c r="E46" s="25" t="s">
        <v>159</v>
      </c>
      <c r="F46" s="25" t="s">
        <v>160</v>
      </c>
      <c r="G46" s="25" t="s">
        <v>161</v>
      </c>
      <c r="H46" s="25" t="s">
        <v>35</v>
      </c>
      <c r="I46" s="25" t="s">
        <v>29</v>
      </c>
      <c r="J46" s="25" t="s">
        <v>148</v>
      </c>
      <c r="K46" s="25" t="s">
        <v>38</v>
      </c>
    </row>
    <row r="47" spans="1:11" x14ac:dyDescent="0.25">
      <c r="A47" s="33"/>
      <c r="B47" s="33" t="s">
        <v>182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183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184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185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186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187</v>
      </c>
      <c r="C54" s="28"/>
      <c r="D54" s="28"/>
      <c r="E54" s="28"/>
      <c r="F54" s="28"/>
      <c r="G54" s="28"/>
      <c r="H54" s="28"/>
      <c r="I54" s="30">
        <f>I26+I35+I44+I52</f>
        <v>240387.76</v>
      </c>
      <c r="J54" s="28"/>
      <c r="K54" s="30">
        <f>K26+K35+K44+K52</f>
        <v>277209.14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145</v>
      </c>
    </row>
    <row r="4" spans="1:1" x14ac:dyDescent="0.25">
      <c r="A4" s="15" t="s">
        <v>8</v>
      </c>
    </row>
    <row r="5" spans="1:1" x14ac:dyDescent="0.25">
      <c r="A5" s="15" t="s">
        <v>146</v>
      </c>
    </row>
    <row r="7" spans="3:3" x14ac:dyDescent="0.25">
      <c r="C7" s="26" t="s">
        <v>147</v>
      </c>
    </row>
    <row r="8" spans="3:4" x14ac:dyDescent="0.25">
      <c r="C8" t="s">
        <v>148</v>
      </c>
      <c r="D8" s="21">
        <v>0.15</v>
      </c>
    </row>
    <row r="9" spans="3:4" x14ac:dyDescent="0.25">
      <c r="C9" t="s">
        <v>149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150</v>
      </c>
      <c r="D11" s="21">
        <v>0.15</v>
      </c>
    </row>
    <row r="15" spans="2:2" x14ac:dyDescent="0.25">
      <c r="B15" s="64" t="s">
        <v>205</v>
      </c>
    </row>
    <row r="16" spans="2:5" x14ac:dyDescent="0.25">
      <c r="B16" s="4" t="s">
        <v>152</v>
      </c>
      <c r="C16" s="4" t="s">
        <v>153</v>
      </c>
      <c r="D16" s="4" t="s">
        <v>154</v>
      </c>
      <c r="E16" s="4" t="s">
        <v>155</v>
      </c>
    </row>
    <row r="17" spans="2:5" x14ac:dyDescent="0.25">
      <c r="B17" s="49">
        <v>17.58</v>
      </c>
      <c r="C17" s="49">
        <v>28.92</v>
      </c>
      <c r="D17" s="65">
        <v>508.41</v>
      </c>
      <c r="E17">
        <v>1</v>
      </c>
    </row>
    <row r="19" ht="24" customHeight="1" spans="1:11" x14ac:dyDescent="0.25">
      <c r="A19" s="25" t="s">
        <v>35</v>
      </c>
      <c r="B19" s="25" t="s">
        <v>156</v>
      </c>
      <c r="C19" s="25" t="s">
        <v>157</v>
      </c>
      <c r="D19" s="25" t="s">
        <v>158</v>
      </c>
      <c r="E19" s="25" t="s">
        <v>159</v>
      </c>
      <c r="F19" s="25" t="s">
        <v>160</v>
      </c>
      <c r="G19" s="25" t="s">
        <v>161</v>
      </c>
      <c r="H19" s="25" t="s">
        <v>35</v>
      </c>
      <c r="I19" s="25" t="s">
        <v>29</v>
      </c>
      <c r="J19" s="25" t="s">
        <v>148</v>
      </c>
      <c r="K19" s="25" t="s">
        <v>38</v>
      </c>
    </row>
    <row r="20" spans="1:11" x14ac:dyDescent="0.25">
      <c r="A20" s="33"/>
      <c r="B20" s="33" t="s">
        <v>162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163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164</v>
      </c>
      <c r="C22" s="66">
        <v>13790.63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13790.63</v>
      </c>
      <c r="J22" s="35">
        <f>$D$8</f>
        <v>0.15</v>
      </c>
      <c r="K22" s="34">
        <f>I22/(1-J22)</f>
        <v>16224.27</v>
      </c>
    </row>
    <row r="23" spans="2:11" x14ac:dyDescent="0.25">
      <c r="B23" t="s">
        <v>165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166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166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13790.63</v>
      </c>
      <c r="J26" s="68"/>
      <c r="K26" s="69">
        <f>SUM(K20:K25)</f>
        <v>16224.27</v>
      </c>
    </row>
    <row r="28" ht="24" customHeight="1" spans="1:11" x14ac:dyDescent="0.25">
      <c r="A28" s="25" t="s">
        <v>35</v>
      </c>
      <c r="B28" s="25" t="s">
        <v>167</v>
      </c>
      <c r="C28" s="25" t="s">
        <v>157</v>
      </c>
      <c r="D28" s="25" t="s">
        <v>158</v>
      </c>
      <c r="E28" s="25" t="s">
        <v>159</v>
      </c>
      <c r="F28" s="25" t="s">
        <v>160</v>
      </c>
      <c r="G28" s="25" t="s">
        <v>161</v>
      </c>
      <c r="H28" s="25" t="s">
        <v>35</v>
      </c>
      <c r="I28" s="25" t="s">
        <v>29</v>
      </c>
      <c r="J28" s="25" t="s">
        <v>148</v>
      </c>
      <c r="K28" s="25" t="s">
        <v>38</v>
      </c>
    </row>
    <row r="29" spans="1:11" x14ac:dyDescent="0.25">
      <c r="A29" s="33"/>
      <c r="B29" s="33" t="s">
        <v>168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169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170</v>
      </c>
      <c r="C31" s="66">
        <v>94027.03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94027.03</v>
      </c>
      <c r="J31" s="35">
        <f>$D$8</f>
        <v>0.15</v>
      </c>
      <c r="K31" s="34">
        <f>I31/(1-J31)</f>
        <v>110620.04</v>
      </c>
    </row>
    <row r="32" spans="2:11" x14ac:dyDescent="0.25">
      <c r="B32" t="s">
        <v>171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172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173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114909.38</v>
      </c>
      <c r="J35" s="68"/>
      <c r="K35" s="69">
        <f>SUM(K29:K34)</f>
        <v>135187.51</v>
      </c>
    </row>
    <row r="37" ht="24" customHeight="1" spans="1:11" x14ac:dyDescent="0.25">
      <c r="A37" s="25" t="s">
        <v>35</v>
      </c>
      <c r="B37" s="25" t="s">
        <v>174</v>
      </c>
      <c r="C37" s="25" t="s">
        <v>157</v>
      </c>
      <c r="D37" s="25" t="s">
        <v>158</v>
      </c>
      <c r="E37" s="25" t="s">
        <v>159</v>
      </c>
      <c r="F37" s="25" t="s">
        <v>160</v>
      </c>
      <c r="G37" s="25" t="s">
        <v>161</v>
      </c>
      <c r="H37" s="25" t="s">
        <v>35</v>
      </c>
      <c r="I37" s="25" t="s">
        <v>29</v>
      </c>
      <c r="J37" s="25" t="s">
        <v>148</v>
      </c>
      <c r="K37" s="25" t="s">
        <v>38</v>
      </c>
    </row>
    <row r="38" spans="1:11" x14ac:dyDescent="0.25">
      <c r="A38" s="33"/>
      <c r="B38" s="33" t="s">
        <v>175</v>
      </c>
      <c r="C38" s="66">
        <v>31342.34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31342.34</v>
      </c>
      <c r="J38" s="35">
        <f>$D$9</f>
        <v>0.15</v>
      </c>
      <c r="K38" s="34">
        <f>I38/(1-J38)</f>
        <v>36873.34</v>
      </c>
    </row>
    <row r="39" spans="2:11" x14ac:dyDescent="0.25">
      <c r="B39" t="s">
        <v>176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177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178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179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180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31342.34</v>
      </c>
      <c r="J44" s="68"/>
      <c r="K44" s="69">
        <f>SUM(K38:K43)</f>
        <v>36873.34</v>
      </c>
    </row>
    <row r="46" ht="24" customHeight="1" spans="1:11" x14ac:dyDescent="0.25">
      <c r="A46" s="25" t="s">
        <v>35</v>
      </c>
      <c r="B46" s="25" t="s">
        <v>181</v>
      </c>
      <c r="C46" s="25" t="s">
        <v>157</v>
      </c>
      <c r="D46" s="25" t="s">
        <v>158</v>
      </c>
      <c r="E46" s="25" t="s">
        <v>159</v>
      </c>
      <c r="F46" s="25" t="s">
        <v>160</v>
      </c>
      <c r="G46" s="25" t="s">
        <v>161</v>
      </c>
      <c r="H46" s="25" t="s">
        <v>35</v>
      </c>
      <c r="I46" s="25" t="s">
        <v>29</v>
      </c>
      <c r="J46" s="25" t="s">
        <v>148</v>
      </c>
      <c r="K46" s="25" t="s">
        <v>38</v>
      </c>
    </row>
    <row r="47" spans="1:11" x14ac:dyDescent="0.25">
      <c r="A47" s="33"/>
      <c r="B47" s="33" t="s">
        <v>182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183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184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185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186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187</v>
      </c>
      <c r="C54" s="28"/>
      <c r="D54" s="28"/>
      <c r="E54" s="28"/>
      <c r="F54" s="28"/>
      <c r="G54" s="28"/>
      <c r="H54" s="28"/>
      <c r="I54" s="30">
        <f>I26+I35+I44+I52</f>
        <v>254090.08</v>
      </c>
      <c r="J54" s="28"/>
      <c r="K54" s="30">
        <f>K26+K35+K44+K52</f>
        <v>292948.21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145</v>
      </c>
    </row>
    <row r="4" spans="1:1" x14ac:dyDescent="0.25">
      <c r="A4" s="15" t="s">
        <v>8</v>
      </c>
    </row>
    <row r="5" spans="1:1" x14ac:dyDescent="0.25">
      <c r="A5" s="15" t="s">
        <v>146</v>
      </c>
    </row>
    <row r="7" spans="3:3" x14ac:dyDescent="0.25">
      <c r="C7" s="26" t="s">
        <v>147</v>
      </c>
    </row>
    <row r="8" spans="3:4" x14ac:dyDescent="0.25">
      <c r="C8" t="s">
        <v>148</v>
      </c>
      <c r="D8" s="21">
        <v>0.15</v>
      </c>
    </row>
    <row r="9" spans="3:4" x14ac:dyDescent="0.25">
      <c r="C9" t="s">
        <v>149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150</v>
      </c>
      <c r="D11" s="21">
        <v>0.15</v>
      </c>
    </row>
    <row r="15" spans="2:2" x14ac:dyDescent="0.25">
      <c r="B15" s="64" t="s">
        <v>206</v>
      </c>
    </row>
    <row r="16" spans="2:5" x14ac:dyDescent="0.25">
      <c r="B16" s="4" t="s">
        <v>152</v>
      </c>
      <c r="C16" s="4" t="s">
        <v>153</v>
      </c>
      <c r="D16" s="4" t="s">
        <v>154</v>
      </c>
      <c r="E16" s="4" t="s">
        <v>155</v>
      </c>
    </row>
    <row r="17" spans="2:5" x14ac:dyDescent="0.25">
      <c r="B17" s="49">
        <v>17.58</v>
      </c>
      <c r="C17" s="49">
        <v>7.75</v>
      </c>
      <c r="D17" s="65">
        <v>136.24</v>
      </c>
      <c r="E17">
        <v>1</v>
      </c>
    </row>
    <row r="19" ht="24" customHeight="1" spans="1:11" x14ac:dyDescent="0.25">
      <c r="A19" s="25" t="s">
        <v>35</v>
      </c>
      <c r="B19" s="25" t="s">
        <v>156</v>
      </c>
      <c r="C19" s="25" t="s">
        <v>157</v>
      </c>
      <c r="D19" s="25" t="s">
        <v>158</v>
      </c>
      <c r="E19" s="25" t="s">
        <v>159</v>
      </c>
      <c r="F19" s="25" t="s">
        <v>160</v>
      </c>
      <c r="G19" s="25" t="s">
        <v>161</v>
      </c>
      <c r="H19" s="25" t="s">
        <v>35</v>
      </c>
      <c r="I19" s="25" t="s">
        <v>29</v>
      </c>
      <c r="J19" s="25" t="s">
        <v>148</v>
      </c>
      <c r="K19" s="25" t="s">
        <v>38</v>
      </c>
    </row>
    <row r="20" spans="1:11" x14ac:dyDescent="0.25">
      <c r="A20" s="33"/>
      <c r="B20" s="33" t="s">
        <v>162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163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164</v>
      </c>
      <c r="C22" s="66">
        <v>3693.92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3693.92</v>
      </c>
      <c r="J22" s="35">
        <f>$D$8</f>
        <v>0.15</v>
      </c>
      <c r="K22" s="34">
        <f>I22/(1-J22)</f>
        <v>4345.79</v>
      </c>
    </row>
    <row r="23" spans="2:11" x14ac:dyDescent="0.25">
      <c r="B23" t="s">
        <v>165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166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166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3693.92</v>
      </c>
      <c r="J26" s="68"/>
      <c r="K26" s="69">
        <f>SUM(K20:K25)</f>
        <v>4345.79</v>
      </c>
    </row>
    <row r="28" ht="24" customHeight="1" spans="1:11" x14ac:dyDescent="0.25">
      <c r="A28" s="25" t="s">
        <v>35</v>
      </c>
      <c r="B28" s="25" t="s">
        <v>167</v>
      </c>
      <c r="C28" s="25" t="s">
        <v>157</v>
      </c>
      <c r="D28" s="25" t="s">
        <v>158</v>
      </c>
      <c r="E28" s="25" t="s">
        <v>159</v>
      </c>
      <c r="F28" s="25" t="s">
        <v>160</v>
      </c>
      <c r="G28" s="25" t="s">
        <v>161</v>
      </c>
      <c r="H28" s="25" t="s">
        <v>35</v>
      </c>
      <c r="I28" s="25" t="s">
        <v>29</v>
      </c>
      <c r="J28" s="25" t="s">
        <v>148</v>
      </c>
      <c r="K28" s="25" t="s">
        <v>38</v>
      </c>
    </row>
    <row r="29" spans="1:11" x14ac:dyDescent="0.25">
      <c r="A29" s="33"/>
      <c r="B29" s="33" t="s">
        <v>168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169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170</v>
      </c>
      <c r="C31" s="66">
        <v>25185.81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25185.81</v>
      </c>
      <c r="J31" s="35">
        <f>$D$8</f>
        <v>0.15</v>
      </c>
      <c r="K31" s="34">
        <f>I31/(1-J31)</f>
        <v>29630.36</v>
      </c>
    </row>
    <row r="32" spans="2:11" x14ac:dyDescent="0.25">
      <c r="B32" t="s">
        <v>171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172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173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46068.16</v>
      </c>
      <c r="J35" s="68"/>
      <c r="K35" s="69">
        <f>SUM(K29:K34)</f>
        <v>54197.84</v>
      </c>
    </row>
    <row r="37" ht="24" customHeight="1" spans="1:11" x14ac:dyDescent="0.25">
      <c r="A37" s="25" t="s">
        <v>35</v>
      </c>
      <c r="B37" s="25" t="s">
        <v>174</v>
      </c>
      <c r="C37" s="25" t="s">
        <v>157</v>
      </c>
      <c r="D37" s="25" t="s">
        <v>158</v>
      </c>
      <c r="E37" s="25" t="s">
        <v>159</v>
      </c>
      <c r="F37" s="25" t="s">
        <v>160</v>
      </c>
      <c r="G37" s="25" t="s">
        <v>161</v>
      </c>
      <c r="H37" s="25" t="s">
        <v>35</v>
      </c>
      <c r="I37" s="25" t="s">
        <v>29</v>
      </c>
      <c r="J37" s="25" t="s">
        <v>148</v>
      </c>
      <c r="K37" s="25" t="s">
        <v>38</v>
      </c>
    </row>
    <row r="38" spans="1:11" x14ac:dyDescent="0.25">
      <c r="A38" s="33"/>
      <c r="B38" s="33" t="s">
        <v>175</v>
      </c>
      <c r="C38" s="66">
        <v>8395.27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8395.27</v>
      </c>
      <c r="J38" s="35">
        <f>$D$9</f>
        <v>0.15</v>
      </c>
      <c r="K38" s="34">
        <f>I38/(1-J38)</f>
        <v>9876.79</v>
      </c>
    </row>
    <row r="39" spans="2:11" x14ac:dyDescent="0.25">
      <c r="B39" t="s">
        <v>176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177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178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179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180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8395.27</v>
      </c>
      <c r="J44" s="68"/>
      <c r="K44" s="69">
        <f>SUM(K38:K43)</f>
        <v>9876.79</v>
      </c>
    </row>
    <row r="46" ht="24" customHeight="1" spans="1:11" x14ac:dyDescent="0.25">
      <c r="A46" s="25" t="s">
        <v>35</v>
      </c>
      <c r="B46" s="25" t="s">
        <v>181</v>
      </c>
      <c r="C46" s="25" t="s">
        <v>157</v>
      </c>
      <c r="D46" s="25" t="s">
        <v>158</v>
      </c>
      <c r="E46" s="25" t="s">
        <v>159</v>
      </c>
      <c r="F46" s="25" t="s">
        <v>160</v>
      </c>
      <c r="G46" s="25" t="s">
        <v>161</v>
      </c>
      <c r="H46" s="25" t="s">
        <v>35</v>
      </c>
      <c r="I46" s="25" t="s">
        <v>29</v>
      </c>
      <c r="J46" s="25" t="s">
        <v>148</v>
      </c>
      <c r="K46" s="25" t="s">
        <v>38</v>
      </c>
    </row>
    <row r="47" spans="1:11" x14ac:dyDescent="0.25">
      <c r="A47" s="33"/>
      <c r="B47" s="33" t="s">
        <v>182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183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184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185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186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187</v>
      </c>
      <c r="C54" s="28"/>
      <c r="D54" s="28"/>
      <c r="E54" s="28"/>
      <c r="F54" s="28"/>
      <c r="G54" s="28"/>
      <c r="H54" s="28"/>
      <c r="I54" s="30">
        <f>I26+I35+I44+I52</f>
        <v>85748.2</v>
      </c>
      <c r="J54" s="28"/>
      <c r="K54" s="30">
        <f>K26+K35+K44+K52</f>
        <v>99277.41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145</v>
      </c>
    </row>
    <row r="4" spans="1:1" x14ac:dyDescent="0.25">
      <c r="A4" s="15" t="s">
        <v>8</v>
      </c>
    </row>
    <row r="5" spans="1:1" x14ac:dyDescent="0.25">
      <c r="A5" s="15" t="s">
        <v>146</v>
      </c>
    </row>
    <row r="7" spans="3:3" x14ac:dyDescent="0.25">
      <c r="C7" s="26" t="s">
        <v>147</v>
      </c>
    </row>
    <row r="8" spans="3:4" x14ac:dyDescent="0.25">
      <c r="C8" t="s">
        <v>148</v>
      </c>
      <c r="D8" s="21">
        <v>0.15</v>
      </c>
    </row>
    <row r="9" spans="3:4" x14ac:dyDescent="0.25">
      <c r="C9" t="s">
        <v>149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150</v>
      </c>
      <c r="D11" s="21">
        <v>0.15</v>
      </c>
    </row>
    <row r="15" spans="2:2" x14ac:dyDescent="0.25">
      <c r="B15" s="64" t="s">
        <v>207</v>
      </c>
    </row>
    <row r="16" spans="2:5" x14ac:dyDescent="0.25">
      <c r="B16" s="4" t="s">
        <v>152</v>
      </c>
      <c r="C16" s="4" t="s">
        <v>153</v>
      </c>
      <c r="D16" s="4" t="s">
        <v>154</v>
      </c>
      <c r="E16" s="4" t="s">
        <v>155</v>
      </c>
    </row>
    <row r="17" spans="2:5" x14ac:dyDescent="0.25">
      <c r="B17" s="49">
        <v>35.72</v>
      </c>
      <c r="C17" s="49">
        <v>7.75</v>
      </c>
      <c r="D17" s="65">
        <v>276.83</v>
      </c>
      <c r="E17">
        <v>1</v>
      </c>
    </row>
    <row r="19" ht="24" customHeight="1" spans="1:11" x14ac:dyDescent="0.25">
      <c r="A19" s="25" t="s">
        <v>35</v>
      </c>
      <c r="B19" s="25" t="s">
        <v>156</v>
      </c>
      <c r="C19" s="25" t="s">
        <v>157</v>
      </c>
      <c r="D19" s="25" t="s">
        <v>158</v>
      </c>
      <c r="E19" s="25" t="s">
        <v>159</v>
      </c>
      <c r="F19" s="25" t="s">
        <v>160</v>
      </c>
      <c r="G19" s="25" t="s">
        <v>161</v>
      </c>
      <c r="H19" s="25" t="s">
        <v>35</v>
      </c>
      <c r="I19" s="25" t="s">
        <v>29</v>
      </c>
      <c r="J19" s="25" t="s">
        <v>148</v>
      </c>
      <c r="K19" s="25" t="s">
        <v>38</v>
      </c>
    </row>
    <row r="20" spans="1:11" x14ac:dyDescent="0.25">
      <c r="A20" s="33"/>
      <c r="B20" s="33" t="s">
        <v>162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163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164</v>
      </c>
      <c r="C22" s="66">
        <v>7505.77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7505.77</v>
      </c>
      <c r="J22" s="35">
        <f>$D$8</f>
        <v>0.15</v>
      </c>
      <c r="K22" s="34">
        <f>I22/(1-J22)</f>
        <v>8830.32</v>
      </c>
    </row>
    <row r="23" spans="2:11" x14ac:dyDescent="0.25">
      <c r="B23" t="s">
        <v>165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166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166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7505.77</v>
      </c>
      <c r="J26" s="68"/>
      <c r="K26" s="69">
        <f>SUM(K20:K25)</f>
        <v>8830.32</v>
      </c>
    </row>
    <row r="28" ht="24" customHeight="1" spans="1:11" x14ac:dyDescent="0.25">
      <c r="A28" s="25" t="s">
        <v>35</v>
      </c>
      <c r="B28" s="25" t="s">
        <v>167</v>
      </c>
      <c r="C28" s="25" t="s">
        <v>157</v>
      </c>
      <c r="D28" s="25" t="s">
        <v>158</v>
      </c>
      <c r="E28" s="25" t="s">
        <v>159</v>
      </c>
      <c r="F28" s="25" t="s">
        <v>160</v>
      </c>
      <c r="G28" s="25" t="s">
        <v>161</v>
      </c>
      <c r="H28" s="25" t="s">
        <v>35</v>
      </c>
      <c r="I28" s="25" t="s">
        <v>29</v>
      </c>
      <c r="J28" s="25" t="s">
        <v>148</v>
      </c>
      <c r="K28" s="25" t="s">
        <v>38</v>
      </c>
    </row>
    <row r="29" spans="1:11" x14ac:dyDescent="0.25">
      <c r="A29" s="33"/>
      <c r="B29" s="33" t="s">
        <v>168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169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170</v>
      </c>
      <c r="C31" s="66">
        <v>51175.68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51175.68</v>
      </c>
      <c r="J31" s="35">
        <f>$D$8</f>
        <v>0.15</v>
      </c>
      <c r="K31" s="34">
        <f>I31/(1-J31)</f>
        <v>60206.68</v>
      </c>
    </row>
    <row r="32" spans="2:11" x14ac:dyDescent="0.25">
      <c r="B32" t="s">
        <v>171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172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173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72058.03</v>
      </c>
      <c r="J35" s="68"/>
      <c r="K35" s="69">
        <f>SUM(K29:K34)</f>
        <v>84774.15</v>
      </c>
    </row>
    <row r="37" ht="24" customHeight="1" spans="1:11" x14ac:dyDescent="0.25">
      <c r="A37" s="25" t="s">
        <v>35</v>
      </c>
      <c r="B37" s="25" t="s">
        <v>174</v>
      </c>
      <c r="C37" s="25" t="s">
        <v>157</v>
      </c>
      <c r="D37" s="25" t="s">
        <v>158</v>
      </c>
      <c r="E37" s="25" t="s">
        <v>159</v>
      </c>
      <c r="F37" s="25" t="s">
        <v>160</v>
      </c>
      <c r="G37" s="25" t="s">
        <v>161</v>
      </c>
      <c r="H37" s="25" t="s">
        <v>35</v>
      </c>
      <c r="I37" s="25" t="s">
        <v>29</v>
      </c>
      <c r="J37" s="25" t="s">
        <v>148</v>
      </c>
      <c r="K37" s="25" t="s">
        <v>38</v>
      </c>
    </row>
    <row r="38" spans="1:11" x14ac:dyDescent="0.25">
      <c r="A38" s="33"/>
      <c r="B38" s="33" t="s">
        <v>175</v>
      </c>
      <c r="C38" s="66">
        <v>17058.56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17058.56</v>
      </c>
      <c r="J38" s="35">
        <f>$D$9</f>
        <v>0.15</v>
      </c>
      <c r="K38" s="34">
        <f>I38/(1-J38)</f>
        <v>20068.89</v>
      </c>
    </row>
    <row r="39" spans="2:11" x14ac:dyDescent="0.25">
      <c r="B39" t="s">
        <v>176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177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178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179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180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17058.56</v>
      </c>
      <c r="J44" s="68"/>
      <c r="K44" s="69">
        <f>SUM(K38:K43)</f>
        <v>20068.89</v>
      </c>
    </row>
    <row r="46" ht="24" customHeight="1" spans="1:11" x14ac:dyDescent="0.25">
      <c r="A46" s="25" t="s">
        <v>35</v>
      </c>
      <c r="B46" s="25" t="s">
        <v>181</v>
      </c>
      <c r="C46" s="25" t="s">
        <v>157</v>
      </c>
      <c r="D46" s="25" t="s">
        <v>158</v>
      </c>
      <c r="E46" s="25" t="s">
        <v>159</v>
      </c>
      <c r="F46" s="25" t="s">
        <v>160</v>
      </c>
      <c r="G46" s="25" t="s">
        <v>161</v>
      </c>
      <c r="H46" s="25" t="s">
        <v>35</v>
      </c>
      <c r="I46" s="25" t="s">
        <v>29</v>
      </c>
      <c r="J46" s="25" t="s">
        <v>148</v>
      </c>
      <c r="K46" s="25" t="s">
        <v>38</v>
      </c>
    </row>
    <row r="47" spans="1:11" x14ac:dyDescent="0.25">
      <c r="A47" s="33"/>
      <c r="B47" s="33" t="s">
        <v>182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183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184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185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186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187</v>
      </c>
      <c r="C54" s="28"/>
      <c r="D54" s="28"/>
      <c r="E54" s="28"/>
      <c r="F54" s="28"/>
      <c r="G54" s="28"/>
      <c r="H54" s="28"/>
      <c r="I54" s="30">
        <f>I26+I35+I44+I52</f>
        <v>144784.71</v>
      </c>
      <c r="J54" s="28"/>
      <c r="K54" s="30">
        <f>K26+K35+K44+K52</f>
        <v>167078.13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145</v>
      </c>
    </row>
    <row r="4" spans="1:1" x14ac:dyDescent="0.25">
      <c r="A4" s="15" t="s">
        <v>8</v>
      </c>
    </row>
    <row r="5" spans="1:1" x14ac:dyDescent="0.25">
      <c r="A5" s="15" t="s">
        <v>146</v>
      </c>
    </row>
    <row r="7" spans="3:3" x14ac:dyDescent="0.25">
      <c r="C7" s="26" t="s">
        <v>147</v>
      </c>
    </row>
    <row r="8" spans="3:4" x14ac:dyDescent="0.25">
      <c r="C8" t="s">
        <v>148</v>
      </c>
      <c r="D8" s="21">
        <v>0.15</v>
      </c>
    </row>
    <row r="9" spans="3:4" x14ac:dyDescent="0.25">
      <c r="C9" t="s">
        <v>149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150</v>
      </c>
      <c r="D11" s="21">
        <v>0.15</v>
      </c>
    </row>
    <row r="15" spans="2:2" x14ac:dyDescent="0.25">
      <c r="B15" s="64" t="s">
        <v>208</v>
      </c>
    </row>
    <row r="16" spans="2:5" x14ac:dyDescent="0.25">
      <c r="B16" s="4" t="s">
        <v>152</v>
      </c>
      <c r="C16" s="4" t="s">
        <v>153</v>
      </c>
      <c r="D16" s="4" t="s">
        <v>154</v>
      </c>
      <c r="E16" s="4" t="s">
        <v>155</v>
      </c>
    </row>
    <row r="17" spans="2:5" x14ac:dyDescent="0.25">
      <c r="B17" s="49">
        <v>1.66</v>
      </c>
      <c r="C17" s="49">
        <v>7.75</v>
      </c>
      <c r="D17" s="65">
        <v>12.87</v>
      </c>
      <c r="E17">
        <v>1</v>
      </c>
    </row>
    <row r="19" ht="24" customHeight="1" spans="1:11" x14ac:dyDescent="0.25">
      <c r="A19" s="25" t="s">
        <v>35</v>
      </c>
      <c r="B19" s="25" t="s">
        <v>156</v>
      </c>
      <c r="C19" s="25" t="s">
        <v>157</v>
      </c>
      <c r="D19" s="25" t="s">
        <v>158</v>
      </c>
      <c r="E19" s="25" t="s">
        <v>159</v>
      </c>
      <c r="F19" s="25" t="s">
        <v>160</v>
      </c>
      <c r="G19" s="25" t="s">
        <v>161</v>
      </c>
      <c r="H19" s="25" t="s">
        <v>35</v>
      </c>
      <c r="I19" s="25" t="s">
        <v>29</v>
      </c>
      <c r="J19" s="25" t="s">
        <v>148</v>
      </c>
      <c r="K19" s="25" t="s">
        <v>38</v>
      </c>
    </row>
    <row r="20" spans="1:11" x14ac:dyDescent="0.25">
      <c r="A20" s="33"/>
      <c r="B20" s="33" t="s">
        <v>162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163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164</v>
      </c>
      <c r="C22" s="66">
        <v>350.32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350.32</v>
      </c>
      <c r="J22" s="35">
        <f>$D$8</f>
        <v>0.15</v>
      </c>
      <c r="K22" s="34">
        <f>I22/(1-J22)</f>
        <v>412.14</v>
      </c>
    </row>
    <row r="23" spans="2:11" x14ac:dyDescent="0.25">
      <c r="B23" t="s">
        <v>165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166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166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350.32</v>
      </c>
      <c r="J26" s="68"/>
      <c r="K26" s="69">
        <f>SUM(K20:K25)</f>
        <v>412.14</v>
      </c>
    </row>
    <row r="28" ht="24" customHeight="1" spans="1:11" x14ac:dyDescent="0.25">
      <c r="A28" s="25" t="s">
        <v>35</v>
      </c>
      <c r="B28" s="25" t="s">
        <v>167</v>
      </c>
      <c r="C28" s="25" t="s">
        <v>157</v>
      </c>
      <c r="D28" s="25" t="s">
        <v>158</v>
      </c>
      <c r="E28" s="25" t="s">
        <v>159</v>
      </c>
      <c r="F28" s="25" t="s">
        <v>160</v>
      </c>
      <c r="G28" s="25" t="s">
        <v>161</v>
      </c>
      <c r="H28" s="25" t="s">
        <v>35</v>
      </c>
      <c r="I28" s="25" t="s">
        <v>29</v>
      </c>
      <c r="J28" s="25" t="s">
        <v>148</v>
      </c>
      <c r="K28" s="25" t="s">
        <v>38</v>
      </c>
    </row>
    <row r="29" spans="1:11" x14ac:dyDescent="0.25">
      <c r="A29" s="33"/>
      <c r="B29" s="33" t="s">
        <v>168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169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170</v>
      </c>
      <c r="C31" s="66">
        <v>2388.51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2388.51</v>
      </c>
      <c r="J31" s="35">
        <f>$D$8</f>
        <v>0.15</v>
      </c>
      <c r="K31" s="34">
        <f>I31/(1-J31)</f>
        <v>2810.01</v>
      </c>
    </row>
    <row r="32" spans="2:11" x14ac:dyDescent="0.25">
      <c r="B32" t="s">
        <v>171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172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173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23270.86</v>
      </c>
      <c r="J35" s="68"/>
      <c r="K35" s="69">
        <f>SUM(K29:K34)</f>
        <v>27377.48</v>
      </c>
    </row>
    <row r="37" ht="24" customHeight="1" spans="1:11" x14ac:dyDescent="0.25">
      <c r="A37" s="25" t="s">
        <v>35</v>
      </c>
      <c r="B37" s="25" t="s">
        <v>174</v>
      </c>
      <c r="C37" s="25" t="s">
        <v>157</v>
      </c>
      <c r="D37" s="25" t="s">
        <v>158</v>
      </c>
      <c r="E37" s="25" t="s">
        <v>159</v>
      </c>
      <c r="F37" s="25" t="s">
        <v>160</v>
      </c>
      <c r="G37" s="25" t="s">
        <v>161</v>
      </c>
      <c r="H37" s="25" t="s">
        <v>35</v>
      </c>
      <c r="I37" s="25" t="s">
        <v>29</v>
      </c>
      <c r="J37" s="25" t="s">
        <v>148</v>
      </c>
      <c r="K37" s="25" t="s">
        <v>38</v>
      </c>
    </row>
    <row r="38" spans="1:11" x14ac:dyDescent="0.25">
      <c r="A38" s="33"/>
      <c r="B38" s="33" t="s">
        <v>175</v>
      </c>
      <c r="C38" s="66">
        <v>796.17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796.17</v>
      </c>
      <c r="J38" s="35">
        <f>$D$9</f>
        <v>0.15</v>
      </c>
      <c r="K38" s="34">
        <f>I38/(1-J38)</f>
        <v>936.67</v>
      </c>
    </row>
    <row r="39" spans="2:11" x14ac:dyDescent="0.25">
      <c r="B39" t="s">
        <v>176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177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178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179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180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796.17</v>
      </c>
      <c r="J44" s="68"/>
      <c r="K44" s="69">
        <f>SUM(K38:K43)</f>
        <v>936.67</v>
      </c>
    </row>
    <row r="46" ht="24" customHeight="1" spans="1:11" x14ac:dyDescent="0.25">
      <c r="A46" s="25" t="s">
        <v>35</v>
      </c>
      <c r="B46" s="25" t="s">
        <v>181</v>
      </c>
      <c r="C46" s="25" t="s">
        <v>157</v>
      </c>
      <c r="D46" s="25" t="s">
        <v>158</v>
      </c>
      <c r="E46" s="25" t="s">
        <v>159</v>
      </c>
      <c r="F46" s="25" t="s">
        <v>160</v>
      </c>
      <c r="G46" s="25" t="s">
        <v>161</v>
      </c>
      <c r="H46" s="25" t="s">
        <v>35</v>
      </c>
      <c r="I46" s="25" t="s">
        <v>29</v>
      </c>
      <c r="J46" s="25" t="s">
        <v>148</v>
      </c>
      <c r="K46" s="25" t="s">
        <v>38</v>
      </c>
    </row>
    <row r="47" spans="1:11" x14ac:dyDescent="0.25">
      <c r="A47" s="33"/>
      <c r="B47" s="33" t="s">
        <v>182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183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184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185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186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187</v>
      </c>
      <c r="C54" s="28"/>
      <c r="D54" s="28"/>
      <c r="E54" s="28"/>
      <c r="F54" s="28"/>
      <c r="G54" s="28"/>
      <c r="H54" s="28"/>
      <c r="I54" s="30">
        <f>I26+I35+I44+I52</f>
        <v>34327.69</v>
      </c>
      <c r="J54" s="28"/>
      <c r="K54" s="30">
        <f>K26+K35+K44+K52</f>
        <v>39797.27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145</v>
      </c>
    </row>
    <row r="4" spans="1:1" x14ac:dyDescent="0.25">
      <c r="A4" s="15" t="s">
        <v>8</v>
      </c>
    </row>
    <row r="5" spans="1:1" x14ac:dyDescent="0.25">
      <c r="A5" s="15" t="s">
        <v>146</v>
      </c>
    </row>
    <row r="7" spans="3:3" x14ac:dyDescent="0.25">
      <c r="C7" s="26" t="s">
        <v>147</v>
      </c>
    </row>
    <row r="8" spans="3:4" x14ac:dyDescent="0.25">
      <c r="C8" t="s">
        <v>148</v>
      </c>
      <c r="D8" s="21">
        <v>0.15</v>
      </c>
    </row>
    <row r="9" spans="3:4" x14ac:dyDescent="0.25">
      <c r="C9" t="s">
        <v>149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150</v>
      </c>
      <c r="D11" s="21">
        <v>0.15</v>
      </c>
    </row>
    <row r="15" spans="2:2" x14ac:dyDescent="0.25">
      <c r="B15" s="64" t="s">
        <v>209</v>
      </c>
    </row>
    <row r="16" spans="2:5" x14ac:dyDescent="0.25">
      <c r="B16" s="4" t="s">
        <v>152</v>
      </c>
      <c r="C16" s="4" t="s">
        <v>153</v>
      </c>
      <c r="D16" s="4" t="s">
        <v>154</v>
      </c>
      <c r="E16" s="4" t="s">
        <v>155</v>
      </c>
    </row>
    <row r="17" spans="2:5" x14ac:dyDescent="0.25">
      <c r="B17" s="49">
        <v>5.5</v>
      </c>
      <c r="C17" s="49">
        <v>185.5</v>
      </c>
      <c r="D17" s="65">
        <v>1020.25</v>
      </c>
      <c r="E17">
        <v>1</v>
      </c>
    </row>
    <row r="19" ht="24" customHeight="1" spans="1:11" x14ac:dyDescent="0.25">
      <c r="A19" s="25" t="s">
        <v>35</v>
      </c>
      <c r="B19" s="25" t="s">
        <v>156</v>
      </c>
      <c r="C19" s="25" t="s">
        <v>157</v>
      </c>
      <c r="D19" s="25" t="s">
        <v>158</v>
      </c>
      <c r="E19" s="25" t="s">
        <v>159</v>
      </c>
      <c r="F19" s="25" t="s">
        <v>160</v>
      </c>
      <c r="G19" s="25" t="s">
        <v>161</v>
      </c>
      <c r="H19" s="25" t="s">
        <v>35</v>
      </c>
      <c r="I19" s="25" t="s">
        <v>29</v>
      </c>
      <c r="J19" s="25" t="s">
        <v>148</v>
      </c>
      <c r="K19" s="25" t="s">
        <v>38</v>
      </c>
    </row>
    <row r="20" spans="1:11" x14ac:dyDescent="0.25">
      <c r="A20" s="33"/>
      <c r="B20" s="33" t="s">
        <v>162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163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164</v>
      </c>
      <c r="C22" s="66">
        <v>27740.81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27740.81</v>
      </c>
      <c r="J22" s="35">
        <f>$D$8</f>
        <v>0.15</v>
      </c>
      <c r="K22" s="34">
        <f>I22/(1-J22)</f>
        <v>32636.25</v>
      </c>
    </row>
    <row r="23" spans="2:11" x14ac:dyDescent="0.25">
      <c r="B23" t="s">
        <v>165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166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166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27740.81</v>
      </c>
      <c r="J26" s="68"/>
      <c r="K26" s="69">
        <f>SUM(K20:K25)</f>
        <v>32636.25</v>
      </c>
    </row>
    <row r="28" ht="24" customHeight="1" spans="1:11" x14ac:dyDescent="0.25">
      <c r="A28" s="25" t="s">
        <v>35</v>
      </c>
      <c r="B28" s="25" t="s">
        <v>167</v>
      </c>
      <c r="C28" s="25" t="s">
        <v>157</v>
      </c>
      <c r="D28" s="25" t="s">
        <v>158</v>
      </c>
      <c r="E28" s="25" t="s">
        <v>159</v>
      </c>
      <c r="F28" s="25" t="s">
        <v>160</v>
      </c>
      <c r="G28" s="25" t="s">
        <v>161</v>
      </c>
      <c r="H28" s="25" t="s">
        <v>35</v>
      </c>
      <c r="I28" s="25" t="s">
        <v>29</v>
      </c>
      <c r="J28" s="25" t="s">
        <v>148</v>
      </c>
      <c r="K28" s="25" t="s">
        <v>38</v>
      </c>
    </row>
    <row r="29" spans="1:11" x14ac:dyDescent="0.25">
      <c r="A29" s="33"/>
      <c r="B29" s="33" t="s">
        <v>168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169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170</v>
      </c>
      <c r="C31" s="66">
        <v>189141.89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189141.89</v>
      </c>
      <c r="J31" s="35">
        <f>$D$8</f>
        <v>0.15</v>
      </c>
      <c r="K31" s="34">
        <f>I31/(1-J31)</f>
        <v>222519.87</v>
      </c>
    </row>
    <row r="32" spans="2:11" x14ac:dyDescent="0.25">
      <c r="B32" t="s">
        <v>171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172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173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210024.24000000002</v>
      </c>
      <c r="J35" s="68"/>
      <c r="K35" s="69">
        <f>SUM(K29:K34)</f>
        <v>247087.34</v>
      </c>
    </row>
    <row r="37" ht="24" customHeight="1" spans="1:11" x14ac:dyDescent="0.25">
      <c r="A37" s="25" t="s">
        <v>35</v>
      </c>
      <c r="B37" s="25" t="s">
        <v>174</v>
      </c>
      <c r="C37" s="25" t="s">
        <v>157</v>
      </c>
      <c r="D37" s="25" t="s">
        <v>158</v>
      </c>
      <c r="E37" s="25" t="s">
        <v>159</v>
      </c>
      <c r="F37" s="25" t="s">
        <v>160</v>
      </c>
      <c r="G37" s="25" t="s">
        <v>161</v>
      </c>
      <c r="H37" s="25" t="s">
        <v>35</v>
      </c>
      <c r="I37" s="25" t="s">
        <v>29</v>
      </c>
      <c r="J37" s="25" t="s">
        <v>148</v>
      </c>
      <c r="K37" s="25" t="s">
        <v>38</v>
      </c>
    </row>
    <row r="38" spans="1:11" x14ac:dyDescent="0.25">
      <c r="A38" s="33"/>
      <c r="B38" s="33" t="s">
        <v>175</v>
      </c>
      <c r="C38" s="66">
        <v>63047.3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63047.3</v>
      </c>
      <c r="J38" s="35">
        <f>$D$9</f>
        <v>0.15</v>
      </c>
      <c r="K38" s="34">
        <f>I38/(1-J38)</f>
        <v>74173.29</v>
      </c>
    </row>
    <row r="39" spans="2:11" x14ac:dyDescent="0.25">
      <c r="B39" t="s">
        <v>176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177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178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179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180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63047.3</v>
      </c>
      <c r="J44" s="68"/>
      <c r="K44" s="69">
        <f>SUM(K38:K43)</f>
        <v>74173.29</v>
      </c>
    </row>
    <row r="46" ht="24" customHeight="1" spans="1:11" x14ac:dyDescent="0.25">
      <c r="A46" s="25" t="s">
        <v>35</v>
      </c>
      <c r="B46" s="25" t="s">
        <v>181</v>
      </c>
      <c r="C46" s="25" t="s">
        <v>157</v>
      </c>
      <c r="D46" s="25" t="s">
        <v>158</v>
      </c>
      <c r="E46" s="25" t="s">
        <v>159</v>
      </c>
      <c r="F46" s="25" t="s">
        <v>160</v>
      </c>
      <c r="G46" s="25" t="s">
        <v>161</v>
      </c>
      <c r="H46" s="25" t="s">
        <v>35</v>
      </c>
      <c r="I46" s="25" t="s">
        <v>29</v>
      </c>
      <c r="J46" s="25" t="s">
        <v>148</v>
      </c>
      <c r="K46" s="25" t="s">
        <v>38</v>
      </c>
    </row>
    <row r="47" spans="1:11" x14ac:dyDescent="0.25">
      <c r="A47" s="33"/>
      <c r="B47" s="33" t="s">
        <v>182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183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184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185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186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187</v>
      </c>
      <c r="C54" s="28"/>
      <c r="D54" s="28"/>
      <c r="E54" s="28"/>
      <c r="F54" s="28"/>
      <c r="G54" s="28"/>
      <c r="H54" s="28"/>
      <c r="I54" s="30">
        <f>I26+I35+I44+I52</f>
        <v>469753.81</v>
      </c>
      <c r="J54" s="28"/>
      <c r="K54" s="30">
        <f>K26+K35+K44+K52</f>
        <v>540648.6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145</v>
      </c>
    </row>
    <row r="4" spans="1:1" x14ac:dyDescent="0.25">
      <c r="A4" s="15" t="s">
        <v>8</v>
      </c>
    </row>
    <row r="5" spans="1:1" x14ac:dyDescent="0.25">
      <c r="A5" s="15" t="s">
        <v>146</v>
      </c>
    </row>
    <row r="7" spans="3:3" x14ac:dyDescent="0.25">
      <c r="C7" s="26" t="s">
        <v>147</v>
      </c>
    </row>
    <row r="8" spans="3:4" x14ac:dyDescent="0.25">
      <c r="C8" t="s">
        <v>148</v>
      </c>
      <c r="D8" s="21">
        <v>0.15</v>
      </c>
    </row>
    <row r="9" spans="3:4" x14ac:dyDescent="0.25">
      <c r="C9" t="s">
        <v>149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150</v>
      </c>
      <c r="D11" s="21">
        <v>0.15</v>
      </c>
    </row>
    <row r="15" spans="2:2" x14ac:dyDescent="0.25">
      <c r="B15" s="64" t="s">
        <v>209</v>
      </c>
    </row>
    <row r="16" spans="2:5" x14ac:dyDescent="0.25">
      <c r="B16" s="4" t="s">
        <v>152</v>
      </c>
      <c r="C16" s="4" t="s">
        <v>153</v>
      </c>
      <c r="D16" s="4" t="s">
        <v>154</v>
      </c>
      <c r="E16" s="4" t="s">
        <v>155</v>
      </c>
    </row>
    <row r="17" spans="2:5" x14ac:dyDescent="0.25">
      <c r="B17" s="49">
        <v>32.83</v>
      </c>
      <c r="C17" s="49">
        <v>2.87</v>
      </c>
      <c r="D17" s="65">
        <v>94.22</v>
      </c>
      <c r="E17">
        <v>1</v>
      </c>
    </row>
    <row r="19" ht="24" customHeight="1" spans="1:11" x14ac:dyDescent="0.25">
      <c r="A19" s="25" t="s">
        <v>35</v>
      </c>
      <c r="B19" s="25" t="s">
        <v>156</v>
      </c>
      <c r="C19" s="25" t="s">
        <v>157</v>
      </c>
      <c r="D19" s="25" t="s">
        <v>158</v>
      </c>
      <c r="E19" s="25" t="s">
        <v>159</v>
      </c>
      <c r="F19" s="25" t="s">
        <v>160</v>
      </c>
      <c r="G19" s="25" t="s">
        <v>161</v>
      </c>
      <c r="H19" s="25" t="s">
        <v>35</v>
      </c>
      <c r="I19" s="25" t="s">
        <v>29</v>
      </c>
      <c r="J19" s="25" t="s">
        <v>148</v>
      </c>
      <c r="K19" s="25" t="s">
        <v>38</v>
      </c>
    </row>
    <row r="20" spans="1:11" x14ac:dyDescent="0.25">
      <c r="A20" s="33"/>
      <c r="B20" s="33" t="s">
        <v>162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163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164</v>
      </c>
      <c r="C22" s="66">
        <v>2748.75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2748.75</v>
      </c>
      <c r="J22" s="35">
        <f>$D$8</f>
        <v>0.15</v>
      </c>
      <c r="K22" s="34">
        <f>I22/(1-J22)</f>
        <v>3233.82</v>
      </c>
    </row>
    <row r="23" spans="2:11" x14ac:dyDescent="0.25">
      <c r="B23" t="s">
        <v>165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166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166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2748.75</v>
      </c>
      <c r="J26" s="68"/>
      <c r="K26" s="69">
        <f>SUM(K20:K25)</f>
        <v>3233.82</v>
      </c>
    </row>
    <row r="28" ht="24" customHeight="1" spans="1:11" x14ac:dyDescent="0.25">
      <c r="A28" s="25" t="s">
        <v>35</v>
      </c>
      <c r="B28" s="25" t="s">
        <v>167</v>
      </c>
      <c r="C28" s="25" t="s">
        <v>157</v>
      </c>
      <c r="D28" s="25" t="s">
        <v>158</v>
      </c>
      <c r="E28" s="25" t="s">
        <v>159</v>
      </c>
      <c r="F28" s="25" t="s">
        <v>160</v>
      </c>
      <c r="G28" s="25" t="s">
        <v>161</v>
      </c>
      <c r="H28" s="25" t="s">
        <v>35</v>
      </c>
      <c r="I28" s="25" t="s">
        <v>29</v>
      </c>
      <c r="J28" s="25" t="s">
        <v>148</v>
      </c>
      <c r="K28" s="25" t="s">
        <v>38</v>
      </c>
    </row>
    <row r="29" spans="1:11" x14ac:dyDescent="0.25">
      <c r="A29" s="33"/>
      <c r="B29" s="33" t="s">
        <v>168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169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170</v>
      </c>
      <c r="C31" s="66">
        <v>11453.13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11453.13</v>
      </c>
      <c r="J31" s="35">
        <f>$D$8</f>
        <v>0.15</v>
      </c>
      <c r="K31" s="34">
        <f>I31/(1-J31)</f>
        <v>13474.27</v>
      </c>
    </row>
    <row r="32" spans="2:11" x14ac:dyDescent="0.25">
      <c r="B32" t="s">
        <v>171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172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173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32335.48</v>
      </c>
      <c r="J35" s="68"/>
      <c r="K35" s="69">
        <f>SUM(K29:K34)</f>
        <v>38041.74</v>
      </c>
    </row>
    <row r="37" ht="24" customHeight="1" spans="1:11" x14ac:dyDescent="0.25">
      <c r="A37" s="25" t="s">
        <v>35</v>
      </c>
      <c r="B37" s="25" t="s">
        <v>174</v>
      </c>
      <c r="C37" s="25" t="s">
        <v>157</v>
      </c>
      <c r="D37" s="25" t="s">
        <v>158</v>
      </c>
      <c r="E37" s="25" t="s">
        <v>159</v>
      </c>
      <c r="F37" s="25" t="s">
        <v>160</v>
      </c>
      <c r="G37" s="25" t="s">
        <v>161</v>
      </c>
      <c r="H37" s="25" t="s">
        <v>35</v>
      </c>
      <c r="I37" s="25" t="s">
        <v>29</v>
      </c>
      <c r="J37" s="25" t="s">
        <v>148</v>
      </c>
      <c r="K37" s="25" t="s">
        <v>38</v>
      </c>
    </row>
    <row r="38" spans="1:11" x14ac:dyDescent="0.25">
      <c r="A38" s="33"/>
      <c r="B38" s="33" t="s">
        <v>175</v>
      </c>
      <c r="C38" s="66">
        <v>11453.13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11453.13</v>
      </c>
      <c r="J38" s="35">
        <f>$D$9</f>
        <v>0.15</v>
      </c>
      <c r="K38" s="34">
        <f>I38/(1-J38)</f>
        <v>13474.27</v>
      </c>
    </row>
    <row r="39" spans="2:11" x14ac:dyDescent="0.25">
      <c r="B39" t="s">
        <v>176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177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178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179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180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11453.13</v>
      </c>
      <c r="J44" s="68"/>
      <c r="K44" s="69">
        <f>SUM(K38:K43)</f>
        <v>13474.27</v>
      </c>
    </row>
    <row r="46" ht="24" customHeight="1" spans="1:11" x14ac:dyDescent="0.25">
      <c r="A46" s="25" t="s">
        <v>35</v>
      </c>
      <c r="B46" s="25" t="s">
        <v>181</v>
      </c>
      <c r="C46" s="25" t="s">
        <v>157</v>
      </c>
      <c r="D46" s="25" t="s">
        <v>158</v>
      </c>
      <c r="E46" s="25" t="s">
        <v>159</v>
      </c>
      <c r="F46" s="25" t="s">
        <v>160</v>
      </c>
      <c r="G46" s="25" t="s">
        <v>161</v>
      </c>
      <c r="H46" s="25" t="s">
        <v>35</v>
      </c>
      <c r="I46" s="25" t="s">
        <v>29</v>
      </c>
      <c r="J46" s="25" t="s">
        <v>148</v>
      </c>
      <c r="K46" s="25" t="s">
        <v>38</v>
      </c>
    </row>
    <row r="47" spans="1:11" x14ac:dyDescent="0.25">
      <c r="A47" s="33"/>
      <c r="B47" s="33" t="s">
        <v>182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183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184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185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186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187</v>
      </c>
      <c r="C54" s="28"/>
      <c r="D54" s="28"/>
      <c r="E54" s="28"/>
      <c r="F54" s="28"/>
      <c r="G54" s="28"/>
      <c r="H54" s="28"/>
      <c r="I54" s="30">
        <f>I26+I35+I44+I52</f>
        <v>65479.75</v>
      </c>
      <c r="J54" s="28"/>
      <c r="K54" s="30">
        <f>K26+K35+K44+K52</f>
        <v>75926.52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145</v>
      </c>
    </row>
    <row r="4" spans="1:1" x14ac:dyDescent="0.25">
      <c r="A4" s="15" t="s">
        <v>8</v>
      </c>
    </row>
    <row r="5" spans="1:1" x14ac:dyDescent="0.25">
      <c r="A5" s="15" t="s">
        <v>146</v>
      </c>
    </row>
    <row r="7" spans="3:3" x14ac:dyDescent="0.25">
      <c r="C7" s="26" t="s">
        <v>147</v>
      </c>
    </row>
    <row r="8" spans="3:4" x14ac:dyDescent="0.25">
      <c r="C8" t="s">
        <v>148</v>
      </c>
      <c r="D8" s="21">
        <v>0.15</v>
      </c>
    </row>
    <row r="9" spans="3:4" x14ac:dyDescent="0.25">
      <c r="C9" t="s">
        <v>149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150</v>
      </c>
      <c r="D11" s="21">
        <v>0.15</v>
      </c>
    </row>
    <row r="15" spans="2:2" x14ac:dyDescent="0.25">
      <c r="B15" s="64" t="s">
        <v>209</v>
      </c>
    </row>
    <row r="16" spans="2:5" x14ac:dyDescent="0.25">
      <c r="B16" s="4" t="s">
        <v>152</v>
      </c>
      <c r="C16" s="4" t="s">
        <v>153</v>
      </c>
      <c r="D16" s="4" t="s">
        <v>154</v>
      </c>
      <c r="E16" s="4" t="s">
        <v>155</v>
      </c>
    </row>
    <row r="17" spans="2:5" x14ac:dyDescent="0.25">
      <c r="B17" s="49">
        <v>5.81</v>
      </c>
      <c r="C17" s="49">
        <v>22.65</v>
      </c>
      <c r="D17" s="65">
        <v>131.6</v>
      </c>
      <c r="E17">
        <v>1</v>
      </c>
    </row>
    <row r="19" ht="24" customHeight="1" spans="1:11" x14ac:dyDescent="0.25">
      <c r="A19" s="25" t="s">
        <v>35</v>
      </c>
      <c r="B19" s="25" t="s">
        <v>156</v>
      </c>
      <c r="C19" s="25" t="s">
        <v>157</v>
      </c>
      <c r="D19" s="25" t="s">
        <v>158</v>
      </c>
      <c r="E19" s="25" t="s">
        <v>159</v>
      </c>
      <c r="F19" s="25" t="s">
        <v>160</v>
      </c>
      <c r="G19" s="25" t="s">
        <v>161</v>
      </c>
      <c r="H19" s="25" t="s">
        <v>35</v>
      </c>
      <c r="I19" s="25" t="s">
        <v>29</v>
      </c>
      <c r="J19" s="25" t="s">
        <v>148</v>
      </c>
      <c r="K19" s="25" t="s">
        <v>38</v>
      </c>
    </row>
    <row r="20" spans="1:11" x14ac:dyDescent="0.25">
      <c r="A20" s="33"/>
      <c r="B20" s="33" t="s">
        <v>162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163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164</v>
      </c>
      <c r="C22" s="66">
        <v>3855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3855</v>
      </c>
      <c r="J22" s="35">
        <f>$D$8</f>
        <v>0.15</v>
      </c>
      <c r="K22" s="34">
        <f>I22/(1-J22)</f>
        <v>4535.29</v>
      </c>
    </row>
    <row r="23" spans="2:11" x14ac:dyDescent="0.25">
      <c r="B23" t="s">
        <v>165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166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166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3855</v>
      </c>
      <c r="J26" s="68"/>
      <c r="K26" s="69">
        <f>SUM(K20:K25)</f>
        <v>4535.29</v>
      </c>
    </row>
    <row r="28" ht="24" customHeight="1" spans="1:11" x14ac:dyDescent="0.25">
      <c r="A28" s="25" t="s">
        <v>35</v>
      </c>
      <c r="B28" s="25" t="s">
        <v>167</v>
      </c>
      <c r="C28" s="25" t="s">
        <v>157</v>
      </c>
      <c r="D28" s="25" t="s">
        <v>158</v>
      </c>
      <c r="E28" s="25" t="s">
        <v>159</v>
      </c>
      <c r="F28" s="25" t="s">
        <v>160</v>
      </c>
      <c r="G28" s="25" t="s">
        <v>161</v>
      </c>
      <c r="H28" s="25" t="s">
        <v>35</v>
      </c>
      <c r="I28" s="25" t="s">
        <v>29</v>
      </c>
      <c r="J28" s="25" t="s">
        <v>148</v>
      </c>
      <c r="K28" s="25" t="s">
        <v>38</v>
      </c>
    </row>
    <row r="29" spans="1:11" x14ac:dyDescent="0.25">
      <c r="A29" s="33"/>
      <c r="B29" s="33" t="s">
        <v>168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169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170</v>
      </c>
      <c r="C31" s="66">
        <v>16062.5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16062.5</v>
      </c>
      <c r="J31" s="35">
        <f>$D$8</f>
        <v>0.15</v>
      </c>
      <c r="K31" s="34">
        <f>I31/(1-J31)</f>
        <v>18897.06</v>
      </c>
    </row>
    <row r="32" spans="2:11" x14ac:dyDescent="0.25">
      <c r="B32" t="s">
        <v>171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172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173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36944.85</v>
      </c>
      <c r="J35" s="68"/>
      <c r="K35" s="69">
        <f>SUM(K29:K34)</f>
        <v>43464.53</v>
      </c>
    </row>
    <row r="37" ht="24" customHeight="1" spans="1:11" x14ac:dyDescent="0.25">
      <c r="A37" s="25" t="s">
        <v>35</v>
      </c>
      <c r="B37" s="25" t="s">
        <v>174</v>
      </c>
      <c r="C37" s="25" t="s">
        <v>157</v>
      </c>
      <c r="D37" s="25" t="s">
        <v>158</v>
      </c>
      <c r="E37" s="25" t="s">
        <v>159</v>
      </c>
      <c r="F37" s="25" t="s">
        <v>160</v>
      </c>
      <c r="G37" s="25" t="s">
        <v>161</v>
      </c>
      <c r="H37" s="25" t="s">
        <v>35</v>
      </c>
      <c r="I37" s="25" t="s">
        <v>29</v>
      </c>
      <c r="J37" s="25" t="s">
        <v>148</v>
      </c>
      <c r="K37" s="25" t="s">
        <v>38</v>
      </c>
    </row>
    <row r="38" spans="1:11" x14ac:dyDescent="0.25">
      <c r="A38" s="33"/>
      <c r="B38" s="33" t="s">
        <v>175</v>
      </c>
      <c r="C38" s="66">
        <v>16062.5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16062.5</v>
      </c>
      <c r="J38" s="35">
        <f>$D$9</f>
        <v>0.15</v>
      </c>
      <c r="K38" s="34">
        <f>I38/(1-J38)</f>
        <v>18897.06</v>
      </c>
    </row>
    <row r="39" spans="2:11" x14ac:dyDescent="0.25">
      <c r="B39" t="s">
        <v>176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177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178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179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180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16062.5</v>
      </c>
      <c r="J44" s="68"/>
      <c r="K44" s="69">
        <f>SUM(K38:K43)</f>
        <v>18897.06</v>
      </c>
    </row>
    <row r="46" ht="24" customHeight="1" spans="1:11" x14ac:dyDescent="0.25">
      <c r="A46" s="25" t="s">
        <v>35</v>
      </c>
      <c r="B46" s="25" t="s">
        <v>181</v>
      </c>
      <c r="C46" s="25" t="s">
        <v>157</v>
      </c>
      <c r="D46" s="25" t="s">
        <v>158</v>
      </c>
      <c r="E46" s="25" t="s">
        <v>159</v>
      </c>
      <c r="F46" s="25" t="s">
        <v>160</v>
      </c>
      <c r="G46" s="25" t="s">
        <v>161</v>
      </c>
      <c r="H46" s="25" t="s">
        <v>35</v>
      </c>
      <c r="I46" s="25" t="s">
        <v>29</v>
      </c>
      <c r="J46" s="25" t="s">
        <v>148</v>
      </c>
      <c r="K46" s="25" t="s">
        <v>38</v>
      </c>
    </row>
    <row r="47" spans="1:11" x14ac:dyDescent="0.25">
      <c r="A47" s="33"/>
      <c r="B47" s="33" t="s">
        <v>182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183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184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185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186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187</v>
      </c>
      <c r="C54" s="28"/>
      <c r="D54" s="28"/>
      <c r="E54" s="28"/>
      <c r="F54" s="28"/>
      <c r="G54" s="28"/>
      <c r="H54" s="28"/>
      <c r="I54" s="30">
        <f>I26+I35+I44+I52</f>
        <v>81274.28</v>
      </c>
      <c r="J54" s="28"/>
      <c r="K54" s="30">
        <f>K26+K35+K44+K52</f>
        <v>94068.56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145</v>
      </c>
    </row>
    <row r="4" spans="1:1" x14ac:dyDescent="0.25">
      <c r="A4" s="15" t="s">
        <v>8</v>
      </c>
    </row>
    <row r="5" spans="1:1" x14ac:dyDescent="0.25">
      <c r="A5" s="15" t="s">
        <v>146</v>
      </c>
    </row>
    <row r="7" spans="3:3" x14ac:dyDescent="0.25">
      <c r="C7" s="26" t="s">
        <v>147</v>
      </c>
    </row>
    <row r="8" spans="3:4" x14ac:dyDescent="0.25">
      <c r="C8" t="s">
        <v>148</v>
      </c>
      <c r="D8" s="21">
        <v>0.15</v>
      </c>
    </row>
    <row r="9" spans="3:4" x14ac:dyDescent="0.25">
      <c r="C9" t="s">
        <v>149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150</v>
      </c>
      <c r="D11" s="21">
        <v>0.15</v>
      </c>
    </row>
    <row r="15" spans="2:2" x14ac:dyDescent="0.25">
      <c r="B15" s="64" t="s">
        <v>210</v>
      </c>
    </row>
    <row r="16" spans="2:5" x14ac:dyDescent="0.25">
      <c r="B16" s="4" t="s">
        <v>152</v>
      </c>
      <c r="C16" s="4" t="s">
        <v>153</v>
      </c>
      <c r="D16" s="4" t="s">
        <v>154</v>
      </c>
      <c r="E16" s="4" t="s">
        <v>155</v>
      </c>
    </row>
    <row r="17" spans="2:5" x14ac:dyDescent="0.25">
      <c r="B17" s="49">
        <v>32.25</v>
      </c>
      <c r="C17" s="49">
        <v>53.33</v>
      </c>
      <c r="D17" s="65">
        <v>1719.89</v>
      </c>
      <c r="E17">
        <v>1</v>
      </c>
    </row>
    <row r="19" ht="24" customHeight="1" spans="1:11" x14ac:dyDescent="0.25">
      <c r="A19" s="25" t="s">
        <v>35</v>
      </c>
      <c r="B19" s="25" t="s">
        <v>156</v>
      </c>
      <c r="C19" s="25" t="s">
        <v>157</v>
      </c>
      <c r="D19" s="25" t="s">
        <v>158</v>
      </c>
      <c r="E19" s="25" t="s">
        <v>159</v>
      </c>
      <c r="F19" s="25" t="s">
        <v>160</v>
      </c>
      <c r="G19" s="25" t="s">
        <v>161</v>
      </c>
      <c r="H19" s="25" t="s">
        <v>35</v>
      </c>
      <c r="I19" s="25" t="s">
        <v>29</v>
      </c>
      <c r="J19" s="25" t="s">
        <v>148</v>
      </c>
      <c r="K19" s="25" t="s">
        <v>38</v>
      </c>
    </row>
    <row r="20" spans="1:11" x14ac:dyDescent="0.25">
      <c r="A20" s="33"/>
      <c r="B20" s="33" t="s">
        <v>162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163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164</v>
      </c>
      <c r="C22" s="66">
        <v>46650.9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46650.9</v>
      </c>
      <c r="J22" s="35">
        <f>$D$8</f>
        <v>0.15</v>
      </c>
      <c r="K22" s="34">
        <f>I22/(1-J22)</f>
        <v>54883.41</v>
      </c>
    </row>
    <row r="23" spans="2:11" x14ac:dyDescent="0.25">
      <c r="B23" t="s">
        <v>165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166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166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46650.9</v>
      </c>
      <c r="J26" s="68"/>
      <c r="K26" s="69">
        <f>SUM(K20:K25)</f>
        <v>54883.41</v>
      </c>
    </row>
    <row r="28" ht="24" customHeight="1" spans="1:11" x14ac:dyDescent="0.25">
      <c r="A28" s="25" t="s">
        <v>35</v>
      </c>
      <c r="B28" s="25" t="s">
        <v>167</v>
      </c>
      <c r="C28" s="25" t="s">
        <v>157</v>
      </c>
      <c r="D28" s="25" t="s">
        <v>158</v>
      </c>
      <c r="E28" s="25" t="s">
        <v>159</v>
      </c>
      <c r="F28" s="25" t="s">
        <v>160</v>
      </c>
      <c r="G28" s="25" t="s">
        <v>161</v>
      </c>
      <c r="H28" s="25" t="s">
        <v>35</v>
      </c>
      <c r="I28" s="25" t="s">
        <v>29</v>
      </c>
      <c r="J28" s="25" t="s">
        <v>148</v>
      </c>
      <c r="K28" s="25" t="s">
        <v>38</v>
      </c>
    </row>
    <row r="29" spans="1:11" x14ac:dyDescent="0.25">
      <c r="A29" s="33"/>
      <c r="B29" s="33" t="s">
        <v>168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169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170</v>
      </c>
      <c r="C31" s="66">
        <v>318074.32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318074.32</v>
      </c>
      <c r="J31" s="35">
        <f>$D$8</f>
        <v>0.15</v>
      </c>
      <c r="K31" s="34">
        <f>I31/(1-J31)</f>
        <v>374205.08</v>
      </c>
    </row>
    <row r="32" spans="2:11" x14ac:dyDescent="0.25">
      <c r="B32" t="s">
        <v>171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172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173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338956.67</v>
      </c>
      <c r="J35" s="68"/>
      <c r="K35" s="69">
        <f>SUM(K29:K34)</f>
        <v>398772.55</v>
      </c>
    </row>
    <row r="37" ht="24" customHeight="1" spans="1:11" x14ac:dyDescent="0.25">
      <c r="A37" s="25" t="s">
        <v>35</v>
      </c>
      <c r="B37" s="25" t="s">
        <v>174</v>
      </c>
      <c r="C37" s="25" t="s">
        <v>157</v>
      </c>
      <c r="D37" s="25" t="s">
        <v>158</v>
      </c>
      <c r="E37" s="25" t="s">
        <v>159</v>
      </c>
      <c r="F37" s="25" t="s">
        <v>160</v>
      </c>
      <c r="G37" s="25" t="s">
        <v>161</v>
      </c>
      <c r="H37" s="25" t="s">
        <v>35</v>
      </c>
      <c r="I37" s="25" t="s">
        <v>29</v>
      </c>
      <c r="J37" s="25" t="s">
        <v>148</v>
      </c>
      <c r="K37" s="25" t="s">
        <v>38</v>
      </c>
    </row>
    <row r="38" spans="1:11" x14ac:dyDescent="0.25">
      <c r="A38" s="33"/>
      <c r="B38" s="33" t="s">
        <v>175</v>
      </c>
      <c r="C38" s="66">
        <v>106024.77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106024.77</v>
      </c>
      <c r="J38" s="35">
        <f>$D$9</f>
        <v>0.15</v>
      </c>
      <c r="K38" s="34">
        <f>I38/(1-J38)</f>
        <v>124735.02</v>
      </c>
    </row>
    <row r="39" spans="2:11" x14ac:dyDescent="0.25">
      <c r="B39" t="s">
        <v>176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177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178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179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180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106024.77</v>
      </c>
      <c r="J44" s="68"/>
      <c r="K44" s="69">
        <f>SUM(K38:K43)</f>
        <v>124735.02</v>
      </c>
    </row>
    <row r="46" ht="24" customHeight="1" spans="1:11" x14ac:dyDescent="0.25">
      <c r="A46" s="25" t="s">
        <v>35</v>
      </c>
      <c r="B46" s="25" t="s">
        <v>181</v>
      </c>
      <c r="C46" s="25" t="s">
        <v>157</v>
      </c>
      <c r="D46" s="25" t="s">
        <v>158</v>
      </c>
      <c r="E46" s="25" t="s">
        <v>159</v>
      </c>
      <c r="F46" s="25" t="s">
        <v>160</v>
      </c>
      <c r="G46" s="25" t="s">
        <v>161</v>
      </c>
      <c r="H46" s="25" t="s">
        <v>35</v>
      </c>
      <c r="I46" s="25" t="s">
        <v>29</v>
      </c>
      <c r="J46" s="25" t="s">
        <v>148</v>
      </c>
      <c r="K46" s="25" t="s">
        <v>38</v>
      </c>
    </row>
    <row r="47" spans="1:11" x14ac:dyDescent="0.25">
      <c r="A47" s="33"/>
      <c r="B47" s="33" t="s">
        <v>182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183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184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185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186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187</v>
      </c>
      <c r="C54" s="28"/>
      <c r="D54" s="28"/>
      <c r="E54" s="28"/>
      <c r="F54" s="28"/>
      <c r="G54" s="28"/>
      <c r="H54" s="28"/>
      <c r="I54" s="30">
        <f>I26+I35+I44+I52</f>
        <v>762946.91</v>
      </c>
      <c r="J54" s="28"/>
      <c r="K54" s="30">
        <f>K26+K35+K44+K52</f>
        <v>877350.6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59"/>
  <sheetFormatPr defaultRowHeight="15" outlineLevelRow="0" outlineLevelCol="0" x14ac:dyDescent="55"/>
  <cols>
    <col min="1" max="1" width="4" customWidth="1"/>
    <col min="2" max="2" width="36" customWidth="1"/>
    <col min="3" max="4" width="12" customWidth="1"/>
    <col min="5" max="5" width="10" customWidth="1"/>
    <col min="6" max="6" width="12" customWidth="1"/>
    <col min="7" max="9" width="14" customWidth="1"/>
  </cols>
  <sheetData>
    <row r="1" ht="36" customHeight="1" spans="1:9" x14ac:dyDescent="0.25">
      <c r="A1" s="1" t="s">
        <v>211</v>
      </c>
      <c r="B1" s="1"/>
      <c r="C1" s="1"/>
      <c r="D1" s="1"/>
      <c r="E1" s="1"/>
      <c r="F1" s="1"/>
      <c r="G1" s="1"/>
      <c r="H1" s="1"/>
      <c r="I1" s="1"/>
    </row>
    <row r="4" ht="28" customHeight="1" spans="1:9" x14ac:dyDescent="0.25">
      <c r="A4" s="25" t="s">
        <v>35</v>
      </c>
      <c r="B4" s="25" t="s">
        <v>104</v>
      </c>
      <c r="C4" s="25" t="s">
        <v>212</v>
      </c>
      <c r="D4" s="25" t="s">
        <v>213</v>
      </c>
      <c r="E4" s="25" t="s">
        <v>214</v>
      </c>
      <c r="F4" s="25" t="s">
        <v>215</v>
      </c>
      <c r="G4" s="25" t="s">
        <v>216</v>
      </c>
      <c r="H4" s="25" t="s">
        <v>217</v>
      </c>
      <c r="I4" s="25" t="s">
        <v>218</v>
      </c>
    </row>
    <row r="5" spans="1:9" x14ac:dyDescent="0.25">
      <c r="A5" s="33"/>
      <c r="B5" s="41" t="s">
        <v>219</v>
      </c>
      <c r="C5" s="46">
        <v>1920</v>
      </c>
      <c r="D5" s="46">
        <v>1080</v>
      </c>
      <c r="E5" s="33">
        <v>8</v>
      </c>
      <c r="F5" s="33"/>
      <c r="G5" s="46">
        <v>650000</v>
      </c>
      <c r="H5" s="46">
        <v>455000</v>
      </c>
      <c r="I5" s="46">
        <v>320000</v>
      </c>
    </row>
    <row r="6" spans="2:9" x14ac:dyDescent="0.25">
      <c r="B6" s="26" t="s">
        <v>220</v>
      </c>
      <c r="C6" s="53">
        <v>3840</v>
      </c>
      <c r="D6" s="53">
        <v>2160</v>
      </c>
      <c r="E6">
        <v>16</v>
      </c>
      <c r="G6" s="53">
        <v>650000</v>
      </c>
      <c r="H6" s="53">
        <v>455000</v>
      </c>
      <c r="I6" s="53">
        <v>320000</v>
      </c>
    </row>
    <row r="7" spans="1:9" x14ac:dyDescent="0.25">
      <c r="A7" s="33"/>
      <c r="B7" s="41" t="s">
        <v>221</v>
      </c>
      <c r="C7" s="46">
        <v>7680</v>
      </c>
      <c r="D7" s="46">
        <v>4320</v>
      </c>
      <c r="E7" s="33">
        <v>20</v>
      </c>
      <c r="F7" s="33"/>
      <c r="G7" s="46">
        <v>1200000</v>
      </c>
      <c r="H7" s="46">
        <v>960000</v>
      </c>
      <c r="I7" s="46">
        <v>650000</v>
      </c>
    </row>
    <row r="10" spans="2:2" x14ac:dyDescent="0.25">
      <c r="B10" s="64" t="s">
        <v>222</v>
      </c>
    </row>
    <row r="11" ht="28" customHeight="1" spans="1:9" x14ac:dyDescent="0.25">
      <c r="A11" s="3" t="s">
        <v>35</v>
      </c>
      <c r="B11" s="3" t="s">
        <v>104</v>
      </c>
      <c r="C11" s="3" t="s">
        <v>212</v>
      </c>
      <c r="D11" s="3" t="s">
        <v>213</v>
      </c>
      <c r="E11" s="3" t="s">
        <v>115</v>
      </c>
      <c r="F11" s="3" t="s">
        <v>223</v>
      </c>
      <c r="G11" s="3" t="s">
        <v>224</v>
      </c>
      <c r="H11" s="3" t="s">
        <v>225</v>
      </c>
      <c r="I11" s="3" t="s">
        <v>226</v>
      </c>
    </row>
    <row r="12" spans="1:9" x14ac:dyDescent="0.25">
      <c r="A12" s="33"/>
      <c r="B12" s="33" t="str">
        <f>'LED Cost Sheet'!A4</f>
        <v>FIELD RIBBON NORTH</v>
      </c>
      <c r="C12" s="46">
        <f>'LED Cost Sheet'!K4</f>
        <v>0</v>
      </c>
      <c r="D12" s="46">
        <f>'LED Cost Sheet'!J4</f>
        <v>0</v>
      </c>
      <c r="E12" s="33">
        <f>'LED Cost Sheet'!L4</f>
        <v>1</v>
      </c>
      <c r="F12" s="46">
        <f>C12*D12*E12</f>
        <v>5852106</v>
      </c>
      <c r="G12" s="33">
        <f>IFERROR(CEILING(F12/650000,1),0)</f>
        <v>10</v>
      </c>
      <c r="H12" s="33" t="str">
        <f>IF(G12&gt;8,"MCTRL4K","660 Pro")</f>
        <v>MCTRL4K</v>
      </c>
      <c r="I12" s="33">
        <f>IFERROR(CEILING(G12/IF(G12&gt;8,16,8),1),0)</f>
        <v>1</v>
      </c>
    </row>
    <row r="13" spans="2:9" x14ac:dyDescent="0.25">
      <c r="B13" t="str">
        <f>'LED Cost Sheet'!A5</f>
        <v>FIELD RIBBON EAST</v>
      </c>
      <c r="C13" s="53">
        <f>'LED Cost Sheet'!K5</f>
        <v>0</v>
      </c>
      <c r="D13" s="53">
        <f>'LED Cost Sheet'!J5</f>
        <v>0</v>
      </c>
      <c r="E13">
        <f>'LED Cost Sheet'!L5</f>
        <v>1</v>
      </c>
      <c r="F13" s="53">
        <f>C13*D13*E13</f>
        <v>3657654</v>
      </c>
      <c r="G13">
        <f>IFERROR(CEILING(F13/650000,1),0)</f>
        <v>6</v>
      </c>
      <c r="H13" t="str">
        <f>IF(G13&gt;8,"MCTRL4K","660 Pro")</f>
        <v>660 Pro</v>
      </c>
      <c r="I13">
        <f>IFERROR(CEILING(G13/IF(G13&gt;8,16,8),1),0)</f>
        <v>1</v>
      </c>
    </row>
    <row r="14" spans="1:9" x14ac:dyDescent="0.25">
      <c r="A14" s="33"/>
      <c r="B14" s="33" t="str">
        <f>'LED Cost Sheet'!A6</f>
        <v>TEAM ROOM</v>
      </c>
      <c r="C14" s="46">
        <f>'LED Cost Sheet'!K6</f>
        <v>0</v>
      </c>
      <c r="D14" s="46">
        <f>'LED Cost Sheet'!J6</f>
        <v>0</v>
      </c>
      <c r="E14" s="33">
        <f>'LED Cost Sheet'!L6</f>
        <v>1</v>
      </c>
      <c r="F14" s="46">
        <f>C14*D14*E14</f>
        <v>683750</v>
      </c>
      <c r="G14" s="33">
        <f>IFERROR(CEILING(F14/650000,1),0)</f>
        <v>2</v>
      </c>
      <c r="H14" s="33" t="str">
        <f>IF(G14&gt;8,"MCTRL4K","660 Pro")</f>
        <v>660 Pro</v>
      </c>
      <c r="I14" s="33">
        <f>IFERROR(CEILING(G14/IF(G14&gt;8,16,8),1),0)</f>
        <v>1</v>
      </c>
    </row>
    <row r="15" spans="2:9" x14ac:dyDescent="0.25">
      <c r="B15" t="str">
        <f>'LED Cost Sheet'!A7</f>
        <v>FIELD RIBBON WEST</v>
      </c>
      <c r="C15" s="53">
        <f>'LED Cost Sheet'!K7</f>
        <v>0</v>
      </c>
      <c r="D15" s="53">
        <f>'LED Cost Sheet'!J7</f>
        <v>0</v>
      </c>
      <c r="E15">
        <f>'LED Cost Sheet'!L7</f>
        <v>1</v>
      </c>
      <c r="F15" s="53">
        <f>C15*D15*E15</f>
        <v>3657654</v>
      </c>
      <c r="G15">
        <f>IFERROR(CEILING(F15/650000,1),0)</f>
        <v>6</v>
      </c>
      <c r="H15" t="str">
        <f>IF(G15&gt;8,"MCTRL4K","660 Pro")</f>
        <v>660 Pro</v>
      </c>
      <c r="I15">
        <f>IFERROR(CEILING(G15/IF(G15&gt;8,16,8),1),0)</f>
        <v>1</v>
      </c>
    </row>
    <row r="16" spans="1:9" x14ac:dyDescent="0.25">
      <c r="A16" s="33"/>
      <c r="B16" s="33" t="str">
        <f>'LED Cost Sheet'!A8</f>
        <v>INCIDENT COMMAND</v>
      </c>
      <c r="C16" s="46">
        <f>'LED Cost Sheet'!K8</f>
        <v>0</v>
      </c>
      <c r="D16" s="46">
        <f>'LED Cost Sheet'!J8</f>
        <v>0</v>
      </c>
      <c r="E16" s="33">
        <f>'LED Cost Sheet'!L8</f>
        <v>1</v>
      </c>
      <c r="F16" s="46">
        <f>C16*D16*E16</f>
        <v>684297</v>
      </c>
      <c r="G16" s="33">
        <f>IFERROR(CEILING(F16/650000,1),0)</f>
        <v>2</v>
      </c>
      <c r="H16" s="33" t="str">
        <f>IF(G16&gt;8,"MCTRL4K","660 Pro")</f>
        <v>660 Pro</v>
      </c>
      <c r="I16" s="33">
        <f>IFERROR(CEILING(G16/IF(G16&gt;8,16,8),1),0)</f>
        <v>1</v>
      </c>
    </row>
    <row r="17" spans="2:9" x14ac:dyDescent="0.25">
      <c r="B17" t="str">
        <f>'LED Cost Sheet'!A9</f>
        <v>DEF UNIT</v>
      </c>
      <c r="C17" s="53">
        <f>'LED Cost Sheet'!K9</f>
        <v>0</v>
      </c>
      <c r="D17" s="53">
        <f>'LED Cost Sheet'!J9</f>
        <v>0</v>
      </c>
      <c r="E17">
        <f>'LED Cost Sheet'!L9</f>
        <v>1</v>
      </c>
      <c r="F17" s="53">
        <f>C17*D17*E17</f>
        <v>403340</v>
      </c>
      <c r="G17">
        <f>IFERROR(CEILING(F17/650000,1),0)</f>
        <v>1</v>
      </c>
      <c r="H17" t="str">
        <f>IF(G17&gt;8,"MCTRL4K","660 Pro")</f>
        <v>660 Pro</v>
      </c>
      <c r="I17">
        <f>IFERROR(CEILING(G17/IF(G17&gt;8,16,8),1),0)</f>
        <v>1</v>
      </c>
    </row>
    <row r="18" spans="1:9" x14ac:dyDescent="0.25">
      <c r="A18" s="33"/>
      <c r="B18" s="33" t="str">
        <f>'LED Cost Sheet'!A10</f>
        <v>NORTH CORRIDOR</v>
      </c>
      <c r="C18" s="46">
        <f>'LED Cost Sheet'!K10</f>
        <v>0</v>
      </c>
      <c r="D18" s="46">
        <f>'LED Cost Sheet'!J10</f>
        <v>0</v>
      </c>
      <c r="E18" s="33">
        <f>'LED Cost Sheet'!L10</f>
        <v>1</v>
      </c>
      <c r="F18" s="46">
        <f>C18*D18*E18</f>
        <v>6720900</v>
      </c>
      <c r="G18" s="33">
        <f>IFERROR(CEILING(F18/650000,1),0)</f>
        <v>11</v>
      </c>
      <c r="H18" s="33" t="str">
        <f>IF(G18&gt;8,"MCTRL4K","660 Pro")</f>
        <v>MCTRL4K</v>
      </c>
      <c r="I18" s="33">
        <f>IFERROR(CEILING(G18/IF(G18&gt;8,16,8),1),0)</f>
        <v>1</v>
      </c>
    </row>
    <row r="19" spans="2:9" x14ac:dyDescent="0.25">
      <c r="B19" t="str">
        <f>'LED Cost Sheet'!A11</f>
        <v>SOUTH CORRIDOR</v>
      </c>
      <c r="C19" s="53">
        <f>'LED Cost Sheet'!K11</f>
        <v>0</v>
      </c>
      <c r="D19" s="53">
        <f>'LED Cost Sheet'!J11</f>
        <v>0</v>
      </c>
      <c r="E19">
        <f>'LED Cost Sheet'!L11</f>
        <v>1</v>
      </c>
      <c r="F19" s="53">
        <f>C19*D19*E19</f>
        <v>5712980</v>
      </c>
      <c r="G19">
        <f>IFERROR(CEILING(F19/650000,1),0)</f>
        <v>9</v>
      </c>
      <c r="H19" t="str">
        <f>IF(G19&gt;8,"MCTRL4K","660 Pro")</f>
        <v>MCTRL4K</v>
      </c>
      <c r="I19">
        <f>IFERROR(CEILING(G19/IF(G19&gt;8,16,8),1),0)</f>
        <v>1</v>
      </c>
    </row>
    <row r="20" spans="1:9" x14ac:dyDescent="0.25">
      <c r="A20" s="33"/>
      <c r="B20" s="33" t="str">
        <f>'LED Cost Sheet'!A12</f>
        <v>S.E. CORRIDOR (CEILING)</v>
      </c>
      <c r="C20" s="46">
        <f>'LED Cost Sheet'!K12</f>
        <v>0</v>
      </c>
      <c r="D20" s="46">
        <f>'LED Cost Sheet'!J12</f>
        <v>0</v>
      </c>
      <c r="E20" s="33">
        <f>'LED Cost Sheet'!L12</f>
        <v>1</v>
      </c>
      <c r="F20" s="46">
        <f>C20*D20*E20</f>
        <v>2077774</v>
      </c>
      <c r="G20" s="33">
        <f>IFERROR(CEILING(F20/650000,1),0)</f>
        <v>4</v>
      </c>
      <c r="H20" s="33" t="str">
        <f>IF(G20&gt;8,"MCTRL4K","660 Pro")</f>
        <v>660 Pro</v>
      </c>
      <c r="I20" s="33">
        <f>IFERROR(CEILING(G20/IF(G20&gt;8,16,8),1),0)</f>
        <v>1</v>
      </c>
    </row>
    <row r="21" spans="2:9" x14ac:dyDescent="0.25">
      <c r="B21" t="str">
        <f>'LED Cost Sheet'!A13</f>
        <v>S.E. CORRIDOR (CEILING)</v>
      </c>
      <c r="C21" s="53">
        <f>'LED Cost Sheet'!K13</f>
        <v>0</v>
      </c>
      <c r="D21" s="53">
        <f>'LED Cost Sheet'!J13</f>
        <v>0</v>
      </c>
      <c r="E21">
        <f>'LED Cost Sheet'!L13</f>
        <v>1</v>
      </c>
      <c r="F21" s="53">
        <f>C21*D21*E21</f>
        <v>2077774</v>
      </c>
      <c r="G21">
        <f>IFERROR(CEILING(F21/650000,1),0)</f>
        <v>4</v>
      </c>
      <c r="H21" t="str">
        <f>IF(G21&gt;8,"MCTRL4K","660 Pro")</f>
        <v>660 Pro</v>
      </c>
      <c r="I21">
        <f>IFERROR(CEILING(G21/IF(G21&gt;8,16,8),1),0)</f>
        <v>1</v>
      </c>
    </row>
    <row r="22" spans="1:9" x14ac:dyDescent="0.25">
      <c r="A22" s="33"/>
      <c r="B22" s="33" t="str">
        <f>'LED Cost Sheet'!A14</f>
        <v>EAST CORRIDOR (CEILING)</v>
      </c>
      <c r="C22" s="46">
        <f>'LED Cost Sheet'!K14</f>
        <v>0</v>
      </c>
      <c r="D22" s="46">
        <f>'LED Cost Sheet'!J14</f>
        <v>0</v>
      </c>
      <c r="E22" s="33">
        <f>'LED Cost Sheet'!L14</f>
        <v>1</v>
      </c>
      <c r="F22" s="46">
        <f>C22*D22*E22</f>
        <v>2200548</v>
      </c>
      <c r="G22" s="33">
        <f>IFERROR(CEILING(F22/650000,1),0)</f>
        <v>4</v>
      </c>
      <c r="H22" s="33" t="str">
        <f>IF(G22&gt;8,"MCTRL4K","660 Pro")</f>
        <v>660 Pro</v>
      </c>
      <c r="I22" s="33">
        <f>IFERROR(CEILING(G22/IF(G22&gt;8,16,8),1),0)</f>
        <v>1</v>
      </c>
    </row>
    <row r="23" spans="2:9" x14ac:dyDescent="0.25">
      <c r="B23" t="str">
        <f>'LED Cost Sheet'!A15</f>
        <v>N.E. CORRIDOR (CEILING)</v>
      </c>
      <c r="C23" s="53">
        <f>'LED Cost Sheet'!K15</f>
        <v>0</v>
      </c>
      <c r="D23" s="53">
        <f>'LED Cost Sheet'!J15</f>
        <v>0</v>
      </c>
      <c r="E23">
        <f>'LED Cost Sheet'!L15</f>
        <v>1</v>
      </c>
      <c r="F23" s="53">
        <f>C23*D23*E23</f>
        <v>2077774</v>
      </c>
      <c r="G23">
        <f>IFERROR(CEILING(F23/650000,1),0)</f>
        <v>4</v>
      </c>
      <c r="H23" t="str">
        <f>IF(G23&gt;8,"MCTRL4K","660 Pro")</f>
        <v>660 Pro</v>
      </c>
      <c r="I23">
        <f>IFERROR(CEILING(G23/IF(G23&gt;8,16,8),1),0)</f>
        <v>1</v>
      </c>
    </row>
    <row r="24" spans="1:9" x14ac:dyDescent="0.25">
      <c r="A24" s="33"/>
      <c r="B24" s="33" t="str">
        <f>'LED Cost Sheet'!A16</f>
        <v>N.E. CORRIDOR (CEILING)</v>
      </c>
      <c r="C24" s="46">
        <f>'LED Cost Sheet'!K16</f>
        <v>0</v>
      </c>
      <c r="D24" s="46">
        <f>'LED Cost Sheet'!J16</f>
        <v>0</v>
      </c>
      <c r="E24" s="33">
        <f>'LED Cost Sheet'!L16</f>
        <v>1</v>
      </c>
      <c r="F24" s="46">
        <f>C24*D24*E24</f>
        <v>2077774</v>
      </c>
      <c r="G24" s="33">
        <f>IFERROR(CEILING(F24/650000,1),0)</f>
        <v>4</v>
      </c>
      <c r="H24" s="33" t="str">
        <f>IF(G24&gt;8,"MCTRL4K","660 Pro")</f>
        <v>660 Pro</v>
      </c>
      <c r="I24" s="33">
        <f>IFERROR(CEILING(G24/IF(G24&gt;8,16,8),1),0)</f>
        <v>1</v>
      </c>
    </row>
    <row r="25" spans="2:9" x14ac:dyDescent="0.25">
      <c r="B25" t="str">
        <f>'LED Cost Sheet'!A17</f>
        <v>LARGE ADMIN ROOM</v>
      </c>
      <c r="C25" s="53">
        <f>'LED Cost Sheet'!K17</f>
        <v>0</v>
      </c>
      <c r="D25" s="53">
        <f>'LED Cost Sheet'!J17</f>
        <v>0</v>
      </c>
      <c r="E25">
        <f>'LED Cost Sheet'!L17</f>
        <v>1</v>
      </c>
      <c r="F25" s="53">
        <f>C25*D25*E25</f>
        <v>1367500</v>
      </c>
      <c r="G25">
        <f>IFERROR(CEILING(F25/650000,1),0)</f>
        <v>3</v>
      </c>
      <c r="H25" t="str">
        <f>IF(G25&gt;8,"MCTRL4K","660 Pro")</f>
        <v>660 Pro</v>
      </c>
      <c r="I25">
        <f>IFERROR(CEILING(G25/IF(G25&gt;8,16,8),1),0)</f>
        <v>1</v>
      </c>
    </row>
    <row r="26" spans="1:9" x14ac:dyDescent="0.25">
      <c r="A26" s="33"/>
      <c r="B26" s="33" t="str">
        <f>'LED Cost Sheet'!A18</f>
        <v>ELEV LOBBY</v>
      </c>
      <c r="C26" s="46">
        <f>'LED Cost Sheet'!K18</f>
        <v>0</v>
      </c>
      <c r="D26" s="46">
        <f>'LED Cost Sheet'!J18</f>
        <v>0</v>
      </c>
      <c r="E26" s="33">
        <f>'LED Cost Sheet'!L18</f>
        <v>1</v>
      </c>
      <c r="F26" s="46">
        <f>C26*D26*E26</f>
        <v>146797</v>
      </c>
      <c r="G26" s="33">
        <f>IFERROR(CEILING(F26/650000,1),0)</f>
        <v>1</v>
      </c>
      <c r="H26" s="33" t="str">
        <f>IF(G26&gt;8,"MCTRL4K","660 Pro")</f>
        <v>660 Pro</v>
      </c>
      <c r="I26" s="33">
        <f>IFERROR(CEILING(G26/IF(G26&gt;8,16,8),1),0)</f>
        <v>1</v>
      </c>
    </row>
    <row r="27" spans="2:9" x14ac:dyDescent="0.25">
      <c r="B27" t="str">
        <f>'LED Cost Sheet'!A19</f>
        <v>NORTH CLUB</v>
      </c>
      <c r="C27" s="53">
        <f>'LED Cost Sheet'!K19</f>
        <v>0</v>
      </c>
      <c r="D27" s="53">
        <f>'LED Cost Sheet'!J19</f>
        <v>0</v>
      </c>
      <c r="E27">
        <f>'LED Cost Sheet'!L19</f>
        <v>1</v>
      </c>
      <c r="F27" s="53">
        <f>C27*D27*E27</f>
        <v>878750</v>
      </c>
      <c r="G27">
        <f>IFERROR(CEILING(F27/650000,1),0)</f>
        <v>2</v>
      </c>
      <c r="H27" t="str">
        <f>IF(G27&gt;8,"MCTRL4K","660 Pro")</f>
        <v>660 Pro</v>
      </c>
      <c r="I27">
        <f>IFERROR(CEILING(G27/IF(G27&gt;8,16,8),1),0)</f>
        <v>1</v>
      </c>
    </row>
    <row r="28" spans="1:9" x14ac:dyDescent="0.25">
      <c r="A28" s="33"/>
      <c r="B28" s="33" t="str">
        <f>'LED Cost Sheet'!A20</f>
        <v>PANTHERS DEN</v>
      </c>
      <c r="C28" s="46">
        <f>'LED Cost Sheet'!K20</f>
        <v>0</v>
      </c>
      <c r="D28" s="46">
        <f>'LED Cost Sheet'!J20</f>
        <v>0</v>
      </c>
      <c r="E28" s="33">
        <f>'LED Cost Sheet'!L20</f>
        <v>1</v>
      </c>
      <c r="F28" s="46">
        <f>C28*D28*E28</f>
        <v>402246</v>
      </c>
      <c r="G28" s="33">
        <f>IFERROR(CEILING(F28/650000,1),0)</f>
        <v>1</v>
      </c>
      <c r="H28" s="33" t="str">
        <f>IF(G28&gt;8,"MCTRL4K","660 Pro")</f>
        <v>660 Pro</v>
      </c>
      <c r="I28" s="33">
        <f>IFERROR(CEILING(G28/IF(G28&gt;8,16,8),1),0)</f>
        <v>1</v>
      </c>
    </row>
    <row r="29" spans="2:9" x14ac:dyDescent="0.25">
      <c r="B29" t="str">
        <f>'LED Cost Sheet'!A21</f>
        <v>PANTHERS DEN</v>
      </c>
      <c r="C29" s="53">
        <f>'LED Cost Sheet'!K21</f>
        <v>0</v>
      </c>
      <c r="D29" s="53">
        <f>'LED Cost Sheet'!J21</f>
        <v>0</v>
      </c>
      <c r="E29">
        <f>'LED Cost Sheet'!L21</f>
        <v>1</v>
      </c>
      <c r="F29" s="53">
        <f>C29*D29*E29</f>
        <v>347490</v>
      </c>
      <c r="G29">
        <f>IFERROR(CEILING(F29/650000,1),0)</f>
        <v>1</v>
      </c>
      <c r="H29" t="str">
        <f>IF(G29&gt;8,"MCTRL4K","660 Pro")</f>
        <v>660 Pro</v>
      </c>
      <c r="I29">
        <f>IFERROR(CEILING(G29/IF(G29&gt;8,16,8),1),0)</f>
        <v>1</v>
      </c>
    </row>
    <row r="30" spans="1:9" x14ac:dyDescent="0.25">
      <c r="A30" s="33"/>
      <c r="B30" s="33" t="str">
        <f>'LED Cost Sheet'!A22</f>
        <v>PANTHERS DEN</v>
      </c>
      <c r="C30" s="46">
        <f>'LED Cost Sheet'!K22</f>
        <v>0</v>
      </c>
      <c r="D30" s="46">
        <f>'LED Cost Sheet'!J22</f>
        <v>0</v>
      </c>
      <c r="E30" s="33">
        <f>'LED Cost Sheet'!L22</f>
        <v>1</v>
      </c>
      <c r="F30" s="46">
        <f>C30*D30*E30</f>
        <v>426312</v>
      </c>
      <c r="G30" s="33">
        <f>IFERROR(CEILING(F30/650000,1),0)</f>
        <v>1</v>
      </c>
      <c r="H30" s="33" t="str">
        <f>IF(G30&gt;8,"MCTRL4K","660 Pro")</f>
        <v>660 Pro</v>
      </c>
      <c r="I30" s="33">
        <f>IFERROR(CEILING(G30/IF(G30&gt;8,16,8),1),0)</f>
        <v>1</v>
      </c>
    </row>
    <row r="31" spans="2:9" x14ac:dyDescent="0.25">
      <c r="B31" t="str">
        <f>'LED Cost Sheet'!A23</f>
        <v>PANTHERS DEN</v>
      </c>
      <c r="C31" s="53">
        <f>'LED Cost Sheet'!K23</f>
        <v>0</v>
      </c>
      <c r="D31" s="53">
        <f>'LED Cost Sheet'!J23</f>
        <v>0</v>
      </c>
      <c r="E31">
        <f>'LED Cost Sheet'!L23</f>
        <v>1</v>
      </c>
      <c r="F31" s="53">
        <f>C31*D31*E31</f>
        <v>402246</v>
      </c>
      <c r="G31">
        <f>IFERROR(CEILING(F31/650000,1),0)</f>
        <v>1</v>
      </c>
      <c r="H31" t="str">
        <f>IF(G31&gt;8,"MCTRL4K","660 Pro")</f>
        <v>660 Pro</v>
      </c>
      <c r="I31">
        <f>IFERROR(CEILING(G31/IF(G31&gt;8,16,8),1),0)</f>
        <v>1</v>
      </c>
    </row>
    <row r="32" spans="1:9" x14ac:dyDescent="0.25">
      <c r="A32" s="33"/>
      <c r="B32" s="33" t="str">
        <f>'LED Cost Sheet'!A24</f>
        <v>PANTHERS DEN</v>
      </c>
      <c r="C32" s="46">
        <f>'LED Cost Sheet'!K24</f>
        <v>0</v>
      </c>
      <c r="D32" s="46">
        <f>'LED Cost Sheet'!J24</f>
        <v>0</v>
      </c>
      <c r="E32" s="33">
        <f>'LED Cost Sheet'!L24</f>
        <v>1</v>
      </c>
      <c r="F32" s="46">
        <f>C32*D32*E32</f>
        <v>402246</v>
      </c>
      <c r="G32" s="33">
        <f>IFERROR(CEILING(F32/650000,1),0)</f>
        <v>1</v>
      </c>
      <c r="H32" s="33" t="str">
        <f>IF(G32&gt;8,"MCTRL4K","660 Pro")</f>
        <v>660 Pro</v>
      </c>
      <c r="I32" s="33">
        <f>IFERROR(CEILING(G32/IF(G32&gt;8,16,8),1),0)</f>
        <v>1</v>
      </c>
    </row>
    <row r="33" spans="2:9" x14ac:dyDescent="0.25">
      <c r="B33" t="str">
        <f>'LED Cost Sheet'!A25</f>
        <v>PANTHERS DEN</v>
      </c>
      <c r="C33" s="53">
        <f>'LED Cost Sheet'!K25</f>
        <v>0</v>
      </c>
      <c r="D33" s="53">
        <f>'LED Cost Sheet'!J25</f>
        <v>0</v>
      </c>
      <c r="E33">
        <f>'LED Cost Sheet'!L25</f>
        <v>1</v>
      </c>
      <c r="F33" s="53">
        <f>C33*D33*E33</f>
        <v>1416250</v>
      </c>
      <c r="G33">
        <f>IFERROR(CEILING(F33/650000,1),0)</f>
        <v>3</v>
      </c>
      <c r="H33" t="str">
        <f>IF(G33&gt;8,"MCTRL4K","660 Pro")</f>
        <v>660 Pro</v>
      </c>
      <c r="I33">
        <f>IFERROR(CEILING(G33/IF(G33&gt;8,16,8),1),0)</f>
        <v>1</v>
      </c>
    </row>
    <row r="34" spans="1:9" x14ac:dyDescent="0.25">
      <c r="A34" s="33"/>
      <c r="B34" s="33" t="str">
        <f>'LED Cost Sheet'!A26</f>
        <v>PANTHERS DEN</v>
      </c>
      <c r="C34" s="46">
        <f>'LED Cost Sheet'!K26</f>
        <v>0</v>
      </c>
      <c r="D34" s="46">
        <f>'LED Cost Sheet'!J26</f>
        <v>0</v>
      </c>
      <c r="E34" s="33">
        <f>'LED Cost Sheet'!L26</f>
        <v>1</v>
      </c>
      <c r="F34" s="46">
        <f>C34*D34*E34</f>
        <v>928609</v>
      </c>
      <c r="G34" s="33">
        <f>IFERROR(CEILING(F34/650000,1),0)</f>
        <v>2</v>
      </c>
      <c r="H34" s="33" t="str">
        <f>IF(G34&gt;8,"MCTRL4K","660 Pro")</f>
        <v>660 Pro</v>
      </c>
      <c r="I34" s="33">
        <f>IFERROR(CEILING(G34/IF(G34&gt;8,16,8),1),0)</f>
        <v>1</v>
      </c>
    </row>
    <row r="35" spans="2:9" x14ac:dyDescent="0.25">
      <c r="B35" t="str">
        <f>'LED Cost Sheet'!A27</f>
        <v>SOUTH CLUB</v>
      </c>
      <c r="C35" s="53">
        <f>'LED Cost Sheet'!K27</f>
        <v>0</v>
      </c>
      <c r="D35" s="53">
        <f>'LED Cost Sheet'!J27</f>
        <v>0</v>
      </c>
      <c r="E35">
        <f>'LED Cost Sheet'!L27</f>
        <v>1</v>
      </c>
      <c r="F35" s="53">
        <f>C35*D35*E35</f>
        <v>2046433</v>
      </c>
      <c r="G35">
        <f>IFERROR(CEILING(F35/650000,1),0)</f>
        <v>4</v>
      </c>
      <c r="H35" t="str">
        <f>IF(G35&gt;8,"MCTRL4K","660 Pro")</f>
        <v>660 Pro</v>
      </c>
      <c r="I35">
        <f>IFERROR(CEILING(G35/IF(G35&gt;8,16,8),1),0)</f>
        <v>1</v>
      </c>
    </row>
    <row r="36" spans="1:9" x14ac:dyDescent="0.25">
      <c r="A36" s="33"/>
      <c r="B36" s="33" t="str">
        <f>'LED Cost Sheet'!A28</f>
        <v>ELEV LOBBY</v>
      </c>
      <c r="C36" s="46">
        <f>'LED Cost Sheet'!K28</f>
        <v>0</v>
      </c>
      <c r="D36" s="46">
        <f>'LED Cost Sheet'!J28</f>
        <v>0</v>
      </c>
      <c r="E36" s="33">
        <f>'LED Cost Sheet'!L28</f>
        <v>1</v>
      </c>
      <c r="F36" s="46">
        <f>C36*D36*E36</f>
        <v>146797</v>
      </c>
      <c r="G36" s="33">
        <f>IFERROR(CEILING(F36/650000,1),0)</f>
        <v>1</v>
      </c>
      <c r="H36" s="33" t="str">
        <f>IF(G36&gt;8,"MCTRL4K","660 Pro")</f>
        <v>660 Pro</v>
      </c>
      <c r="I36" s="33">
        <f>IFERROR(CEILING(G36/IF(G36&gt;8,16,8),1),0)</f>
        <v>1</v>
      </c>
    </row>
    <row r="37" spans="2:9" x14ac:dyDescent="0.25">
      <c r="B37" t="str">
        <f>'LED Cost Sheet'!A29</f>
        <v>SOUTH CLUB</v>
      </c>
      <c r="C37" s="53">
        <f>'LED Cost Sheet'!K29</f>
        <v>0</v>
      </c>
      <c r="D37" s="53">
        <f>'LED Cost Sheet'!J29</f>
        <v>0</v>
      </c>
      <c r="E37">
        <f>'LED Cost Sheet'!L29</f>
        <v>1</v>
      </c>
      <c r="F37" s="53">
        <f>C37*D37*E37</f>
        <v>878750</v>
      </c>
      <c r="G37">
        <f>IFERROR(CEILING(F37/650000,1),0)</f>
        <v>2</v>
      </c>
      <c r="H37" t="str">
        <f>IF(G37&gt;8,"MCTRL4K","660 Pro")</f>
        <v>660 Pro</v>
      </c>
      <c r="I37">
        <f>IFERROR(CEILING(G37/IF(G37&gt;8,16,8),1),0)</f>
        <v>1</v>
      </c>
    </row>
    <row r="38" spans="1:9" x14ac:dyDescent="0.25">
      <c r="A38" s="33"/>
      <c r="B38" s="33" t="str">
        <f>'LED Cost Sheet'!A30</f>
        <v>ELEV LOBBY</v>
      </c>
      <c r="C38" s="46">
        <f>'LED Cost Sheet'!K30</f>
        <v>0</v>
      </c>
      <c r="D38" s="46">
        <f>'LED Cost Sheet'!J30</f>
        <v>0</v>
      </c>
      <c r="E38" s="33">
        <f>'LED Cost Sheet'!L30</f>
        <v>1</v>
      </c>
      <c r="F38" s="46">
        <f>C38*D38*E38</f>
        <v>146797</v>
      </c>
      <c r="G38" s="33">
        <f>IFERROR(CEILING(F38/650000,1),0)</f>
        <v>1</v>
      </c>
      <c r="H38" s="33" t="str">
        <f>IF(G38&gt;8,"MCTRL4K","660 Pro")</f>
        <v>660 Pro</v>
      </c>
      <c r="I38" s="33">
        <f>IFERROR(CEILING(G38/IF(G38&gt;8,16,8),1),0)</f>
        <v>1</v>
      </c>
    </row>
    <row r="39" spans="2:9" x14ac:dyDescent="0.25">
      <c r="B39" t="str">
        <f>'LED Cost Sheet'!A31</f>
        <v>ELEV LOBBY</v>
      </c>
      <c r="C39" s="53">
        <f>'LED Cost Sheet'!K31</f>
        <v>0</v>
      </c>
      <c r="D39" s="53">
        <f>'LED Cost Sheet'!J31</f>
        <v>0</v>
      </c>
      <c r="E39">
        <f>'LED Cost Sheet'!L31</f>
        <v>1</v>
      </c>
      <c r="F39" s="53">
        <f>C39*D39*E39</f>
        <v>146797</v>
      </c>
      <c r="G39">
        <f>IFERROR(CEILING(F39/650000,1),0)</f>
        <v>1</v>
      </c>
      <c r="H39" t="str">
        <f>IF(G39&gt;8,"MCTRL4K","660 Pro")</f>
        <v>660 Pro</v>
      </c>
      <c r="I39">
        <f>IFERROR(CEILING(G39/IF(G39&gt;8,16,8),1),0)</f>
        <v>1</v>
      </c>
    </row>
    <row r="40" spans="1:9" x14ac:dyDescent="0.25">
      <c r="A40" s="33"/>
      <c r="B40" s="33" t="str">
        <f>'LED Cost Sheet'!A32</f>
        <v>NORTH CLUB</v>
      </c>
      <c r="C40" s="46">
        <f>'LED Cost Sheet'!K32</f>
        <v>0</v>
      </c>
      <c r="D40" s="46">
        <f>'LED Cost Sheet'!J32</f>
        <v>0</v>
      </c>
      <c r="E40" s="33">
        <f>'LED Cost Sheet'!L32</f>
        <v>1</v>
      </c>
      <c r="F40" s="46">
        <f>C40*D40*E40</f>
        <v>878750</v>
      </c>
      <c r="G40" s="33">
        <f>IFERROR(CEILING(F40/650000,1),0)</f>
        <v>2</v>
      </c>
      <c r="H40" s="33" t="str">
        <f>IF(G40&gt;8,"MCTRL4K","660 Pro")</f>
        <v>660 Pro</v>
      </c>
      <c r="I40" s="33">
        <f>IFERROR(CEILING(G40/IF(G40&gt;8,16,8),1),0)</f>
        <v>1</v>
      </c>
    </row>
    <row r="41" spans="2:9" x14ac:dyDescent="0.25">
      <c r="B41" t="str">
        <f>'LED Cost Sheet'!A33</f>
        <v>RIBBON NW</v>
      </c>
      <c r="C41" s="53">
        <f>'LED Cost Sheet'!K33</f>
        <v>0</v>
      </c>
      <c r="D41" s="53">
        <f>'LED Cost Sheet'!J33</f>
        <v>0</v>
      </c>
      <c r="E41">
        <f>'LED Cost Sheet'!L33</f>
        <v>1</v>
      </c>
      <c r="F41" s="53">
        <f>C41*D41*E41</f>
        <v>55510</v>
      </c>
      <c r="G41">
        <f>IFERROR(CEILING(F41/650000,1),0)</f>
        <v>1</v>
      </c>
      <c r="H41" t="str">
        <f>IF(G41&gt;8,"MCTRL4K","660 Pro")</f>
        <v>660 Pro</v>
      </c>
      <c r="I41">
        <f>IFERROR(CEILING(G41/IF(G41&gt;8,16,8),1),0)</f>
        <v>1</v>
      </c>
    </row>
    <row r="42" spans="1:9" x14ac:dyDescent="0.25">
      <c r="A42" s="33"/>
      <c r="B42" s="33" t="str">
        <f>'LED Cost Sheet'!A34</f>
        <v>RIBBON NW</v>
      </c>
      <c r="C42" s="46">
        <f>'LED Cost Sheet'!K34</f>
        <v>0</v>
      </c>
      <c r="D42" s="46">
        <f>'LED Cost Sheet'!J34</f>
        <v>0</v>
      </c>
      <c r="E42" s="33">
        <f>'LED Cost Sheet'!L34</f>
        <v>1</v>
      </c>
      <c r="F42" s="46">
        <f>C42*D42*E42</f>
        <v>56875</v>
      </c>
      <c r="G42" s="33">
        <f>IFERROR(CEILING(F42/650000,1),0)</f>
        <v>1</v>
      </c>
      <c r="H42" s="33" t="str">
        <f>IF(G42&gt;8,"MCTRL4K","660 Pro")</f>
        <v>660 Pro</v>
      </c>
      <c r="I42" s="33">
        <f>IFERROR(CEILING(G42/IF(G42&gt;8,16,8),1),0)</f>
        <v>1</v>
      </c>
    </row>
    <row r="43" spans="2:9" x14ac:dyDescent="0.25">
      <c r="B43" t="str">
        <f>'LED Cost Sheet'!A35</f>
        <v>RIBBON NW</v>
      </c>
      <c r="C43" s="53">
        <f>'LED Cost Sheet'!K35</f>
        <v>0</v>
      </c>
      <c r="D43" s="53">
        <f>'LED Cost Sheet'!J35</f>
        <v>0</v>
      </c>
      <c r="E43">
        <f>'LED Cost Sheet'!L35</f>
        <v>1</v>
      </c>
      <c r="F43" s="53">
        <f>C43*D43*E43</f>
        <v>97643</v>
      </c>
      <c r="G43">
        <f>IFERROR(CEILING(F43/650000,1),0)</f>
        <v>1</v>
      </c>
      <c r="H43" t="str">
        <f>IF(G43&gt;8,"MCTRL4K","660 Pro")</f>
        <v>660 Pro</v>
      </c>
      <c r="I43">
        <f>IFERROR(CEILING(G43/IF(G43&gt;8,16,8),1),0)</f>
        <v>1</v>
      </c>
    </row>
    <row r="44" spans="1:9" x14ac:dyDescent="0.25">
      <c r="A44" s="33"/>
      <c r="B44" s="33" t="str">
        <f>'LED Cost Sheet'!A36</f>
        <v>RIBBON NW</v>
      </c>
      <c r="C44" s="46">
        <f>'LED Cost Sheet'!K36</f>
        <v>0</v>
      </c>
      <c r="D44" s="46">
        <f>'LED Cost Sheet'!J36</f>
        <v>0</v>
      </c>
      <c r="E44" s="33">
        <f>'LED Cost Sheet'!L36</f>
        <v>1</v>
      </c>
      <c r="F44" s="46">
        <f>C44*D44*E44</f>
        <v>97916</v>
      </c>
      <c r="G44" s="33">
        <f>IFERROR(CEILING(F44/650000,1),0)</f>
        <v>1</v>
      </c>
      <c r="H44" s="33" t="str">
        <f>IF(G44&gt;8,"MCTRL4K","660 Pro")</f>
        <v>660 Pro</v>
      </c>
      <c r="I44" s="33">
        <f>IFERROR(CEILING(G44/IF(G44&gt;8,16,8),1),0)</f>
        <v>1</v>
      </c>
    </row>
    <row r="45" spans="2:9" x14ac:dyDescent="0.25">
      <c r="B45" t="str">
        <f>'LED Cost Sheet'!A37</f>
        <v>RIBBON SW</v>
      </c>
      <c r="C45" s="53">
        <f>'LED Cost Sheet'!K37</f>
        <v>0</v>
      </c>
      <c r="D45" s="53">
        <f>'LED Cost Sheet'!J37</f>
        <v>0</v>
      </c>
      <c r="E45">
        <f>'LED Cost Sheet'!L37</f>
        <v>1</v>
      </c>
      <c r="F45" s="53">
        <f>C45*D45*E45</f>
        <v>131638</v>
      </c>
      <c r="G45">
        <f>IFERROR(CEILING(F45/650000,1),0)</f>
        <v>1</v>
      </c>
      <c r="H45" t="str">
        <f>IF(G45&gt;8,"MCTRL4K","660 Pro")</f>
        <v>660 Pro</v>
      </c>
      <c r="I45">
        <f>IFERROR(CEILING(G45/IF(G45&gt;8,16,8),1),0)</f>
        <v>1</v>
      </c>
    </row>
    <row r="46" spans="1:9" x14ac:dyDescent="0.25">
      <c r="A46" s="33"/>
      <c r="B46" s="33" t="str">
        <f>'LED Cost Sheet'!A38</f>
        <v>RIBBON SW</v>
      </c>
      <c r="C46" s="46">
        <f>'LED Cost Sheet'!K38</f>
        <v>0</v>
      </c>
      <c r="D46" s="46">
        <f>'LED Cost Sheet'!J38</f>
        <v>0</v>
      </c>
      <c r="E46" s="33">
        <f>'LED Cost Sheet'!L38</f>
        <v>1</v>
      </c>
      <c r="F46" s="46">
        <f>C46*D46*E46</f>
        <v>76250</v>
      </c>
      <c r="G46" s="33">
        <f>IFERROR(CEILING(F46/650000,1),0)</f>
        <v>1</v>
      </c>
      <c r="H46" s="33" t="str">
        <f>IF(G46&gt;8,"MCTRL4K","660 Pro")</f>
        <v>660 Pro</v>
      </c>
      <c r="I46" s="33">
        <f>IFERROR(CEILING(G46/IF(G46&gt;8,16,8),1),0)</f>
        <v>1</v>
      </c>
    </row>
    <row r="47" spans="2:9" x14ac:dyDescent="0.25">
      <c r="B47" t="str">
        <f>'LED Cost Sheet'!A39</f>
        <v>RIBBON SW</v>
      </c>
      <c r="C47" s="53">
        <f>'LED Cost Sheet'!K39</f>
        <v>0</v>
      </c>
      <c r="D47" s="53">
        <f>'LED Cost Sheet'!J39</f>
        <v>0</v>
      </c>
      <c r="E47">
        <f>'LED Cost Sheet'!L39</f>
        <v>1</v>
      </c>
      <c r="F47" s="53">
        <f>C47*D47*E47</f>
        <v>130906</v>
      </c>
      <c r="G47">
        <f>IFERROR(CEILING(F47/650000,1),0)</f>
        <v>1</v>
      </c>
      <c r="H47" t="str">
        <f>IF(G47&gt;8,"MCTRL4K","660 Pro")</f>
        <v>660 Pro</v>
      </c>
      <c r="I47">
        <f>IFERROR(CEILING(G47/IF(G47&gt;8,16,8),1),0)</f>
        <v>1</v>
      </c>
    </row>
    <row r="48" spans="1:9" x14ac:dyDescent="0.25">
      <c r="A48" s="33"/>
      <c r="B48" s="33" t="str">
        <f>'LED Cost Sheet'!A40</f>
        <v>SCOREBOARD EAST</v>
      </c>
      <c r="C48" s="46">
        <f>'LED Cost Sheet'!K40</f>
        <v>0</v>
      </c>
      <c r="D48" s="46">
        <f>'LED Cost Sheet'!J40</f>
        <v>0</v>
      </c>
      <c r="E48" s="33">
        <f>'LED Cost Sheet'!L40</f>
        <v>1</v>
      </c>
      <c r="F48" s="46">
        <f>C48*D48*E48</f>
        <v>2296184</v>
      </c>
      <c r="G48" s="33">
        <f>IFERROR(CEILING(F48/650000,1),0)</f>
        <v>4</v>
      </c>
      <c r="H48" s="33" t="str">
        <f>IF(G48&gt;8,"MCTRL4K","660 Pro")</f>
        <v>660 Pro</v>
      </c>
      <c r="I48" s="33">
        <f>IFERROR(CEILING(G48/IF(G48&gt;8,16,8),1),0)</f>
        <v>1</v>
      </c>
    </row>
    <row r="49" spans="2:9" x14ac:dyDescent="0.25">
      <c r="B49" t="str">
        <f>'LED Cost Sheet'!A41</f>
        <v>SCOREBOARD WEST</v>
      </c>
      <c r="C49" s="53">
        <f>'LED Cost Sheet'!K41</f>
        <v>0</v>
      </c>
      <c r="D49" s="53">
        <f>'LED Cost Sheet'!J41</f>
        <v>0</v>
      </c>
      <c r="E49">
        <f>'LED Cost Sheet'!L41</f>
        <v>1</v>
      </c>
      <c r="F49" s="53">
        <f>C49*D49*E49</f>
        <v>16391254</v>
      </c>
      <c r="G49">
        <f>IFERROR(CEILING(F49/650000,1),0)</f>
        <v>26</v>
      </c>
      <c r="H49" t="str">
        <f>IF(G49&gt;8,"MCTRL4K","660 Pro")</f>
        <v>MCTRL4K</v>
      </c>
      <c r="I49">
        <f>IFERROR(CEILING(G49/IF(G49&gt;8,16,8),1),0)</f>
        <v>2</v>
      </c>
    </row>
    <row r="50" spans="1:9" x14ac:dyDescent="0.25">
      <c r="A50" s="33"/>
      <c r="B50" s="33" t="str">
        <f>'LED Cost Sheet'!A42</f>
        <v>EAST ENTRY A</v>
      </c>
      <c r="C50" s="46">
        <f>'LED Cost Sheet'!K42</f>
        <v>0</v>
      </c>
      <c r="D50" s="46">
        <f>'LED Cost Sheet'!J42</f>
        <v>0</v>
      </c>
      <c r="E50" s="33">
        <f>'LED Cost Sheet'!L42</f>
        <v>1</v>
      </c>
      <c r="F50" s="46">
        <f>C50*D50*E50</f>
        <v>441854</v>
      </c>
      <c r="G50" s="33">
        <f>IFERROR(CEILING(F50/650000,1),0)</f>
        <v>1</v>
      </c>
      <c r="H50" s="33" t="str">
        <f>IF(G50&gt;8,"MCTRL4K","660 Pro")</f>
        <v>660 Pro</v>
      </c>
      <c r="I50" s="33">
        <f>IFERROR(CEILING(G50/IF(G50&gt;8,16,8),1),0)</f>
        <v>1</v>
      </c>
    </row>
    <row r="51" spans="2:9" x14ac:dyDescent="0.25">
      <c r="B51" t="str">
        <f>'LED Cost Sheet'!A43</f>
        <v>EAST ENTRY B</v>
      </c>
      <c r="C51" s="53">
        <f>'LED Cost Sheet'!K43</f>
        <v>0</v>
      </c>
      <c r="D51" s="53">
        <f>'LED Cost Sheet'!J43</f>
        <v>0</v>
      </c>
      <c r="E51">
        <f>'LED Cost Sheet'!L43</f>
        <v>1</v>
      </c>
      <c r="F51" s="53">
        <f>C51*D51*E51</f>
        <v>472216</v>
      </c>
      <c r="G51">
        <f>IFERROR(CEILING(F51/650000,1),0)</f>
        <v>1</v>
      </c>
      <c r="H51" t="str">
        <f>IF(G51&gt;8,"MCTRL4K","660 Pro")</f>
        <v>660 Pro</v>
      </c>
      <c r="I51">
        <f>IFERROR(CEILING(G51/IF(G51&gt;8,16,8),1),0)</f>
        <v>1</v>
      </c>
    </row>
    <row r="52" spans="1:9" x14ac:dyDescent="0.25">
      <c r="A52" s="33"/>
      <c r="B52" s="33" t="str">
        <f>'LED Cost Sheet'!A44</f>
        <v>EAST ENTRY C</v>
      </c>
      <c r="C52" s="46">
        <f>'LED Cost Sheet'!K44</f>
        <v>0</v>
      </c>
      <c r="D52" s="46">
        <f>'LED Cost Sheet'!J44</f>
        <v>0</v>
      </c>
      <c r="E52" s="33">
        <f>'LED Cost Sheet'!L44</f>
        <v>1</v>
      </c>
      <c r="F52" s="46">
        <f>C52*D52*E52</f>
        <v>126496</v>
      </c>
      <c r="G52" s="33">
        <f>IFERROR(CEILING(F52/650000,1),0)</f>
        <v>1</v>
      </c>
      <c r="H52" s="33" t="str">
        <f>IF(G52&gt;8,"MCTRL4K","660 Pro")</f>
        <v>660 Pro</v>
      </c>
      <c r="I52" s="33">
        <f>IFERROR(CEILING(G52/IF(G52&gt;8,16,8),1),0)</f>
        <v>1</v>
      </c>
    </row>
    <row r="53" spans="2:9" x14ac:dyDescent="0.25">
      <c r="B53" t="str">
        <f>'LED Cost Sheet'!A45</f>
        <v>EAST ENTRY D</v>
      </c>
      <c r="C53" s="53">
        <f>'LED Cost Sheet'!K45</f>
        <v>0</v>
      </c>
      <c r="D53" s="53">
        <f>'LED Cost Sheet'!J45</f>
        <v>0</v>
      </c>
      <c r="E53">
        <f>'LED Cost Sheet'!L45</f>
        <v>1</v>
      </c>
      <c r="F53" s="53">
        <f>C53*D53*E53</f>
        <v>257004</v>
      </c>
      <c r="G53">
        <f>IFERROR(CEILING(F53/650000,1),0)</f>
        <v>1</v>
      </c>
      <c r="H53" t="str">
        <f>IF(G53&gt;8,"MCTRL4K","660 Pro")</f>
        <v>660 Pro</v>
      </c>
      <c r="I53">
        <f>IFERROR(CEILING(G53/IF(G53&gt;8,16,8),1),0)</f>
        <v>1</v>
      </c>
    </row>
    <row r="54" spans="1:9" x14ac:dyDescent="0.25">
      <c r="A54" s="33"/>
      <c r="B54" s="33" t="str">
        <f>'LED Cost Sheet'!A46</f>
        <v>NORTH EAST EXTERIOR NE</v>
      </c>
      <c r="C54" s="46">
        <f>'LED Cost Sheet'!K46</f>
        <v>0</v>
      </c>
      <c r="D54" s="46">
        <f>'LED Cost Sheet'!J46</f>
        <v>0</v>
      </c>
      <c r="E54" s="33">
        <f>'LED Cost Sheet'!L46</f>
        <v>1</v>
      </c>
      <c r="F54" s="46">
        <f>C54*D54*E54</f>
        <v>12036</v>
      </c>
      <c r="G54" s="33">
        <f>IFERROR(CEILING(F54/650000,1),0)</f>
        <v>1</v>
      </c>
      <c r="H54" s="33" t="str">
        <f>IF(G54&gt;8,"MCTRL4K","660 Pro")</f>
        <v>660 Pro</v>
      </c>
      <c r="I54" s="33">
        <f>IFERROR(CEILING(G54/IF(G54&gt;8,16,8),1),0)</f>
        <v>1</v>
      </c>
    </row>
    <row r="55" spans="2:9" x14ac:dyDescent="0.25">
      <c r="B55" t="str">
        <f>'LED Cost Sheet'!A47</f>
        <v>NORTH ENTRY C</v>
      </c>
      <c r="C55" s="53">
        <f>'LED Cost Sheet'!K47</f>
        <v>0</v>
      </c>
      <c r="D55" s="53">
        <f>'LED Cost Sheet'!J47</f>
        <v>0</v>
      </c>
      <c r="E55">
        <f>'LED Cost Sheet'!L47</f>
        <v>1</v>
      </c>
      <c r="F55" s="53">
        <f>C55*D55*E55</f>
        <v>949872</v>
      </c>
      <c r="G55">
        <f>IFERROR(CEILING(F55/650000,1),0)</f>
        <v>2</v>
      </c>
      <c r="H55" t="str">
        <f>IF(G55&gt;8,"MCTRL4K","660 Pro")</f>
        <v>660 Pro</v>
      </c>
      <c r="I55">
        <f>IFERROR(CEILING(G55/IF(G55&gt;8,16,8),1),0)</f>
        <v>1</v>
      </c>
    </row>
    <row r="56" spans="1:9" x14ac:dyDescent="0.25">
      <c r="A56" s="33"/>
      <c r="B56" s="33" t="str">
        <f>'LED Cost Sheet'!A48</f>
        <v>NORTH ENTRY C</v>
      </c>
      <c r="C56" s="46">
        <f>'LED Cost Sheet'!K48</f>
        <v>0</v>
      </c>
      <c r="D56" s="46">
        <f>'LED Cost Sheet'!J48</f>
        <v>0</v>
      </c>
      <c r="E56" s="33">
        <f>'LED Cost Sheet'!L48</f>
        <v>1</v>
      </c>
      <c r="F56" s="46">
        <f>C56*D56*E56</f>
        <v>87087</v>
      </c>
      <c r="G56" s="33">
        <f>IFERROR(CEILING(F56/650000,1),0)</f>
        <v>1</v>
      </c>
      <c r="H56" s="33" t="str">
        <f>IF(G56&gt;8,"MCTRL4K","660 Pro")</f>
        <v>660 Pro</v>
      </c>
      <c r="I56" s="33">
        <f>IFERROR(CEILING(G56/IF(G56&gt;8,16,8),1),0)</f>
        <v>1</v>
      </c>
    </row>
    <row r="57" spans="2:9" x14ac:dyDescent="0.25">
      <c r="B57" t="str">
        <f>'LED Cost Sheet'!A49</f>
        <v>NORTH ENTRY C</v>
      </c>
      <c r="C57" s="53">
        <f>'LED Cost Sheet'!K49</f>
        <v>0</v>
      </c>
      <c r="D57" s="53">
        <f>'LED Cost Sheet'!J49</f>
        <v>0</v>
      </c>
      <c r="E57">
        <f>'LED Cost Sheet'!L49</f>
        <v>1</v>
      </c>
      <c r="F57" s="53">
        <f>C57*D57*E57</f>
        <v>122130</v>
      </c>
      <c r="G57">
        <f>IFERROR(CEILING(F57/650000,1),0)</f>
        <v>1</v>
      </c>
      <c r="H57" t="str">
        <f>IF(G57&gt;8,"MCTRL4K","660 Pro")</f>
        <v>660 Pro</v>
      </c>
      <c r="I57">
        <f>IFERROR(CEILING(G57/IF(G57&gt;8,16,8),1),0)</f>
        <v>1</v>
      </c>
    </row>
    <row r="58" spans="1:9" x14ac:dyDescent="0.25">
      <c r="A58" s="33"/>
      <c r="B58" s="33" t="str">
        <f>'LED Cost Sheet'!A50</f>
        <v>SOUTH EAST EXTERIOR SE</v>
      </c>
      <c r="C58" s="46">
        <f>'LED Cost Sheet'!K50</f>
        <v>0</v>
      </c>
      <c r="D58" s="46">
        <f>'LED Cost Sheet'!J50</f>
        <v>0</v>
      </c>
      <c r="E58" s="33">
        <f>'LED Cost Sheet'!L50</f>
        <v>1</v>
      </c>
      <c r="F58" s="46">
        <f>C58*D58*E58</f>
        <v>1597375</v>
      </c>
      <c r="G58" s="33">
        <f>IFERROR(CEILING(F58/650000,1),0)</f>
        <v>3</v>
      </c>
      <c r="H58" s="33" t="str">
        <f>IF(G58&gt;8,"MCTRL4K","660 Pro")</f>
        <v>660 Pro</v>
      </c>
      <c r="I58" s="33">
        <f>IFERROR(CEILING(G58/IF(G58&gt;8,16,8),1),0)</f>
        <v>1</v>
      </c>
    </row>
    <row r="59" spans="1:9" x14ac:dyDescent="0.25">
      <c r="A59" s="56"/>
      <c r="B59" s="56" t="s">
        <v>227</v>
      </c>
      <c r="C59" s="56"/>
      <c r="D59" s="56"/>
      <c r="E59" s="56"/>
      <c r="F59" s="57">
        <f>SUM(F12:F58)</f>
        <v>72247341</v>
      </c>
      <c r="G59" s="56">
        <f>SUM(G12:G58)</f>
        <v>143</v>
      </c>
      <c r="H59" s="56"/>
      <c r="I59" s="56">
        <f>SUM(I12:I58)</f>
        <v>48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H296"/>
  <sheetFormatPr defaultRowHeight="15" outlineLevelRow="0" outlineLevelCol="0" x14ac:dyDescent="55"/>
  <cols>
    <col min="1" max="1" width="18" customWidth="1"/>
    <col min="2" max="2" width="30" customWidth="1"/>
    <col min="3" max="3" width="14" customWidth="1"/>
    <col min="4" max="4" width="12" customWidth="1"/>
    <col min="5" max="5" width="14" customWidth="1"/>
    <col min="6" max="6" width="12" customWidth="1"/>
    <col min="7" max="8" width="14" customWidth="1"/>
  </cols>
  <sheetData>
    <row r="1" ht="36" customHeight="1" spans="1:4" x14ac:dyDescent="0.25">
      <c r="A1" s="1" t="s">
        <v>228</v>
      </c>
      <c r="B1" s="1"/>
      <c r="C1" s="1"/>
      <c r="D1" s="1"/>
    </row>
    <row r="2" spans="1:4" x14ac:dyDescent="0.25">
      <c r="A2" s="2" t="s">
        <v>229</v>
      </c>
      <c r="B2" s="2"/>
      <c r="C2" s="2"/>
      <c r="D2" s="2"/>
    </row>
    <row r="6" ht="28" customHeight="1" spans="1:8" x14ac:dyDescent="0.25">
      <c r="A6" s="25" t="s">
        <v>90</v>
      </c>
      <c r="B6" s="25" t="s">
        <v>230</v>
      </c>
      <c r="C6" s="25" t="s">
        <v>37</v>
      </c>
      <c r="D6" s="25" t="s">
        <v>115</v>
      </c>
      <c r="E6" s="25" t="s">
        <v>29</v>
      </c>
      <c r="F6" s="25" t="s">
        <v>231</v>
      </c>
      <c r="G6" s="25" t="s">
        <v>38</v>
      </c>
      <c r="H6" s="25" t="s">
        <v>39</v>
      </c>
    </row>
    <row r="7" spans="1:1" s="33" customFormat="1" x14ac:dyDescent="0.25">
      <c r="A7" s="41" t="s">
        <v>41</v>
      </c>
    </row>
    <row r="8" spans="1:8" x14ac:dyDescent="0.25">
      <c r="A8" s="33" t="s">
        <v>232</v>
      </c>
      <c r="B8" s="33" t="s">
        <v>233</v>
      </c>
      <c r="C8" s="66">
        <v>8400</v>
      </c>
      <c r="D8" s="47">
        <v>1</v>
      </c>
      <c r="E8" s="34">
        <f>C8*D8</f>
        <v>8400</v>
      </c>
      <c r="F8" s="70">
        <v>0.15</v>
      </c>
      <c r="G8" s="34">
        <f>IFERROR(E8/(1-F8),0)</f>
        <v>9882.35</v>
      </c>
      <c r="H8" s="34">
        <f>IFERROR(G8-E8,0)</f>
        <v>1482.35</v>
      </c>
    </row>
    <row r="9" spans="1:8" x14ac:dyDescent="0.25">
      <c r="A9" t="s">
        <v>232</v>
      </c>
      <c r="B9" t="s">
        <v>234</v>
      </c>
      <c r="C9" s="67">
        <v>576</v>
      </c>
      <c r="D9" s="54">
        <v>1</v>
      </c>
      <c r="E9" s="20">
        <f>C9*D9</f>
        <v>576</v>
      </c>
      <c r="F9" s="21">
        <v>0.15</v>
      </c>
      <c r="G9" s="20">
        <f>IFERROR(E9/(1-F9),0)</f>
        <v>677.65</v>
      </c>
      <c r="H9" s="20">
        <f>IFERROR(G9-E9,0)</f>
        <v>101.65</v>
      </c>
    </row>
    <row r="10" spans="1:8" x14ac:dyDescent="0.25">
      <c r="A10" s="33" t="s">
        <v>232</v>
      </c>
      <c r="B10" s="33" t="s">
        <v>235</v>
      </c>
      <c r="C10" s="66">
        <v>2500</v>
      </c>
      <c r="D10" s="47">
        <v>1</v>
      </c>
      <c r="E10" s="34">
        <f>C10*D10</f>
        <v>2500</v>
      </c>
      <c r="F10" s="70">
        <v>0.15</v>
      </c>
      <c r="G10" s="34">
        <f>IFERROR(E10/(1-F10),0)</f>
        <v>2941.18</v>
      </c>
      <c r="H10" s="34">
        <f>IFERROR(G10-E10,0)</f>
        <v>441.18</v>
      </c>
    </row>
    <row r="11" spans="1:8" x14ac:dyDescent="0.25">
      <c r="A11" t="s">
        <v>232</v>
      </c>
      <c r="B11" t="s">
        <v>236</v>
      </c>
      <c r="C11" s="67">
        <v>12000</v>
      </c>
      <c r="D11" s="54">
        <v>1</v>
      </c>
      <c r="E11" s="20">
        <f>C11*D11</f>
        <v>12000</v>
      </c>
      <c r="F11" s="21">
        <v>0.15</v>
      </c>
      <c r="G11" s="20">
        <f>IFERROR(E11/(1-F11),0)</f>
        <v>14117.65</v>
      </c>
      <c r="H11" s="20">
        <f>IFERROR(G11-E11,0)</f>
        <v>2117.65</v>
      </c>
    </row>
    <row r="12" spans="2:8" x14ac:dyDescent="0.25">
      <c r="B12" s="26" t="s">
        <v>237</v>
      </c>
      <c r="E12" s="55">
        <f>SUM(E8:E11)</f>
        <v>23476</v>
      </c>
      <c r="G12" s="20">
        <f>SUM(G8:G11)</f>
        <v>27618.83</v>
      </c>
      <c r="H12" s="20">
        <f>IFERROR(G12-E12,0)</f>
        <v>4142.83</v>
      </c>
    </row>
    <row r="14" spans="1:1" s="33" customFormat="1" x14ac:dyDescent="0.25">
      <c r="A14" s="41" t="s">
        <v>53</v>
      </c>
    </row>
    <row r="15" spans="1:8" x14ac:dyDescent="0.25">
      <c r="A15" t="s">
        <v>232</v>
      </c>
      <c r="B15" t="s">
        <v>233</v>
      </c>
      <c r="C15" s="67">
        <v>450</v>
      </c>
      <c r="D15" s="54">
        <v>1</v>
      </c>
      <c r="E15" s="20">
        <f>C15*D15</f>
        <v>450</v>
      </c>
      <c r="F15" s="21">
        <v>0.15</v>
      </c>
      <c r="G15" s="20">
        <f>IFERROR(E15/(1-F15),0)</f>
        <v>529.41</v>
      </c>
      <c r="H15" s="20">
        <f>IFERROR(G15-E15,0)</f>
        <v>79.41</v>
      </c>
    </row>
    <row r="16" spans="1:8" x14ac:dyDescent="0.25">
      <c r="A16" s="33" t="s">
        <v>232</v>
      </c>
      <c r="B16" s="33" t="s">
        <v>234</v>
      </c>
      <c r="C16" s="66">
        <v>360</v>
      </c>
      <c r="D16" s="47">
        <v>1</v>
      </c>
      <c r="E16" s="34">
        <f>C16*D16</f>
        <v>360</v>
      </c>
      <c r="F16" s="70">
        <v>0.15</v>
      </c>
      <c r="G16" s="34">
        <f>IFERROR(E16/(1-F16),0)</f>
        <v>423.53</v>
      </c>
      <c r="H16" s="34">
        <f>IFERROR(G16-E16,0)</f>
        <v>63.53</v>
      </c>
    </row>
    <row r="17" spans="1:8" x14ac:dyDescent="0.25">
      <c r="A17" t="s">
        <v>232</v>
      </c>
      <c r="B17" t="s">
        <v>235</v>
      </c>
      <c r="C17" s="67">
        <v>2500</v>
      </c>
      <c r="D17" s="54">
        <v>1</v>
      </c>
      <c r="E17" s="20">
        <f>C17*D17</f>
        <v>2500</v>
      </c>
      <c r="F17" s="21">
        <v>0.15</v>
      </c>
      <c r="G17" s="20">
        <f>IFERROR(E17/(1-F17),0)</f>
        <v>2941.18</v>
      </c>
      <c r="H17" s="20">
        <f>IFERROR(G17-E17,0)</f>
        <v>441.18</v>
      </c>
    </row>
    <row r="18" spans="1:8" x14ac:dyDescent="0.25">
      <c r="A18" s="33" t="s">
        <v>232</v>
      </c>
      <c r="B18" s="33" t="s">
        <v>236</v>
      </c>
      <c r="C18" s="66">
        <v>12000</v>
      </c>
      <c r="D18" s="47">
        <v>1</v>
      </c>
      <c r="E18" s="34">
        <f>C18*D18</f>
        <v>12000</v>
      </c>
      <c r="F18" s="70">
        <v>0.15</v>
      </c>
      <c r="G18" s="34">
        <f>IFERROR(E18/(1-F18),0)</f>
        <v>14117.65</v>
      </c>
      <c r="H18" s="34">
        <f>IFERROR(G18-E18,0)</f>
        <v>2117.65</v>
      </c>
    </row>
    <row r="19" spans="2:8" x14ac:dyDescent="0.25">
      <c r="B19" s="26" t="s">
        <v>237</v>
      </c>
      <c r="E19" s="55">
        <f>SUM(E15:E18)</f>
        <v>15310</v>
      </c>
      <c r="G19" s="20">
        <f>SUM(G15:G18)</f>
        <v>18011.77</v>
      </c>
      <c r="H19" s="20">
        <f>IFERROR(G19-E19,0)</f>
        <v>2701.7700000000004</v>
      </c>
    </row>
    <row r="21" spans="1:1" s="33" customFormat="1" x14ac:dyDescent="0.25">
      <c r="A21" s="41" t="s">
        <v>54</v>
      </c>
    </row>
    <row r="22" spans="1:8" x14ac:dyDescent="0.25">
      <c r="A22" s="33" t="s">
        <v>232</v>
      </c>
      <c r="B22" s="33" t="s">
        <v>233</v>
      </c>
      <c r="C22" s="66">
        <v>450</v>
      </c>
      <c r="D22" s="47">
        <v>1</v>
      </c>
      <c r="E22" s="34">
        <f>C22*D22</f>
        <v>450</v>
      </c>
      <c r="F22" s="70">
        <v>0.15</v>
      </c>
      <c r="G22" s="34">
        <f>IFERROR(E22/(1-F22),0)</f>
        <v>529.41</v>
      </c>
      <c r="H22" s="34">
        <f>IFERROR(G22-E22,0)</f>
        <v>79.41</v>
      </c>
    </row>
    <row r="23" spans="1:8" x14ac:dyDescent="0.25">
      <c r="A23" t="s">
        <v>232</v>
      </c>
      <c r="B23" t="s">
        <v>234</v>
      </c>
      <c r="C23" s="67">
        <v>67.2</v>
      </c>
      <c r="D23" s="54">
        <v>1</v>
      </c>
      <c r="E23" s="20">
        <f>C23*D23</f>
        <v>67.2</v>
      </c>
      <c r="F23" s="21">
        <v>0.15</v>
      </c>
      <c r="G23" s="20">
        <f>IFERROR(E23/(1-F23),0)</f>
        <v>79.06</v>
      </c>
      <c r="H23" s="20">
        <f>IFERROR(G23-E23,0)</f>
        <v>11.86</v>
      </c>
    </row>
    <row r="24" spans="2:8" x14ac:dyDescent="0.25">
      <c r="B24" s="26" t="s">
        <v>237</v>
      </c>
      <c r="E24" s="55">
        <f>SUM(E22:E23)</f>
        <v>517.2</v>
      </c>
      <c r="G24" s="20">
        <f>SUM(G22:G23)</f>
        <v>608.47</v>
      </c>
      <c r="H24" s="20">
        <f>IFERROR(G24-E24,0)</f>
        <v>91.26999999999997</v>
      </c>
    </row>
    <row r="26" spans="1:1" s="33" customFormat="1" x14ac:dyDescent="0.25">
      <c r="A26" s="41" t="s">
        <v>55</v>
      </c>
    </row>
    <row r="27" spans="1:8" x14ac:dyDescent="0.25">
      <c r="A27" t="s">
        <v>232</v>
      </c>
      <c r="B27" t="s">
        <v>233</v>
      </c>
      <c r="C27" s="67">
        <v>450</v>
      </c>
      <c r="D27" s="54">
        <v>1</v>
      </c>
      <c r="E27" s="20">
        <f>C27*D27</f>
        <v>450</v>
      </c>
      <c r="F27" s="21">
        <v>0.15</v>
      </c>
      <c r="G27" s="20">
        <f>IFERROR(E27/(1-F27),0)</f>
        <v>529.41</v>
      </c>
      <c r="H27" s="20">
        <f>IFERROR(G27-E27,0)</f>
        <v>79.41</v>
      </c>
    </row>
    <row r="28" spans="1:8" x14ac:dyDescent="0.25">
      <c r="A28" s="33" t="s">
        <v>232</v>
      </c>
      <c r="B28" s="33" t="s">
        <v>234</v>
      </c>
      <c r="C28" s="66">
        <v>360</v>
      </c>
      <c r="D28" s="47">
        <v>1</v>
      </c>
      <c r="E28" s="34">
        <f>C28*D28</f>
        <v>360</v>
      </c>
      <c r="F28" s="70">
        <v>0.15</v>
      </c>
      <c r="G28" s="34">
        <f>IFERROR(E28/(1-F28),0)</f>
        <v>423.53</v>
      </c>
      <c r="H28" s="34">
        <f>IFERROR(G28-E28,0)</f>
        <v>63.53</v>
      </c>
    </row>
    <row r="29" spans="1:8" x14ac:dyDescent="0.25">
      <c r="A29" t="s">
        <v>232</v>
      </c>
      <c r="B29" t="s">
        <v>235</v>
      </c>
      <c r="C29" s="67">
        <v>2500</v>
      </c>
      <c r="D29" s="54">
        <v>1</v>
      </c>
      <c r="E29" s="20">
        <f>C29*D29</f>
        <v>2500</v>
      </c>
      <c r="F29" s="21">
        <v>0.15</v>
      </c>
      <c r="G29" s="20">
        <f>IFERROR(E29/(1-F29),0)</f>
        <v>2941.18</v>
      </c>
      <c r="H29" s="20">
        <f>IFERROR(G29-E29,0)</f>
        <v>441.18</v>
      </c>
    </row>
    <row r="30" spans="1:8" x14ac:dyDescent="0.25">
      <c r="A30" s="33" t="s">
        <v>232</v>
      </c>
      <c r="B30" s="33" t="s">
        <v>236</v>
      </c>
      <c r="C30" s="66">
        <v>12000</v>
      </c>
      <c r="D30" s="47">
        <v>1</v>
      </c>
      <c r="E30" s="34">
        <f>C30*D30</f>
        <v>12000</v>
      </c>
      <c r="F30" s="70">
        <v>0.15</v>
      </c>
      <c r="G30" s="34">
        <f>IFERROR(E30/(1-F30),0)</f>
        <v>14117.65</v>
      </c>
      <c r="H30" s="34">
        <f>IFERROR(G30-E30,0)</f>
        <v>2117.65</v>
      </c>
    </row>
    <row r="31" spans="2:8" x14ac:dyDescent="0.25">
      <c r="B31" s="26" t="s">
        <v>237</v>
      </c>
      <c r="E31" s="55">
        <f>SUM(E27:E30)</f>
        <v>15310</v>
      </c>
      <c r="G31" s="20">
        <f>SUM(G27:G30)</f>
        <v>18011.77</v>
      </c>
      <c r="H31" s="20">
        <f>IFERROR(G31-E31,0)</f>
        <v>2701.7700000000004</v>
      </c>
    </row>
    <row r="33" spans="1:1" s="33" customFormat="1" x14ac:dyDescent="0.25">
      <c r="A33" s="41" t="s">
        <v>56</v>
      </c>
    </row>
    <row r="34" spans="1:8" x14ac:dyDescent="0.25">
      <c r="A34" s="33" t="s">
        <v>232</v>
      </c>
      <c r="B34" s="33" t="s">
        <v>233</v>
      </c>
      <c r="C34" s="66">
        <v>450</v>
      </c>
      <c r="D34" s="47">
        <v>1</v>
      </c>
      <c r="E34" s="34">
        <f>C34*D34</f>
        <v>450</v>
      </c>
      <c r="F34" s="70">
        <v>0.15</v>
      </c>
      <c r="G34" s="34">
        <f>IFERROR(E34/(1-F34),0)</f>
        <v>529.41</v>
      </c>
      <c r="H34" s="34">
        <f>IFERROR(G34-E34,0)</f>
        <v>79.41</v>
      </c>
    </row>
    <row r="35" spans="1:8" x14ac:dyDescent="0.25">
      <c r="A35" t="s">
        <v>232</v>
      </c>
      <c r="B35" t="s">
        <v>234</v>
      </c>
      <c r="C35" s="67">
        <v>67.16</v>
      </c>
      <c r="D35" s="54">
        <v>1</v>
      </c>
      <c r="E35" s="20">
        <f>C35*D35</f>
        <v>67.16</v>
      </c>
      <c r="F35" s="21">
        <v>0.15</v>
      </c>
      <c r="G35" s="20">
        <f>IFERROR(E35/(1-F35),0)</f>
        <v>79.01</v>
      </c>
      <c r="H35" s="20">
        <f>IFERROR(G35-E35,0)</f>
        <v>11.85</v>
      </c>
    </row>
    <row r="36" spans="2:8" x14ac:dyDescent="0.25">
      <c r="B36" s="26" t="s">
        <v>237</v>
      </c>
      <c r="E36" s="55">
        <f>SUM(E34:E35)</f>
        <v>517.16</v>
      </c>
      <c r="G36" s="20">
        <f>SUM(G34:G35)</f>
        <v>608.42</v>
      </c>
      <c r="H36" s="20">
        <f>IFERROR(G36-E36,0)</f>
        <v>91.25999999999996</v>
      </c>
    </row>
    <row r="38" spans="1:1" s="33" customFormat="1" x14ac:dyDescent="0.25">
      <c r="A38" s="41" t="s">
        <v>57</v>
      </c>
    </row>
    <row r="39" spans="1:8" x14ac:dyDescent="0.25">
      <c r="A39" t="s">
        <v>232</v>
      </c>
      <c r="B39" t="s">
        <v>233</v>
      </c>
      <c r="C39" s="67">
        <v>450</v>
      </c>
      <c r="D39" s="54">
        <v>1</v>
      </c>
      <c r="E39" s="20">
        <f>C39*D39</f>
        <v>450</v>
      </c>
      <c r="F39" s="21">
        <v>0.15</v>
      </c>
      <c r="G39" s="20">
        <f>IFERROR(E39/(1-F39),0)</f>
        <v>529.41</v>
      </c>
      <c r="H39" s="20">
        <f>IFERROR(G39-E39,0)</f>
        <v>79.41</v>
      </c>
    </row>
    <row r="40" spans="1:8" x14ac:dyDescent="0.25">
      <c r="A40" s="33" t="s">
        <v>232</v>
      </c>
      <c r="B40" s="33" t="s">
        <v>234</v>
      </c>
      <c r="C40" s="66">
        <v>39.6</v>
      </c>
      <c r="D40" s="47">
        <v>1</v>
      </c>
      <c r="E40" s="34">
        <f>C40*D40</f>
        <v>39.6</v>
      </c>
      <c r="F40" s="70">
        <v>0.15</v>
      </c>
      <c r="G40" s="34">
        <f>IFERROR(E40/(1-F40),0)</f>
        <v>46.59</v>
      </c>
      <c r="H40" s="34">
        <f>IFERROR(G40-E40,0)</f>
        <v>6.99</v>
      </c>
    </row>
    <row r="41" spans="2:8" x14ac:dyDescent="0.25">
      <c r="B41" s="26" t="s">
        <v>237</v>
      </c>
      <c r="E41" s="55">
        <f>SUM(E39:E40)</f>
        <v>489.6</v>
      </c>
      <c r="G41" s="20">
        <f>SUM(G39:G40)</f>
        <v>576</v>
      </c>
      <c r="H41" s="20">
        <f>IFERROR(G41-E41,0)</f>
        <v>86.39999999999998</v>
      </c>
    </row>
    <row r="43" spans="1:1" s="33" customFormat="1" x14ac:dyDescent="0.25">
      <c r="A43" s="41" t="s">
        <v>58</v>
      </c>
    </row>
    <row r="44" spans="1:8" x14ac:dyDescent="0.25">
      <c r="A44" s="33" t="s">
        <v>232</v>
      </c>
      <c r="B44" s="33" t="s">
        <v>233</v>
      </c>
      <c r="C44" s="66">
        <v>8400</v>
      </c>
      <c r="D44" s="47">
        <v>1</v>
      </c>
      <c r="E44" s="34">
        <f>C44*D44</f>
        <v>8400</v>
      </c>
      <c r="F44" s="70">
        <v>0.15</v>
      </c>
      <c r="G44" s="34">
        <f>IFERROR(E44/(1-F44),0)</f>
        <v>9882.35</v>
      </c>
      <c r="H44" s="34">
        <f>IFERROR(G44-E44,0)</f>
        <v>1482.35</v>
      </c>
    </row>
    <row r="45" spans="1:8" x14ac:dyDescent="0.25">
      <c r="A45" t="s">
        <v>232</v>
      </c>
      <c r="B45" t="s">
        <v>234</v>
      </c>
      <c r="C45" s="67">
        <v>660</v>
      </c>
      <c r="D45" s="54">
        <v>1</v>
      </c>
      <c r="E45" s="20">
        <f>C45*D45</f>
        <v>660</v>
      </c>
      <c r="F45" s="21">
        <v>0.15</v>
      </c>
      <c r="G45" s="20">
        <f>IFERROR(E45/(1-F45),0)</f>
        <v>776.47</v>
      </c>
      <c r="H45" s="20">
        <f>IFERROR(G45-E45,0)</f>
        <v>116.47</v>
      </c>
    </row>
    <row r="46" spans="1:8" x14ac:dyDescent="0.25">
      <c r="A46" s="33" t="s">
        <v>232</v>
      </c>
      <c r="B46" s="33" t="s">
        <v>236</v>
      </c>
      <c r="C46" s="66">
        <v>12000</v>
      </c>
      <c r="D46" s="47">
        <v>1</v>
      </c>
      <c r="E46" s="34">
        <f>C46*D46</f>
        <v>12000</v>
      </c>
      <c r="F46" s="70">
        <v>0.15</v>
      </c>
      <c r="G46" s="34">
        <f>IFERROR(E46/(1-F46),0)</f>
        <v>14117.65</v>
      </c>
      <c r="H46" s="34">
        <f>IFERROR(G46-E46,0)</f>
        <v>2117.65</v>
      </c>
    </row>
    <row r="47" spans="2:8" x14ac:dyDescent="0.25">
      <c r="B47" s="26" t="s">
        <v>237</v>
      </c>
      <c r="E47" s="55">
        <f>SUM(E44:E46)</f>
        <v>21060</v>
      </c>
      <c r="G47" s="20">
        <f>SUM(G44:G46)</f>
        <v>24776.47</v>
      </c>
      <c r="H47" s="20">
        <f>IFERROR(G47-E47,0)</f>
        <v>3716.470000000001</v>
      </c>
    </row>
    <row r="49" spans="1:1" s="33" customFormat="1" x14ac:dyDescent="0.25">
      <c r="A49" s="41" t="s">
        <v>59</v>
      </c>
    </row>
    <row r="50" spans="1:8" x14ac:dyDescent="0.25">
      <c r="A50" s="33" t="s">
        <v>232</v>
      </c>
      <c r="B50" s="33" t="s">
        <v>233</v>
      </c>
      <c r="C50" s="66">
        <v>8400</v>
      </c>
      <c r="D50" s="47">
        <v>1</v>
      </c>
      <c r="E50" s="34">
        <f>C50*D50</f>
        <v>8400</v>
      </c>
      <c r="F50" s="70">
        <v>0.15</v>
      </c>
      <c r="G50" s="34">
        <f>IFERROR(E50/(1-F50),0)</f>
        <v>9882.35</v>
      </c>
      <c r="H50" s="34">
        <f>IFERROR(G50-E50,0)</f>
        <v>1482.35</v>
      </c>
    </row>
    <row r="51" spans="1:8" x14ac:dyDescent="0.25">
      <c r="A51" t="s">
        <v>232</v>
      </c>
      <c r="B51" t="s">
        <v>234</v>
      </c>
      <c r="C51" s="67">
        <v>561</v>
      </c>
      <c r="D51" s="54">
        <v>1</v>
      </c>
      <c r="E51" s="20">
        <f>C51*D51</f>
        <v>561</v>
      </c>
      <c r="F51" s="21">
        <v>0.15</v>
      </c>
      <c r="G51" s="20">
        <f>IFERROR(E51/(1-F51),0)</f>
        <v>660</v>
      </c>
      <c r="H51" s="20">
        <f>IFERROR(G51-E51,0)</f>
        <v>99</v>
      </c>
    </row>
    <row r="52" spans="1:8" x14ac:dyDescent="0.25">
      <c r="A52" s="33" t="s">
        <v>232</v>
      </c>
      <c r="B52" s="33" t="s">
        <v>236</v>
      </c>
      <c r="C52" s="66">
        <v>12000</v>
      </c>
      <c r="D52" s="47">
        <v>1</v>
      </c>
      <c r="E52" s="34">
        <f>C52*D52</f>
        <v>12000</v>
      </c>
      <c r="F52" s="70">
        <v>0.15</v>
      </c>
      <c r="G52" s="34">
        <f>IFERROR(E52/(1-F52),0)</f>
        <v>14117.65</v>
      </c>
      <c r="H52" s="34">
        <f>IFERROR(G52-E52,0)</f>
        <v>2117.65</v>
      </c>
    </row>
    <row r="53" spans="2:8" x14ac:dyDescent="0.25">
      <c r="B53" s="26" t="s">
        <v>237</v>
      </c>
      <c r="E53" s="55">
        <f>SUM(E50:E52)</f>
        <v>20961</v>
      </c>
      <c r="G53" s="20">
        <f>SUM(G50:G52)</f>
        <v>24660</v>
      </c>
      <c r="H53" s="20">
        <f>IFERROR(G53-E53,0)</f>
        <v>3699</v>
      </c>
    </row>
    <row r="55" spans="1:1" s="33" customFormat="1" x14ac:dyDescent="0.25">
      <c r="A55" s="41" t="s">
        <v>60</v>
      </c>
    </row>
    <row r="56" spans="1:8" x14ac:dyDescent="0.25">
      <c r="A56" s="33" t="s">
        <v>232</v>
      </c>
      <c r="B56" s="33" t="s">
        <v>233</v>
      </c>
      <c r="C56" s="66">
        <v>450</v>
      </c>
      <c r="D56" s="47">
        <v>1</v>
      </c>
      <c r="E56" s="34">
        <f>C56*D56</f>
        <v>450</v>
      </c>
      <c r="F56" s="70">
        <v>0.15</v>
      </c>
      <c r="G56" s="34">
        <f>IFERROR(E56/(1-F56),0)</f>
        <v>529.41</v>
      </c>
      <c r="H56" s="34">
        <f>IFERROR(G56-E56,0)</f>
        <v>79.41</v>
      </c>
    </row>
    <row r="57" spans="1:8" x14ac:dyDescent="0.25">
      <c r="A57" t="s">
        <v>232</v>
      </c>
      <c r="B57" t="s">
        <v>234</v>
      </c>
      <c r="C57" s="67">
        <v>204</v>
      </c>
      <c r="D57" s="54">
        <v>1</v>
      </c>
      <c r="E57" s="20">
        <f>C57*D57</f>
        <v>204</v>
      </c>
      <c r="F57" s="21">
        <v>0.15</v>
      </c>
      <c r="G57" s="20">
        <f>IFERROR(E57/(1-F57),0)</f>
        <v>240</v>
      </c>
      <c r="H57" s="20">
        <f>IFERROR(G57-E57,0)</f>
        <v>36</v>
      </c>
    </row>
    <row r="58" spans="1:8" x14ac:dyDescent="0.25">
      <c r="A58" s="33" t="s">
        <v>232</v>
      </c>
      <c r="B58" s="33" t="s">
        <v>236</v>
      </c>
      <c r="C58" s="66">
        <v>12000</v>
      </c>
      <c r="D58" s="47">
        <v>1</v>
      </c>
      <c r="E58" s="34">
        <f>C58*D58</f>
        <v>12000</v>
      </c>
      <c r="F58" s="70">
        <v>0.15</v>
      </c>
      <c r="G58" s="34">
        <f>IFERROR(E58/(1-F58),0)</f>
        <v>14117.65</v>
      </c>
      <c r="H58" s="34">
        <f>IFERROR(G58-E58,0)</f>
        <v>2117.65</v>
      </c>
    </row>
    <row r="59" spans="2:8" x14ac:dyDescent="0.25">
      <c r="B59" s="26" t="s">
        <v>237</v>
      </c>
      <c r="E59" s="55">
        <f>SUM(E56:E58)</f>
        <v>12654</v>
      </c>
      <c r="G59" s="20">
        <f>SUM(G56:G58)</f>
        <v>14887.06</v>
      </c>
      <c r="H59" s="20">
        <f>IFERROR(G59-E59,0)</f>
        <v>2233.0599999999995</v>
      </c>
    </row>
    <row r="61" spans="1:1" s="33" customFormat="1" x14ac:dyDescent="0.25">
      <c r="A61" s="41" t="s">
        <v>60</v>
      </c>
    </row>
    <row r="62" spans="1:8" x14ac:dyDescent="0.25">
      <c r="A62" s="33" t="s">
        <v>232</v>
      </c>
      <c r="B62" s="33" t="s">
        <v>233</v>
      </c>
      <c r="C62" s="66">
        <v>450</v>
      </c>
      <c r="D62" s="47">
        <v>1</v>
      </c>
      <c r="E62" s="34">
        <f>C62*D62</f>
        <v>450</v>
      </c>
      <c r="F62" s="70">
        <v>0.15</v>
      </c>
      <c r="G62" s="34">
        <f>IFERROR(E62/(1-F62),0)</f>
        <v>529.41</v>
      </c>
      <c r="H62" s="34">
        <f>IFERROR(G62-E62,0)</f>
        <v>79.41</v>
      </c>
    </row>
    <row r="63" spans="1:8" x14ac:dyDescent="0.25">
      <c r="A63" t="s">
        <v>232</v>
      </c>
      <c r="B63" t="s">
        <v>234</v>
      </c>
      <c r="C63" s="67">
        <v>204</v>
      </c>
      <c r="D63" s="54">
        <v>1</v>
      </c>
      <c r="E63" s="20">
        <f>C63*D63</f>
        <v>204</v>
      </c>
      <c r="F63" s="21">
        <v>0.15</v>
      </c>
      <c r="G63" s="20">
        <f>IFERROR(E63/(1-F63),0)</f>
        <v>240</v>
      </c>
      <c r="H63" s="20">
        <f>IFERROR(G63-E63,0)</f>
        <v>36</v>
      </c>
    </row>
    <row r="64" spans="1:8" x14ac:dyDescent="0.25">
      <c r="A64" s="33" t="s">
        <v>232</v>
      </c>
      <c r="B64" s="33" t="s">
        <v>236</v>
      </c>
      <c r="C64" s="66">
        <v>12000</v>
      </c>
      <c r="D64" s="47">
        <v>1</v>
      </c>
      <c r="E64" s="34">
        <f>C64*D64</f>
        <v>12000</v>
      </c>
      <c r="F64" s="70">
        <v>0.15</v>
      </c>
      <c r="G64" s="34">
        <f>IFERROR(E64/(1-F64),0)</f>
        <v>14117.65</v>
      </c>
      <c r="H64" s="34">
        <f>IFERROR(G64-E64,0)</f>
        <v>2117.65</v>
      </c>
    </row>
    <row r="65" spans="2:8" x14ac:dyDescent="0.25">
      <c r="B65" s="26" t="s">
        <v>237</v>
      </c>
      <c r="E65" s="55">
        <f>SUM(E62:E64)</f>
        <v>12654</v>
      </c>
      <c r="G65" s="20">
        <f>SUM(G62:G64)</f>
        <v>14887.06</v>
      </c>
      <c r="H65" s="20">
        <f>IFERROR(G65-E65,0)</f>
        <v>2233.0599999999995</v>
      </c>
    </row>
    <row r="67" spans="1:1" s="33" customFormat="1" x14ac:dyDescent="0.25">
      <c r="A67" s="41" t="s">
        <v>61</v>
      </c>
    </row>
    <row r="68" spans="1:8" x14ac:dyDescent="0.25">
      <c r="A68" s="33" t="s">
        <v>232</v>
      </c>
      <c r="B68" s="33" t="s">
        <v>233</v>
      </c>
      <c r="C68" s="66">
        <v>450</v>
      </c>
      <c r="D68" s="47">
        <v>1</v>
      </c>
      <c r="E68" s="34">
        <f>C68*D68</f>
        <v>450</v>
      </c>
      <c r="F68" s="70">
        <v>0.15</v>
      </c>
      <c r="G68" s="34">
        <f>IFERROR(E68/(1-F68),0)</f>
        <v>529.41</v>
      </c>
      <c r="H68" s="34">
        <f>IFERROR(G68-E68,0)</f>
        <v>79.41</v>
      </c>
    </row>
    <row r="69" spans="1:8" x14ac:dyDescent="0.25">
      <c r="A69" t="s">
        <v>232</v>
      </c>
      <c r="B69" t="s">
        <v>234</v>
      </c>
      <c r="C69" s="67">
        <v>216</v>
      </c>
      <c r="D69" s="54">
        <v>1</v>
      </c>
      <c r="E69" s="20">
        <f>C69*D69</f>
        <v>216</v>
      </c>
      <c r="F69" s="21">
        <v>0.15</v>
      </c>
      <c r="G69" s="20">
        <f>IFERROR(E69/(1-F69),0)</f>
        <v>254.12</v>
      </c>
      <c r="H69" s="20">
        <f>IFERROR(G69-E69,0)</f>
        <v>38.12</v>
      </c>
    </row>
    <row r="70" spans="1:8" x14ac:dyDescent="0.25">
      <c r="A70" s="33" t="s">
        <v>232</v>
      </c>
      <c r="B70" s="33" t="s">
        <v>236</v>
      </c>
      <c r="C70" s="66">
        <v>12000</v>
      </c>
      <c r="D70" s="47">
        <v>1</v>
      </c>
      <c r="E70" s="34">
        <f>C70*D70</f>
        <v>12000</v>
      </c>
      <c r="F70" s="70">
        <v>0.15</v>
      </c>
      <c r="G70" s="34">
        <f>IFERROR(E70/(1-F70),0)</f>
        <v>14117.65</v>
      </c>
      <c r="H70" s="34">
        <f>IFERROR(G70-E70,0)</f>
        <v>2117.65</v>
      </c>
    </row>
    <row r="71" spans="2:8" x14ac:dyDescent="0.25">
      <c r="B71" s="26" t="s">
        <v>237</v>
      </c>
      <c r="E71" s="55">
        <f>SUM(E68:E70)</f>
        <v>12666</v>
      </c>
      <c r="G71" s="20">
        <f>SUM(G68:G70)</f>
        <v>14901.18</v>
      </c>
      <c r="H71" s="20">
        <f>IFERROR(G71-E71,0)</f>
        <v>2235.1800000000003</v>
      </c>
    </row>
    <row r="73" spans="1:1" s="33" customFormat="1" x14ac:dyDescent="0.25">
      <c r="A73" s="41" t="s">
        <v>62</v>
      </c>
    </row>
    <row r="74" spans="1:8" x14ac:dyDescent="0.25">
      <c r="A74" s="33" t="s">
        <v>232</v>
      </c>
      <c r="B74" s="33" t="s">
        <v>233</v>
      </c>
      <c r="C74" s="66">
        <v>450</v>
      </c>
      <c r="D74" s="47">
        <v>1</v>
      </c>
      <c r="E74" s="34">
        <f>C74*D74</f>
        <v>450</v>
      </c>
      <c r="F74" s="70">
        <v>0.15</v>
      </c>
      <c r="G74" s="34">
        <f>IFERROR(E74/(1-F74),0)</f>
        <v>529.41</v>
      </c>
      <c r="H74" s="34">
        <f>IFERROR(G74-E74,0)</f>
        <v>79.41</v>
      </c>
    </row>
    <row r="75" spans="1:8" x14ac:dyDescent="0.25">
      <c r="A75" t="s">
        <v>232</v>
      </c>
      <c r="B75" t="s">
        <v>234</v>
      </c>
      <c r="C75" s="67">
        <v>204</v>
      </c>
      <c r="D75" s="54">
        <v>1</v>
      </c>
      <c r="E75" s="20">
        <f>C75*D75</f>
        <v>204</v>
      </c>
      <c r="F75" s="21">
        <v>0.15</v>
      </c>
      <c r="G75" s="20">
        <f>IFERROR(E75/(1-F75),0)</f>
        <v>240</v>
      </c>
      <c r="H75" s="20">
        <f>IFERROR(G75-E75,0)</f>
        <v>36</v>
      </c>
    </row>
    <row r="76" spans="1:8" x14ac:dyDescent="0.25">
      <c r="A76" s="33" t="s">
        <v>232</v>
      </c>
      <c r="B76" s="33" t="s">
        <v>236</v>
      </c>
      <c r="C76" s="66">
        <v>12000</v>
      </c>
      <c r="D76" s="47">
        <v>1</v>
      </c>
      <c r="E76" s="34">
        <f>C76*D76</f>
        <v>12000</v>
      </c>
      <c r="F76" s="70">
        <v>0.15</v>
      </c>
      <c r="G76" s="34">
        <f>IFERROR(E76/(1-F76),0)</f>
        <v>14117.65</v>
      </c>
      <c r="H76" s="34">
        <f>IFERROR(G76-E76,0)</f>
        <v>2117.65</v>
      </c>
    </row>
    <row r="77" spans="2:8" x14ac:dyDescent="0.25">
      <c r="B77" s="26" t="s">
        <v>237</v>
      </c>
      <c r="E77" s="55">
        <f>SUM(E74:E76)</f>
        <v>12654</v>
      </c>
      <c r="G77" s="20">
        <f>SUM(G74:G76)</f>
        <v>14887.06</v>
      </c>
      <c r="H77" s="20">
        <f>IFERROR(G77-E77,0)</f>
        <v>2233.0599999999995</v>
      </c>
    </row>
    <row r="79" spans="1:1" s="33" customFormat="1" x14ac:dyDescent="0.25">
      <c r="A79" s="41" t="s">
        <v>62</v>
      </c>
    </row>
    <row r="80" spans="1:8" x14ac:dyDescent="0.25">
      <c r="A80" s="33" t="s">
        <v>232</v>
      </c>
      <c r="B80" s="33" t="s">
        <v>233</v>
      </c>
      <c r="C80" s="66">
        <v>450</v>
      </c>
      <c r="D80" s="47">
        <v>1</v>
      </c>
      <c r="E80" s="34">
        <f>C80*D80</f>
        <v>450</v>
      </c>
      <c r="F80" s="70">
        <v>0.15</v>
      </c>
      <c r="G80" s="34">
        <f>IFERROR(E80/(1-F80),0)</f>
        <v>529.41</v>
      </c>
      <c r="H80" s="34">
        <f>IFERROR(G80-E80,0)</f>
        <v>79.41</v>
      </c>
    </row>
    <row r="81" spans="1:8" x14ac:dyDescent="0.25">
      <c r="A81" t="s">
        <v>232</v>
      </c>
      <c r="B81" t="s">
        <v>234</v>
      </c>
      <c r="C81" s="67">
        <v>204</v>
      </c>
      <c r="D81" s="54">
        <v>1</v>
      </c>
      <c r="E81" s="20">
        <f>C81*D81</f>
        <v>204</v>
      </c>
      <c r="F81" s="21">
        <v>0.15</v>
      </c>
      <c r="G81" s="20">
        <f>IFERROR(E81/(1-F81),0)</f>
        <v>240</v>
      </c>
      <c r="H81" s="20">
        <f>IFERROR(G81-E81,0)</f>
        <v>36</v>
      </c>
    </row>
    <row r="82" spans="1:8" x14ac:dyDescent="0.25">
      <c r="A82" s="33" t="s">
        <v>232</v>
      </c>
      <c r="B82" s="33" t="s">
        <v>236</v>
      </c>
      <c r="C82" s="66">
        <v>12000</v>
      </c>
      <c r="D82" s="47">
        <v>1</v>
      </c>
      <c r="E82" s="34">
        <f>C82*D82</f>
        <v>12000</v>
      </c>
      <c r="F82" s="70">
        <v>0.15</v>
      </c>
      <c r="G82" s="34">
        <f>IFERROR(E82/(1-F82),0)</f>
        <v>14117.65</v>
      </c>
      <c r="H82" s="34">
        <f>IFERROR(G82-E82,0)</f>
        <v>2117.65</v>
      </c>
    </row>
    <row r="83" spans="2:8" x14ac:dyDescent="0.25">
      <c r="B83" s="26" t="s">
        <v>237</v>
      </c>
      <c r="E83" s="55">
        <f>SUM(E80:E82)</f>
        <v>12654</v>
      </c>
      <c r="G83" s="20">
        <f>SUM(G80:G82)</f>
        <v>14887.06</v>
      </c>
      <c r="H83" s="20">
        <f>IFERROR(G83-E83,0)</f>
        <v>2233.0599999999995</v>
      </c>
    </row>
    <row r="85" spans="1:1" s="33" customFormat="1" x14ac:dyDescent="0.25">
      <c r="A85" s="41" t="s">
        <v>63</v>
      </c>
    </row>
    <row r="86" spans="1:8" x14ac:dyDescent="0.25">
      <c r="A86" s="33" t="s">
        <v>232</v>
      </c>
      <c r="B86" s="33" t="s">
        <v>233</v>
      </c>
      <c r="C86" s="66">
        <v>450</v>
      </c>
      <c r="D86" s="47">
        <v>1</v>
      </c>
      <c r="E86" s="34">
        <f>C86*D86</f>
        <v>450</v>
      </c>
      <c r="F86" s="70">
        <v>0.15</v>
      </c>
      <c r="G86" s="34">
        <f>IFERROR(E86/(1-F86),0)</f>
        <v>529.41</v>
      </c>
      <c r="H86" s="34">
        <f>IFERROR(G86-E86,0)</f>
        <v>79.41</v>
      </c>
    </row>
    <row r="87" spans="1:8" x14ac:dyDescent="0.25">
      <c r="A87" t="s">
        <v>232</v>
      </c>
      <c r="B87" t="s">
        <v>234</v>
      </c>
      <c r="C87" s="67">
        <v>134.4</v>
      </c>
      <c r="D87" s="54">
        <v>1</v>
      </c>
      <c r="E87" s="20">
        <f>C87*D87</f>
        <v>134.4</v>
      </c>
      <c r="F87" s="21">
        <v>0.15</v>
      </c>
      <c r="G87" s="20">
        <f>IFERROR(E87/(1-F87),0)</f>
        <v>158.12</v>
      </c>
      <c r="H87" s="20">
        <f>IFERROR(G87-E87,0)</f>
        <v>23.72</v>
      </c>
    </row>
    <row r="88" spans="2:8" x14ac:dyDescent="0.25">
      <c r="B88" s="26" t="s">
        <v>237</v>
      </c>
      <c r="E88" s="55">
        <f>SUM(E86:E87)</f>
        <v>584.4</v>
      </c>
      <c r="G88" s="20">
        <f>SUM(G86:G87)</f>
        <v>687.53</v>
      </c>
      <c r="H88" s="20">
        <f>IFERROR(G88-E88,0)</f>
        <v>103.12999999999997</v>
      </c>
    </row>
    <row r="90" spans="1:1" s="33" customFormat="1" x14ac:dyDescent="0.25">
      <c r="A90" s="41" t="s">
        <v>64</v>
      </c>
    </row>
    <row r="91" spans="1:8" x14ac:dyDescent="0.25">
      <c r="A91" t="s">
        <v>232</v>
      </c>
      <c r="B91" t="s">
        <v>233</v>
      </c>
      <c r="C91" s="67">
        <v>450</v>
      </c>
      <c r="D91" s="54">
        <v>1</v>
      </c>
      <c r="E91" s="20">
        <f>C91*D91</f>
        <v>450</v>
      </c>
      <c r="F91" s="21">
        <v>0.15</v>
      </c>
      <c r="G91" s="20">
        <f>IFERROR(E91/(1-F91),0)</f>
        <v>529.41</v>
      </c>
      <c r="H91" s="20">
        <f>IFERROR(G91-E91,0)</f>
        <v>79.41</v>
      </c>
    </row>
    <row r="92" spans="1:8" x14ac:dyDescent="0.25">
      <c r="A92" s="33" t="s">
        <v>232</v>
      </c>
      <c r="B92" s="33" t="s">
        <v>234</v>
      </c>
      <c r="C92" s="66">
        <v>14.4</v>
      </c>
      <c r="D92" s="47">
        <v>1</v>
      </c>
      <c r="E92" s="34">
        <f>C92*D92</f>
        <v>14.4</v>
      </c>
      <c r="F92" s="70">
        <v>0.15</v>
      </c>
      <c r="G92" s="34">
        <f>IFERROR(E92/(1-F92),0)</f>
        <v>16.94</v>
      </c>
      <c r="H92" s="34">
        <f>IFERROR(G92-E92,0)</f>
        <v>2.54</v>
      </c>
    </row>
    <row r="93" spans="2:8" x14ac:dyDescent="0.25">
      <c r="B93" s="26" t="s">
        <v>237</v>
      </c>
      <c r="E93" s="55">
        <f>SUM(E91:E92)</f>
        <v>464.4</v>
      </c>
      <c r="G93" s="20">
        <f>SUM(G91:G92)</f>
        <v>546.35</v>
      </c>
      <c r="H93" s="20">
        <f>IFERROR(G93-E93,0)</f>
        <v>81.94999999999996</v>
      </c>
    </row>
    <row r="95" spans="1:1" s="33" customFormat="1" x14ac:dyDescent="0.25">
      <c r="A95" s="41" t="s">
        <v>65</v>
      </c>
    </row>
    <row r="96" spans="1:8" x14ac:dyDescent="0.25">
      <c r="A96" s="33" t="s">
        <v>232</v>
      </c>
      <c r="B96" s="33" t="s">
        <v>233</v>
      </c>
      <c r="C96" s="66">
        <v>450</v>
      </c>
      <c r="D96" s="47">
        <v>1</v>
      </c>
      <c r="E96" s="34">
        <f>C96*D96</f>
        <v>450</v>
      </c>
      <c r="F96" s="70">
        <v>0.15</v>
      </c>
      <c r="G96" s="34">
        <f>IFERROR(E96/(1-F96),0)</f>
        <v>529.41</v>
      </c>
      <c r="H96" s="34">
        <f>IFERROR(G96-E96,0)</f>
        <v>79.41</v>
      </c>
    </row>
    <row r="97" spans="1:8" x14ac:dyDescent="0.25">
      <c r="A97" t="s">
        <v>232</v>
      </c>
      <c r="B97" t="s">
        <v>234</v>
      </c>
      <c r="C97" s="67">
        <v>86.4</v>
      </c>
      <c r="D97" s="54">
        <v>1</v>
      </c>
      <c r="E97" s="20">
        <f>C97*D97</f>
        <v>86.4</v>
      </c>
      <c r="F97" s="21">
        <v>0.15</v>
      </c>
      <c r="G97" s="20">
        <f>IFERROR(E97/(1-F97),0)</f>
        <v>101.65</v>
      </c>
      <c r="H97" s="20">
        <f>IFERROR(G97-E97,0)</f>
        <v>15.25</v>
      </c>
    </row>
    <row r="98" spans="2:8" x14ac:dyDescent="0.25">
      <c r="B98" s="26" t="s">
        <v>237</v>
      </c>
      <c r="E98" s="55">
        <f>SUM(E96:E97)</f>
        <v>536.4</v>
      </c>
      <c r="G98" s="20">
        <f>SUM(G96:G97)</f>
        <v>631.06</v>
      </c>
      <c r="H98" s="20">
        <f>IFERROR(G98-E98,0)</f>
        <v>94.65999999999997</v>
      </c>
    </row>
    <row r="100" spans="1:1" s="33" customFormat="1" x14ac:dyDescent="0.25">
      <c r="A100" s="41" t="s">
        <v>66</v>
      </c>
    </row>
    <row r="101" spans="1:8" x14ac:dyDescent="0.25">
      <c r="A101" t="s">
        <v>232</v>
      </c>
      <c r="B101" t="s">
        <v>233</v>
      </c>
      <c r="C101" s="67">
        <v>450</v>
      </c>
      <c r="D101" s="54">
        <v>1</v>
      </c>
      <c r="E101" s="20">
        <f>C101*D101</f>
        <v>450</v>
      </c>
      <c r="F101" s="21">
        <v>0.15</v>
      </c>
      <c r="G101" s="20">
        <f>IFERROR(E101/(1-F101),0)</f>
        <v>529.41</v>
      </c>
      <c r="H101" s="20">
        <f>IFERROR(G101-E101,0)</f>
        <v>79.41</v>
      </c>
    </row>
    <row r="102" spans="1:8" x14ac:dyDescent="0.25">
      <c r="A102" s="33" t="s">
        <v>232</v>
      </c>
      <c r="B102" s="33" t="s">
        <v>234</v>
      </c>
      <c r="C102" s="66">
        <v>39.6</v>
      </c>
      <c r="D102" s="47">
        <v>1</v>
      </c>
      <c r="E102" s="34">
        <f>C102*D102</f>
        <v>39.6</v>
      </c>
      <c r="F102" s="70">
        <v>0.15</v>
      </c>
      <c r="G102" s="34">
        <f>IFERROR(E102/(1-F102),0)</f>
        <v>46.59</v>
      </c>
      <c r="H102" s="34">
        <f>IFERROR(G102-E102,0)</f>
        <v>6.99</v>
      </c>
    </row>
    <row r="103" spans="2:8" x14ac:dyDescent="0.25">
      <c r="B103" s="26" t="s">
        <v>237</v>
      </c>
      <c r="E103" s="55">
        <f>SUM(E101:E102)</f>
        <v>489.6</v>
      </c>
      <c r="G103" s="20">
        <f>SUM(G101:G102)</f>
        <v>576</v>
      </c>
      <c r="H103" s="20">
        <f>IFERROR(G103-E103,0)</f>
        <v>86.39999999999998</v>
      </c>
    </row>
    <row r="105" spans="1:1" s="33" customFormat="1" x14ac:dyDescent="0.25">
      <c r="A105" s="41" t="s">
        <v>66</v>
      </c>
    </row>
    <row r="106" spans="1:8" x14ac:dyDescent="0.25">
      <c r="A106" s="33" t="s">
        <v>232</v>
      </c>
      <c r="B106" s="33" t="s">
        <v>233</v>
      </c>
      <c r="C106" s="66">
        <v>450</v>
      </c>
      <c r="D106" s="47">
        <v>1</v>
      </c>
      <c r="E106" s="34">
        <f>C106*D106</f>
        <v>450</v>
      </c>
      <c r="F106" s="70">
        <v>0.15</v>
      </c>
      <c r="G106" s="34">
        <f>IFERROR(E106/(1-F106),0)</f>
        <v>529.41</v>
      </c>
      <c r="H106" s="34">
        <f>IFERROR(G106-E106,0)</f>
        <v>79.41</v>
      </c>
    </row>
    <row r="107" spans="1:8" x14ac:dyDescent="0.25">
      <c r="A107" t="s">
        <v>232</v>
      </c>
      <c r="B107" t="s">
        <v>234</v>
      </c>
      <c r="C107" s="67">
        <v>34.2</v>
      </c>
      <c r="D107" s="54">
        <v>1</v>
      </c>
      <c r="E107" s="20">
        <f>C107*D107</f>
        <v>34.2</v>
      </c>
      <c r="F107" s="21">
        <v>0.15</v>
      </c>
      <c r="G107" s="20">
        <f>IFERROR(E107/(1-F107),0)</f>
        <v>40.24</v>
      </c>
      <c r="H107" s="20">
        <f>IFERROR(G107-E107,0)</f>
        <v>6.04</v>
      </c>
    </row>
    <row r="108" spans="2:8" x14ac:dyDescent="0.25">
      <c r="B108" s="26" t="s">
        <v>237</v>
      </c>
      <c r="E108" s="55">
        <f>SUM(E106:E107)</f>
        <v>484.2</v>
      </c>
      <c r="G108" s="20">
        <f>SUM(G106:G107)</f>
        <v>569.65</v>
      </c>
      <c r="H108" s="20">
        <f>IFERROR(G108-E108,0)</f>
        <v>85.44999999999997</v>
      </c>
    </row>
    <row r="110" spans="1:1" s="33" customFormat="1" x14ac:dyDescent="0.25">
      <c r="A110" s="41" t="s">
        <v>66</v>
      </c>
    </row>
    <row r="111" spans="1:8" x14ac:dyDescent="0.25">
      <c r="A111" t="s">
        <v>232</v>
      </c>
      <c r="B111" t="s">
        <v>233</v>
      </c>
      <c r="C111" s="67">
        <v>450</v>
      </c>
      <c r="D111" s="54">
        <v>1</v>
      </c>
      <c r="E111" s="20">
        <f>C111*D111</f>
        <v>450</v>
      </c>
      <c r="F111" s="21">
        <v>0.15</v>
      </c>
      <c r="G111" s="20">
        <f>IFERROR(E111/(1-F111),0)</f>
        <v>529.41</v>
      </c>
      <c r="H111" s="20">
        <f>IFERROR(G111-E111,0)</f>
        <v>79.41</v>
      </c>
    </row>
    <row r="112" spans="1:8" x14ac:dyDescent="0.25">
      <c r="A112" s="33" t="s">
        <v>232</v>
      </c>
      <c r="B112" s="33" t="s">
        <v>234</v>
      </c>
      <c r="C112" s="66">
        <v>41.84</v>
      </c>
      <c r="D112" s="47">
        <v>1</v>
      </c>
      <c r="E112" s="34">
        <f>C112*D112</f>
        <v>41.84</v>
      </c>
      <c r="F112" s="70">
        <v>0.15</v>
      </c>
      <c r="G112" s="34">
        <f>IFERROR(E112/(1-F112),0)</f>
        <v>49.22</v>
      </c>
      <c r="H112" s="34">
        <f>IFERROR(G112-E112,0)</f>
        <v>7.38</v>
      </c>
    </row>
    <row r="113" spans="2:8" x14ac:dyDescent="0.25">
      <c r="B113" s="26" t="s">
        <v>237</v>
      </c>
      <c r="E113" s="55">
        <f>SUM(E111:E112)</f>
        <v>491.84000000000003</v>
      </c>
      <c r="G113" s="20">
        <f>SUM(G111:G112)</f>
        <v>578.63</v>
      </c>
      <c r="H113" s="20">
        <f>IFERROR(G113-E113,0)</f>
        <v>86.78999999999996</v>
      </c>
    </row>
    <row r="115" spans="1:1" s="33" customFormat="1" x14ac:dyDescent="0.25">
      <c r="A115" s="41" t="s">
        <v>66</v>
      </c>
    </row>
    <row r="116" spans="1:8" x14ac:dyDescent="0.25">
      <c r="A116" s="33" t="s">
        <v>232</v>
      </c>
      <c r="B116" s="33" t="s">
        <v>233</v>
      </c>
      <c r="C116" s="66">
        <v>450</v>
      </c>
      <c r="D116" s="47">
        <v>1</v>
      </c>
      <c r="E116" s="34">
        <f>C116*D116</f>
        <v>450</v>
      </c>
      <c r="F116" s="70">
        <v>0.15</v>
      </c>
      <c r="G116" s="34">
        <f>IFERROR(E116/(1-F116),0)</f>
        <v>529.41</v>
      </c>
      <c r="H116" s="34">
        <f>IFERROR(G116-E116,0)</f>
        <v>79.41</v>
      </c>
    </row>
    <row r="117" spans="1:8" x14ac:dyDescent="0.25">
      <c r="A117" t="s">
        <v>232</v>
      </c>
      <c r="B117" t="s">
        <v>234</v>
      </c>
      <c r="C117" s="67">
        <v>39.6</v>
      </c>
      <c r="D117" s="54">
        <v>1</v>
      </c>
      <c r="E117" s="20">
        <f>C117*D117</f>
        <v>39.6</v>
      </c>
      <c r="F117" s="21">
        <v>0.15</v>
      </c>
      <c r="G117" s="20">
        <f>IFERROR(E117/(1-F117),0)</f>
        <v>46.59</v>
      </c>
      <c r="H117" s="20">
        <f>IFERROR(G117-E117,0)</f>
        <v>6.99</v>
      </c>
    </row>
    <row r="118" spans="2:8" x14ac:dyDescent="0.25">
      <c r="B118" s="26" t="s">
        <v>237</v>
      </c>
      <c r="E118" s="55">
        <f>SUM(E116:E117)</f>
        <v>489.6</v>
      </c>
      <c r="G118" s="20">
        <f>SUM(G116:G117)</f>
        <v>576</v>
      </c>
      <c r="H118" s="20">
        <f>IFERROR(G118-E118,0)</f>
        <v>86.39999999999998</v>
      </c>
    </row>
    <row r="120" spans="1:1" s="33" customFormat="1" x14ac:dyDescent="0.25">
      <c r="A120" s="41" t="s">
        <v>66</v>
      </c>
    </row>
    <row r="121" spans="1:8" x14ac:dyDescent="0.25">
      <c r="A121" t="s">
        <v>232</v>
      </c>
      <c r="B121" t="s">
        <v>233</v>
      </c>
      <c r="C121" s="67">
        <v>450</v>
      </c>
      <c r="D121" s="54">
        <v>1</v>
      </c>
      <c r="E121" s="20">
        <f>C121*D121</f>
        <v>450</v>
      </c>
      <c r="F121" s="21">
        <v>0.15</v>
      </c>
      <c r="G121" s="20">
        <f>IFERROR(E121/(1-F121),0)</f>
        <v>529.41</v>
      </c>
      <c r="H121" s="20">
        <f>IFERROR(G121-E121,0)</f>
        <v>79.41</v>
      </c>
    </row>
    <row r="122" spans="1:8" x14ac:dyDescent="0.25">
      <c r="A122" s="33" t="s">
        <v>232</v>
      </c>
      <c r="B122" s="33" t="s">
        <v>234</v>
      </c>
      <c r="C122" s="66">
        <v>39.6</v>
      </c>
      <c r="D122" s="47">
        <v>1</v>
      </c>
      <c r="E122" s="34">
        <f>C122*D122</f>
        <v>39.6</v>
      </c>
      <c r="F122" s="70">
        <v>0.15</v>
      </c>
      <c r="G122" s="34">
        <f>IFERROR(E122/(1-F122),0)</f>
        <v>46.59</v>
      </c>
      <c r="H122" s="34">
        <f>IFERROR(G122-E122,0)</f>
        <v>6.99</v>
      </c>
    </row>
    <row r="123" spans="2:8" x14ac:dyDescent="0.25">
      <c r="B123" s="26" t="s">
        <v>237</v>
      </c>
      <c r="E123" s="55">
        <f>SUM(E121:E122)</f>
        <v>489.6</v>
      </c>
      <c r="G123" s="20">
        <f>SUM(G121:G122)</f>
        <v>576</v>
      </c>
      <c r="H123" s="20">
        <f>IFERROR(G123-E123,0)</f>
        <v>86.39999999999998</v>
      </c>
    </row>
    <row r="125" spans="1:1" s="33" customFormat="1" x14ac:dyDescent="0.25">
      <c r="A125" s="41" t="s">
        <v>66</v>
      </c>
    </row>
    <row r="126" spans="1:8" x14ac:dyDescent="0.25">
      <c r="A126" s="33" t="s">
        <v>232</v>
      </c>
      <c r="B126" s="33" t="s">
        <v>233</v>
      </c>
      <c r="C126" s="66">
        <v>450</v>
      </c>
      <c r="D126" s="47">
        <v>1</v>
      </c>
      <c r="E126" s="34">
        <f>C126*D126</f>
        <v>450</v>
      </c>
      <c r="F126" s="70">
        <v>0.15</v>
      </c>
      <c r="G126" s="34">
        <f>IFERROR(E126/(1-F126),0)</f>
        <v>529.41</v>
      </c>
      <c r="H126" s="34">
        <f>IFERROR(G126-E126,0)</f>
        <v>79.41</v>
      </c>
    </row>
    <row r="127" spans="1:8" x14ac:dyDescent="0.25">
      <c r="A127" t="s">
        <v>232</v>
      </c>
      <c r="B127" t="s">
        <v>234</v>
      </c>
      <c r="C127" s="67">
        <v>139.2</v>
      </c>
      <c r="D127" s="54">
        <v>1</v>
      </c>
      <c r="E127" s="20">
        <f>C127*D127</f>
        <v>139.2</v>
      </c>
      <c r="F127" s="21">
        <v>0.15</v>
      </c>
      <c r="G127" s="20">
        <f>IFERROR(E127/(1-F127),0)</f>
        <v>163.76</v>
      </c>
      <c r="H127" s="20">
        <f>IFERROR(G127-E127,0)</f>
        <v>24.56</v>
      </c>
    </row>
    <row r="128" spans="2:8" x14ac:dyDescent="0.25">
      <c r="B128" s="26" t="s">
        <v>237</v>
      </c>
      <c r="E128" s="55">
        <f>SUM(E126:E127)</f>
        <v>589.2</v>
      </c>
      <c r="G128" s="20">
        <f>SUM(G126:G127)</f>
        <v>693.17</v>
      </c>
      <c r="H128" s="20">
        <f>IFERROR(G128-E128,0)</f>
        <v>103.96999999999997</v>
      </c>
    </row>
    <row r="130" spans="1:1" s="33" customFormat="1" x14ac:dyDescent="0.25">
      <c r="A130" s="41" t="s">
        <v>66</v>
      </c>
    </row>
    <row r="131" spans="1:8" x14ac:dyDescent="0.25">
      <c r="A131" t="s">
        <v>232</v>
      </c>
      <c r="B131" t="s">
        <v>233</v>
      </c>
      <c r="C131" s="67">
        <v>450</v>
      </c>
      <c r="D131" s="54">
        <v>1</v>
      </c>
      <c r="E131" s="20">
        <f>C131*D131</f>
        <v>450</v>
      </c>
      <c r="F131" s="21">
        <v>0.15</v>
      </c>
      <c r="G131" s="20">
        <f>IFERROR(E131/(1-F131),0)</f>
        <v>529.41</v>
      </c>
      <c r="H131" s="20">
        <f>IFERROR(G131-E131,0)</f>
        <v>79.41</v>
      </c>
    </row>
    <row r="132" spans="1:8" x14ac:dyDescent="0.25">
      <c r="A132" s="33" t="s">
        <v>232</v>
      </c>
      <c r="B132" s="33" t="s">
        <v>234</v>
      </c>
      <c r="C132" s="66">
        <v>91.19</v>
      </c>
      <c r="D132" s="47">
        <v>1</v>
      </c>
      <c r="E132" s="34">
        <f>C132*D132</f>
        <v>91.19</v>
      </c>
      <c r="F132" s="70">
        <v>0.15</v>
      </c>
      <c r="G132" s="34">
        <f>IFERROR(E132/(1-F132),0)</f>
        <v>107.28</v>
      </c>
      <c r="H132" s="34">
        <f>IFERROR(G132-E132,0)</f>
        <v>16.09</v>
      </c>
    </row>
    <row r="133" spans="2:8" x14ac:dyDescent="0.25">
      <c r="B133" s="26" t="s">
        <v>237</v>
      </c>
      <c r="E133" s="55">
        <f>SUM(E131:E132)</f>
        <v>541.19</v>
      </c>
      <c r="G133" s="20">
        <f>SUM(G131:G132)</f>
        <v>636.6899999999999</v>
      </c>
      <c r="H133" s="20">
        <f>IFERROR(G133-E133,0)</f>
        <v>95.49999999999997</v>
      </c>
    </row>
    <row r="135" spans="1:1" s="33" customFormat="1" x14ac:dyDescent="0.25">
      <c r="A135" s="41" t="s">
        <v>67</v>
      </c>
    </row>
    <row r="136" spans="1:8" x14ac:dyDescent="0.25">
      <c r="A136" s="33" t="s">
        <v>232</v>
      </c>
      <c r="B136" s="33" t="s">
        <v>233</v>
      </c>
      <c r="C136" s="66">
        <v>450</v>
      </c>
      <c r="D136" s="47">
        <v>1</v>
      </c>
      <c r="E136" s="34">
        <f>C136*D136</f>
        <v>450</v>
      </c>
      <c r="F136" s="70">
        <v>0.15</v>
      </c>
      <c r="G136" s="34">
        <f>IFERROR(E136/(1-F136),0)</f>
        <v>529.41</v>
      </c>
      <c r="H136" s="34">
        <f>IFERROR(G136-E136,0)</f>
        <v>79.41</v>
      </c>
    </row>
    <row r="137" spans="1:8" x14ac:dyDescent="0.25">
      <c r="A137" t="s">
        <v>232</v>
      </c>
      <c r="B137" t="s">
        <v>234</v>
      </c>
      <c r="C137" s="67">
        <v>201.15</v>
      </c>
      <c r="D137" s="54">
        <v>1</v>
      </c>
      <c r="E137" s="20">
        <f>C137*D137</f>
        <v>201.15</v>
      </c>
      <c r="F137" s="21">
        <v>0.15</v>
      </c>
      <c r="G137" s="20">
        <f>IFERROR(E137/(1-F137),0)</f>
        <v>236.65</v>
      </c>
      <c r="H137" s="20">
        <f>IFERROR(G137-E137,0)</f>
        <v>35.5</v>
      </c>
    </row>
    <row r="138" spans="1:8" x14ac:dyDescent="0.25">
      <c r="A138" s="33" t="s">
        <v>232</v>
      </c>
      <c r="B138" s="33" t="s">
        <v>236</v>
      </c>
      <c r="C138" s="66">
        <v>12000</v>
      </c>
      <c r="D138" s="47">
        <v>1</v>
      </c>
      <c r="E138" s="34">
        <f>C138*D138</f>
        <v>12000</v>
      </c>
      <c r="F138" s="70">
        <v>0.15</v>
      </c>
      <c r="G138" s="34">
        <f>IFERROR(E138/(1-F138),0)</f>
        <v>14117.65</v>
      </c>
      <c r="H138" s="34">
        <f>IFERROR(G138-E138,0)</f>
        <v>2117.65</v>
      </c>
    </row>
    <row r="139" spans="2:8" x14ac:dyDescent="0.25">
      <c r="B139" s="26" t="s">
        <v>237</v>
      </c>
      <c r="E139" s="55">
        <f>SUM(E136:E138)</f>
        <v>12651.15</v>
      </c>
      <c r="G139" s="20">
        <f>SUM(G136:G138)</f>
        <v>14883.71</v>
      </c>
      <c r="H139" s="20">
        <f>IFERROR(G139-E139,0)</f>
        <v>2232.5599999999995</v>
      </c>
    </row>
    <row r="141" spans="1:1" s="33" customFormat="1" x14ac:dyDescent="0.25">
      <c r="A141" s="41" t="s">
        <v>64</v>
      </c>
    </row>
    <row r="142" spans="1:8" x14ac:dyDescent="0.25">
      <c r="A142" s="33" t="s">
        <v>232</v>
      </c>
      <c r="B142" s="33" t="s">
        <v>233</v>
      </c>
      <c r="C142" s="66">
        <v>450</v>
      </c>
      <c r="D142" s="47">
        <v>1</v>
      </c>
      <c r="E142" s="34">
        <f>C142*D142</f>
        <v>450</v>
      </c>
      <c r="F142" s="70">
        <v>0.15</v>
      </c>
      <c r="G142" s="34">
        <f>IFERROR(E142/(1-F142),0)</f>
        <v>529.41</v>
      </c>
      <c r="H142" s="34">
        <f>IFERROR(G142-E142,0)</f>
        <v>79.41</v>
      </c>
    </row>
    <row r="143" spans="1:8" x14ac:dyDescent="0.25">
      <c r="A143" t="s">
        <v>232</v>
      </c>
      <c r="B143" t="s">
        <v>234</v>
      </c>
      <c r="C143" s="67">
        <v>14.4</v>
      </c>
      <c r="D143" s="54">
        <v>1</v>
      </c>
      <c r="E143" s="20">
        <f>C143*D143</f>
        <v>14.4</v>
      </c>
      <c r="F143" s="21">
        <v>0.15</v>
      </c>
      <c r="G143" s="20">
        <f>IFERROR(E143/(1-F143),0)</f>
        <v>16.94</v>
      </c>
      <c r="H143" s="20">
        <f>IFERROR(G143-E143,0)</f>
        <v>2.54</v>
      </c>
    </row>
    <row r="144" spans="2:8" x14ac:dyDescent="0.25">
      <c r="B144" s="26" t="s">
        <v>237</v>
      </c>
      <c r="E144" s="55">
        <f>SUM(E142:E143)</f>
        <v>464.4</v>
      </c>
      <c r="G144" s="20">
        <f>SUM(G142:G143)</f>
        <v>546.35</v>
      </c>
      <c r="H144" s="20">
        <f>IFERROR(G144-E144,0)</f>
        <v>81.94999999999996</v>
      </c>
    </row>
    <row r="146" spans="1:1" s="33" customFormat="1" x14ac:dyDescent="0.25">
      <c r="A146" s="41" t="s">
        <v>67</v>
      </c>
    </row>
    <row r="147" spans="1:8" x14ac:dyDescent="0.25">
      <c r="A147" t="s">
        <v>232</v>
      </c>
      <c r="B147" t="s">
        <v>233</v>
      </c>
      <c r="C147" s="67">
        <v>450</v>
      </c>
      <c r="D147" s="54">
        <v>1</v>
      </c>
      <c r="E147" s="20">
        <f>C147*D147</f>
        <v>450</v>
      </c>
      <c r="F147" s="21">
        <v>0.15</v>
      </c>
      <c r="G147" s="20">
        <f>IFERROR(E147/(1-F147),0)</f>
        <v>529.41</v>
      </c>
      <c r="H147" s="20">
        <f>IFERROR(G147-E147,0)</f>
        <v>79.41</v>
      </c>
    </row>
    <row r="148" spans="1:8" x14ac:dyDescent="0.25">
      <c r="A148" s="33" t="s">
        <v>232</v>
      </c>
      <c r="B148" s="33" t="s">
        <v>234</v>
      </c>
      <c r="C148" s="66">
        <v>86.4</v>
      </c>
      <c r="D148" s="47">
        <v>1</v>
      </c>
      <c r="E148" s="34">
        <f>C148*D148</f>
        <v>86.4</v>
      </c>
      <c r="F148" s="70">
        <v>0.15</v>
      </c>
      <c r="G148" s="34">
        <f>IFERROR(E148/(1-F148),0)</f>
        <v>101.65</v>
      </c>
      <c r="H148" s="34">
        <f>IFERROR(G148-E148,0)</f>
        <v>15.25</v>
      </c>
    </row>
    <row r="149" spans="2:8" x14ac:dyDescent="0.25">
      <c r="B149" s="26" t="s">
        <v>237</v>
      </c>
      <c r="E149" s="55">
        <f>SUM(E147:E148)</f>
        <v>536.4</v>
      </c>
      <c r="G149" s="20">
        <f>SUM(G147:G148)</f>
        <v>631.06</v>
      </c>
      <c r="H149" s="20">
        <f>IFERROR(G149-E149,0)</f>
        <v>94.65999999999997</v>
      </c>
    </row>
    <row r="151" spans="1:1" s="33" customFormat="1" x14ac:dyDescent="0.25">
      <c r="A151" s="41" t="s">
        <v>64</v>
      </c>
    </row>
    <row r="152" spans="1:8" x14ac:dyDescent="0.25">
      <c r="A152" s="33" t="s">
        <v>232</v>
      </c>
      <c r="B152" s="33" t="s">
        <v>233</v>
      </c>
      <c r="C152" s="66">
        <v>450</v>
      </c>
      <c r="D152" s="47">
        <v>1</v>
      </c>
      <c r="E152" s="34">
        <f>C152*D152</f>
        <v>450</v>
      </c>
      <c r="F152" s="70">
        <v>0.15</v>
      </c>
      <c r="G152" s="34">
        <f>IFERROR(E152/(1-F152),0)</f>
        <v>529.41</v>
      </c>
      <c r="H152" s="34">
        <f>IFERROR(G152-E152,0)</f>
        <v>79.41</v>
      </c>
    </row>
    <row r="153" spans="1:8" x14ac:dyDescent="0.25">
      <c r="A153" t="s">
        <v>232</v>
      </c>
      <c r="B153" t="s">
        <v>234</v>
      </c>
      <c r="C153" s="67">
        <v>14.4</v>
      </c>
      <c r="D153" s="54">
        <v>1</v>
      </c>
      <c r="E153" s="20">
        <f>C153*D153</f>
        <v>14.4</v>
      </c>
      <c r="F153" s="21">
        <v>0.15</v>
      </c>
      <c r="G153" s="20">
        <f>IFERROR(E153/(1-F153),0)</f>
        <v>16.94</v>
      </c>
      <c r="H153" s="20">
        <f>IFERROR(G153-E153,0)</f>
        <v>2.54</v>
      </c>
    </row>
    <row r="154" spans="2:8" x14ac:dyDescent="0.25">
      <c r="B154" s="26" t="s">
        <v>237</v>
      </c>
      <c r="E154" s="55">
        <f>SUM(E152:E153)</f>
        <v>464.4</v>
      </c>
      <c r="G154" s="20">
        <f>SUM(G152:G153)</f>
        <v>546.35</v>
      </c>
      <c r="H154" s="20">
        <f>IFERROR(G154-E154,0)</f>
        <v>81.94999999999996</v>
      </c>
    </row>
    <row r="156" spans="1:1" s="33" customFormat="1" x14ac:dyDescent="0.25">
      <c r="A156" s="41" t="s">
        <v>64</v>
      </c>
    </row>
    <row r="157" spans="1:8" x14ac:dyDescent="0.25">
      <c r="A157" t="s">
        <v>232</v>
      </c>
      <c r="B157" t="s">
        <v>233</v>
      </c>
      <c r="C157" s="67">
        <v>450</v>
      </c>
      <c r="D157" s="54">
        <v>1</v>
      </c>
      <c r="E157" s="20">
        <f>C157*D157</f>
        <v>450</v>
      </c>
      <c r="F157" s="21">
        <v>0.15</v>
      </c>
      <c r="G157" s="20">
        <f>IFERROR(E157/(1-F157),0)</f>
        <v>529.41</v>
      </c>
      <c r="H157" s="20">
        <f>IFERROR(G157-E157,0)</f>
        <v>79.41</v>
      </c>
    </row>
    <row r="158" spans="1:8" x14ac:dyDescent="0.25">
      <c r="A158" s="33" t="s">
        <v>232</v>
      </c>
      <c r="B158" s="33" t="s">
        <v>234</v>
      </c>
      <c r="C158" s="66">
        <v>14.4</v>
      </c>
      <c r="D158" s="47">
        <v>1</v>
      </c>
      <c r="E158" s="34">
        <f>C158*D158</f>
        <v>14.4</v>
      </c>
      <c r="F158" s="70">
        <v>0.15</v>
      </c>
      <c r="G158" s="34">
        <f>IFERROR(E158/(1-F158),0)</f>
        <v>16.94</v>
      </c>
      <c r="H158" s="34">
        <f>IFERROR(G158-E158,0)</f>
        <v>2.54</v>
      </c>
    </row>
    <row r="159" spans="2:8" x14ac:dyDescent="0.25">
      <c r="B159" s="26" t="s">
        <v>237</v>
      </c>
      <c r="E159" s="55">
        <f>SUM(E157:E158)</f>
        <v>464.4</v>
      </c>
      <c r="G159" s="20">
        <f>SUM(G157:G158)</f>
        <v>546.35</v>
      </c>
      <c r="H159" s="20">
        <f>IFERROR(G159-E159,0)</f>
        <v>81.94999999999996</v>
      </c>
    </row>
    <row r="161" spans="1:1" s="33" customFormat="1" x14ac:dyDescent="0.25">
      <c r="A161" s="41" t="s">
        <v>65</v>
      </c>
    </row>
    <row r="162" spans="1:8" x14ac:dyDescent="0.25">
      <c r="A162" s="33" t="s">
        <v>232</v>
      </c>
      <c r="B162" s="33" t="s">
        <v>233</v>
      </c>
      <c r="C162" s="66">
        <v>450</v>
      </c>
      <c r="D162" s="47">
        <v>1</v>
      </c>
      <c r="E162" s="34">
        <f>C162*D162</f>
        <v>450</v>
      </c>
      <c r="F162" s="70">
        <v>0.15</v>
      </c>
      <c r="G162" s="34">
        <f>IFERROR(E162/(1-F162),0)</f>
        <v>529.41</v>
      </c>
      <c r="H162" s="34">
        <f>IFERROR(G162-E162,0)</f>
        <v>79.41</v>
      </c>
    </row>
    <row r="163" spans="1:8" x14ac:dyDescent="0.25">
      <c r="A163" t="s">
        <v>232</v>
      </c>
      <c r="B163" t="s">
        <v>234</v>
      </c>
      <c r="C163" s="67">
        <v>86.4</v>
      </c>
      <c r="D163" s="54">
        <v>1</v>
      </c>
      <c r="E163" s="20">
        <f>C163*D163</f>
        <v>86.4</v>
      </c>
      <c r="F163" s="21">
        <v>0.15</v>
      </c>
      <c r="G163" s="20">
        <f>IFERROR(E163/(1-F163),0)</f>
        <v>101.65</v>
      </c>
      <c r="H163" s="20">
        <f>IFERROR(G163-E163,0)</f>
        <v>15.25</v>
      </c>
    </row>
    <row r="164" spans="2:8" x14ac:dyDescent="0.25">
      <c r="B164" s="26" t="s">
        <v>237</v>
      </c>
      <c r="E164" s="55">
        <f>SUM(E162:E163)</f>
        <v>536.4</v>
      </c>
      <c r="G164" s="20">
        <f>SUM(G162:G163)</f>
        <v>631.06</v>
      </c>
      <c r="H164" s="20">
        <f>IFERROR(G164-E164,0)</f>
        <v>94.65999999999997</v>
      </c>
    </row>
    <row r="166" spans="1:1" s="33" customFormat="1" x14ac:dyDescent="0.25">
      <c r="A166" s="41" t="s">
        <v>68</v>
      </c>
    </row>
    <row r="167" spans="1:8" x14ac:dyDescent="0.25">
      <c r="A167" t="s">
        <v>232</v>
      </c>
      <c r="B167" t="s">
        <v>233</v>
      </c>
      <c r="C167" s="67">
        <v>450</v>
      </c>
      <c r="D167" s="54">
        <v>1</v>
      </c>
      <c r="E167" s="20">
        <f>C167*D167</f>
        <v>450</v>
      </c>
      <c r="F167" s="21">
        <v>0.15</v>
      </c>
      <c r="G167" s="20">
        <f>IFERROR(E167/(1-F167),0)</f>
        <v>529.41</v>
      </c>
      <c r="H167" s="20">
        <f>IFERROR(G167-E167,0)</f>
        <v>79.41</v>
      </c>
    </row>
    <row r="168" spans="1:8" x14ac:dyDescent="0.25">
      <c r="A168" s="33" t="s">
        <v>232</v>
      </c>
      <c r="B168" s="33" t="s">
        <v>234</v>
      </c>
      <c r="C168" s="66">
        <v>36</v>
      </c>
      <c r="D168" s="47">
        <v>1</v>
      </c>
      <c r="E168" s="34">
        <f>C168*D168</f>
        <v>36</v>
      </c>
      <c r="F168" s="70">
        <v>0.15</v>
      </c>
      <c r="G168" s="34">
        <f>IFERROR(E168/(1-F168),0)</f>
        <v>42.35</v>
      </c>
      <c r="H168" s="34">
        <f>IFERROR(G168-E168,0)</f>
        <v>6.35</v>
      </c>
    </row>
    <row r="169" spans="1:8" x14ac:dyDescent="0.25">
      <c r="A169" t="s">
        <v>232</v>
      </c>
      <c r="B169" t="s">
        <v>235</v>
      </c>
      <c r="C169" s="67">
        <v>2500</v>
      </c>
      <c r="D169" s="54">
        <v>1</v>
      </c>
      <c r="E169" s="20">
        <f>C169*D169</f>
        <v>2500</v>
      </c>
      <c r="F169" s="21">
        <v>0.15</v>
      </c>
      <c r="G169" s="20">
        <f>IFERROR(E169/(1-F169),0)</f>
        <v>2941.18</v>
      </c>
      <c r="H169" s="20">
        <f>IFERROR(G169-E169,0)</f>
        <v>441.18</v>
      </c>
    </row>
    <row r="170" spans="1:8" x14ac:dyDescent="0.25">
      <c r="A170" s="33" t="s">
        <v>232</v>
      </c>
      <c r="B170" s="33" t="s">
        <v>238</v>
      </c>
      <c r="C170" s="66">
        <v>720</v>
      </c>
      <c r="D170" s="47">
        <v>1</v>
      </c>
      <c r="E170" s="34">
        <f>C170*D170</f>
        <v>720</v>
      </c>
      <c r="F170" s="70">
        <v>0.15</v>
      </c>
      <c r="G170" s="34">
        <f>IFERROR(E170/(1-F170),0)</f>
        <v>847.06</v>
      </c>
      <c r="H170" s="34">
        <f>IFERROR(G170-E170,0)</f>
        <v>127.06</v>
      </c>
    </row>
    <row r="171" spans="2:8" x14ac:dyDescent="0.25">
      <c r="B171" s="26" t="s">
        <v>237</v>
      </c>
      <c r="E171" s="55">
        <f>SUM(E167:E170)</f>
        <v>3706</v>
      </c>
      <c r="G171" s="20">
        <f>SUM(G167:G170)</f>
        <v>4360</v>
      </c>
      <c r="H171" s="20">
        <f>IFERROR(G171-E171,0)</f>
        <v>653.9999999999995</v>
      </c>
    </row>
    <row r="173" spans="1:1" s="33" customFormat="1" x14ac:dyDescent="0.25">
      <c r="A173" s="41" t="s">
        <v>68</v>
      </c>
    </row>
    <row r="174" spans="1:8" x14ac:dyDescent="0.25">
      <c r="A174" s="33" t="s">
        <v>232</v>
      </c>
      <c r="B174" s="33" t="s">
        <v>233</v>
      </c>
      <c r="C174" s="66">
        <v>450</v>
      </c>
      <c r="D174" s="47">
        <v>1</v>
      </c>
      <c r="E174" s="34">
        <f>C174*D174</f>
        <v>450</v>
      </c>
      <c r="F174" s="70">
        <v>0.15</v>
      </c>
      <c r="G174" s="34">
        <f>IFERROR(E174/(1-F174),0)</f>
        <v>529.41</v>
      </c>
      <c r="H174" s="34">
        <f>IFERROR(G174-E174,0)</f>
        <v>79.41</v>
      </c>
    </row>
    <row r="175" spans="1:8" x14ac:dyDescent="0.25">
      <c r="A175" t="s">
        <v>232</v>
      </c>
      <c r="B175" t="s">
        <v>234</v>
      </c>
      <c r="C175" s="67">
        <v>36.88</v>
      </c>
      <c r="D175" s="54">
        <v>1</v>
      </c>
      <c r="E175" s="20">
        <f>C175*D175</f>
        <v>36.88</v>
      </c>
      <c r="F175" s="21">
        <v>0.15</v>
      </c>
      <c r="G175" s="20">
        <f>IFERROR(E175/(1-F175),0)</f>
        <v>43.39</v>
      </c>
      <c r="H175" s="20">
        <f>IFERROR(G175-E175,0)</f>
        <v>6.51</v>
      </c>
    </row>
    <row r="176" spans="1:8" x14ac:dyDescent="0.25">
      <c r="A176" s="33" t="s">
        <v>232</v>
      </c>
      <c r="B176" s="33" t="s">
        <v>235</v>
      </c>
      <c r="C176" s="66">
        <v>2500</v>
      </c>
      <c r="D176" s="47">
        <v>1</v>
      </c>
      <c r="E176" s="34">
        <f>C176*D176</f>
        <v>2500</v>
      </c>
      <c r="F176" s="70">
        <v>0.15</v>
      </c>
      <c r="G176" s="34">
        <f>IFERROR(E176/(1-F176),0)</f>
        <v>2941.18</v>
      </c>
      <c r="H176" s="34">
        <f>IFERROR(G176-E176,0)</f>
        <v>441.18</v>
      </c>
    </row>
    <row r="177" spans="1:8" x14ac:dyDescent="0.25">
      <c r="A177" t="s">
        <v>232</v>
      </c>
      <c r="B177" t="s">
        <v>238</v>
      </c>
      <c r="C177" s="67">
        <v>737.64</v>
      </c>
      <c r="D177" s="54">
        <v>1</v>
      </c>
      <c r="E177" s="20">
        <f>C177*D177</f>
        <v>737.64</v>
      </c>
      <c r="F177" s="21">
        <v>0.15</v>
      </c>
      <c r="G177" s="20">
        <f>IFERROR(E177/(1-F177),0)</f>
        <v>867.81</v>
      </c>
      <c r="H177" s="20">
        <f>IFERROR(G177-E177,0)</f>
        <v>130.17</v>
      </c>
    </row>
    <row r="178" spans="2:8" x14ac:dyDescent="0.25">
      <c r="B178" s="26" t="s">
        <v>237</v>
      </c>
      <c r="E178" s="55">
        <f>SUM(E174:E177)</f>
        <v>3724.52</v>
      </c>
      <c r="G178" s="20">
        <f>SUM(G174:G177)</f>
        <v>4381.789999999999</v>
      </c>
      <c r="H178" s="20">
        <f>IFERROR(G178-E178,0)</f>
        <v>657.2699999999999</v>
      </c>
    </row>
    <row r="180" spans="1:1" s="33" customFormat="1" x14ac:dyDescent="0.25">
      <c r="A180" s="41" t="s">
        <v>68</v>
      </c>
    </row>
    <row r="181" spans="1:8" x14ac:dyDescent="0.25">
      <c r="A181" t="s">
        <v>232</v>
      </c>
      <c r="B181" t="s">
        <v>233</v>
      </c>
      <c r="C181" s="67">
        <v>450</v>
      </c>
      <c r="D181" s="54">
        <v>1</v>
      </c>
      <c r="E181" s="20">
        <f>C181*D181</f>
        <v>450</v>
      </c>
      <c r="F181" s="21">
        <v>0.15</v>
      </c>
      <c r="G181" s="20">
        <f>IFERROR(E181/(1-F181),0)</f>
        <v>529.41</v>
      </c>
      <c r="H181" s="20">
        <f>IFERROR(G181-E181,0)</f>
        <v>79.41</v>
      </c>
    </row>
    <row r="182" spans="1:8" x14ac:dyDescent="0.25">
      <c r="A182" s="33" t="s">
        <v>232</v>
      </c>
      <c r="B182" s="33" t="s">
        <v>234</v>
      </c>
      <c r="C182" s="66">
        <v>63.38</v>
      </c>
      <c r="D182" s="47">
        <v>1</v>
      </c>
      <c r="E182" s="34">
        <f>C182*D182</f>
        <v>63.38</v>
      </c>
      <c r="F182" s="70">
        <v>0.15</v>
      </c>
      <c r="G182" s="34">
        <f>IFERROR(E182/(1-F182),0)</f>
        <v>74.56</v>
      </c>
      <c r="H182" s="34">
        <f>IFERROR(G182-E182,0)</f>
        <v>11.18</v>
      </c>
    </row>
    <row r="183" spans="1:8" x14ac:dyDescent="0.25">
      <c r="A183" t="s">
        <v>232</v>
      </c>
      <c r="B183" t="s">
        <v>235</v>
      </c>
      <c r="C183" s="67">
        <v>2500</v>
      </c>
      <c r="D183" s="54">
        <v>1</v>
      </c>
      <c r="E183" s="20">
        <f>C183*D183</f>
        <v>2500</v>
      </c>
      <c r="F183" s="21">
        <v>0.15</v>
      </c>
      <c r="G183" s="20">
        <f>IFERROR(E183/(1-F183),0)</f>
        <v>2941.18</v>
      </c>
      <c r="H183" s="20">
        <f>IFERROR(G183-E183,0)</f>
        <v>441.18</v>
      </c>
    </row>
    <row r="184" spans="1:8" x14ac:dyDescent="0.25">
      <c r="A184" s="33" t="s">
        <v>232</v>
      </c>
      <c r="B184" s="33" t="s">
        <v>238</v>
      </c>
      <c r="C184" s="66">
        <v>1267.56</v>
      </c>
      <c r="D184" s="47">
        <v>1</v>
      </c>
      <c r="E184" s="34">
        <f>C184*D184</f>
        <v>1267.56</v>
      </c>
      <c r="F184" s="70">
        <v>0.15</v>
      </c>
      <c r="G184" s="34">
        <f>IFERROR(E184/(1-F184),0)</f>
        <v>1491.25</v>
      </c>
      <c r="H184" s="34">
        <f>IFERROR(G184-E184,0)</f>
        <v>223.69</v>
      </c>
    </row>
    <row r="185" spans="2:8" x14ac:dyDescent="0.25">
      <c r="B185" s="26" t="s">
        <v>237</v>
      </c>
      <c r="E185" s="55">
        <f>SUM(E181:E184)</f>
        <v>4280.9400000000005</v>
      </c>
      <c r="G185" s="20">
        <f>SUM(G181:G184)</f>
        <v>5036.4</v>
      </c>
      <c r="H185" s="20">
        <f>IFERROR(G185-E185,0)</f>
        <v>755.46</v>
      </c>
    </row>
    <row r="187" spans="1:1" s="33" customFormat="1" x14ac:dyDescent="0.25">
      <c r="A187" s="41" t="s">
        <v>68</v>
      </c>
    </row>
    <row r="188" spans="1:8" x14ac:dyDescent="0.25">
      <c r="A188" s="33" t="s">
        <v>232</v>
      </c>
      <c r="B188" s="33" t="s">
        <v>233</v>
      </c>
      <c r="C188" s="66">
        <v>450</v>
      </c>
      <c r="D188" s="47">
        <v>1</v>
      </c>
      <c r="E188" s="34">
        <f>C188*D188</f>
        <v>450</v>
      </c>
      <c r="F188" s="70">
        <v>0.15</v>
      </c>
      <c r="G188" s="34">
        <f>IFERROR(E188/(1-F188),0)</f>
        <v>529.41</v>
      </c>
      <c r="H188" s="34">
        <f>IFERROR(G188-E188,0)</f>
        <v>79.41</v>
      </c>
    </row>
    <row r="189" spans="1:8" x14ac:dyDescent="0.25">
      <c r="A189" t="s">
        <v>232</v>
      </c>
      <c r="B189" t="s">
        <v>234</v>
      </c>
      <c r="C189" s="67">
        <v>63.56</v>
      </c>
      <c r="D189" s="54">
        <v>1</v>
      </c>
      <c r="E189" s="20">
        <f>C189*D189</f>
        <v>63.56</v>
      </c>
      <c r="F189" s="21">
        <v>0.15</v>
      </c>
      <c r="G189" s="20">
        <f>IFERROR(E189/(1-F189),0)</f>
        <v>74.78</v>
      </c>
      <c r="H189" s="20">
        <f>IFERROR(G189-E189,0)</f>
        <v>11.22</v>
      </c>
    </row>
    <row r="190" spans="1:8" x14ac:dyDescent="0.25">
      <c r="A190" s="33" t="s">
        <v>232</v>
      </c>
      <c r="B190" s="33" t="s">
        <v>235</v>
      </c>
      <c r="C190" s="66">
        <v>2500</v>
      </c>
      <c r="D190" s="47">
        <v>1</v>
      </c>
      <c r="E190" s="34">
        <f>C190*D190</f>
        <v>2500</v>
      </c>
      <c r="F190" s="70">
        <v>0.15</v>
      </c>
      <c r="G190" s="34">
        <f>IFERROR(E190/(1-F190),0)</f>
        <v>2941.18</v>
      </c>
      <c r="H190" s="34">
        <f>IFERROR(G190-E190,0)</f>
        <v>441.18</v>
      </c>
    </row>
    <row r="191" spans="1:8" x14ac:dyDescent="0.25">
      <c r="A191" t="s">
        <v>232</v>
      </c>
      <c r="B191" t="s">
        <v>238</v>
      </c>
      <c r="C191" s="67">
        <v>1271.16</v>
      </c>
      <c r="D191" s="54">
        <v>1</v>
      </c>
      <c r="E191" s="20">
        <f>C191*D191</f>
        <v>1271.16</v>
      </c>
      <c r="F191" s="21">
        <v>0.15</v>
      </c>
      <c r="G191" s="20">
        <f>IFERROR(E191/(1-F191),0)</f>
        <v>1495.48</v>
      </c>
      <c r="H191" s="20">
        <f>IFERROR(G191-E191,0)</f>
        <v>224.32</v>
      </c>
    </row>
    <row r="192" spans="2:8" x14ac:dyDescent="0.25">
      <c r="B192" s="26" t="s">
        <v>237</v>
      </c>
      <c r="E192" s="55">
        <f>SUM(E188:E191)</f>
        <v>4284.72</v>
      </c>
      <c r="G192" s="20">
        <f>SUM(G188:G191)</f>
        <v>5040.85</v>
      </c>
      <c r="H192" s="20">
        <f>IFERROR(G192-E192,0)</f>
        <v>756.1299999999999</v>
      </c>
    </row>
    <row r="194" spans="1:1" s="33" customFormat="1" x14ac:dyDescent="0.25">
      <c r="A194" s="41" t="s">
        <v>69</v>
      </c>
    </row>
    <row r="195" spans="1:8" x14ac:dyDescent="0.25">
      <c r="A195" t="s">
        <v>232</v>
      </c>
      <c r="B195" t="s">
        <v>233</v>
      </c>
      <c r="C195" s="67">
        <v>450</v>
      </c>
      <c r="D195" s="54">
        <v>1</v>
      </c>
      <c r="E195" s="20">
        <f>C195*D195</f>
        <v>450</v>
      </c>
      <c r="F195" s="21">
        <v>0.15</v>
      </c>
      <c r="G195" s="20">
        <f>IFERROR(E195/(1-F195),0)</f>
        <v>529.41</v>
      </c>
      <c r="H195" s="20">
        <f>IFERROR(G195-E195,0)</f>
        <v>79.41</v>
      </c>
    </row>
    <row r="196" spans="1:8" x14ac:dyDescent="0.25">
      <c r="A196" s="33" t="s">
        <v>232</v>
      </c>
      <c r="B196" s="33" t="s">
        <v>234</v>
      </c>
      <c r="C196" s="66">
        <v>84.98</v>
      </c>
      <c r="D196" s="47">
        <v>1</v>
      </c>
      <c r="E196" s="34">
        <f>C196*D196</f>
        <v>84.98</v>
      </c>
      <c r="F196" s="70">
        <v>0.15</v>
      </c>
      <c r="G196" s="34">
        <f>IFERROR(E196/(1-F196),0)</f>
        <v>99.98</v>
      </c>
      <c r="H196" s="34">
        <f>IFERROR(G196-E196,0)</f>
        <v>15</v>
      </c>
    </row>
    <row r="197" spans="1:8" x14ac:dyDescent="0.25">
      <c r="A197" t="s">
        <v>232</v>
      </c>
      <c r="B197" t="s">
        <v>235</v>
      </c>
      <c r="C197" s="67">
        <v>2500</v>
      </c>
      <c r="D197" s="54">
        <v>1</v>
      </c>
      <c r="E197" s="20">
        <f>C197*D197</f>
        <v>2500</v>
      </c>
      <c r="F197" s="21">
        <v>0.15</v>
      </c>
      <c r="G197" s="20">
        <f>IFERROR(E197/(1-F197),0)</f>
        <v>2941.18</v>
      </c>
      <c r="H197" s="20">
        <f>IFERROR(G197-E197,0)</f>
        <v>441.18</v>
      </c>
    </row>
    <row r="198" spans="1:8" x14ac:dyDescent="0.25">
      <c r="A198" s="33" t="s">
        <v>232</v>
      </c>
      <c r="B198" s="33" t="s">
        <v>238</v>
      </c>
      <c r="C198" s="66">
        <v>1699.68</v>
      </c>
      <c r="D198" s="47">
        <v>1</v>
      </c>
      <c r="E198" s="34">
        <f>C198*D198</f>
        <v>1699.68</v>
      </c>
      <c r="F198" s="70">
        <v>0.15</v>
      </c>
      <c r="G198" s="34">
        <f>IFERROR(E198/(1-F198),0)</f>
        <v>1999.62</v>
      </c>
      <c r="H198" s="34">
        <f>IFERROR(G198-E198,0)</f>
        <v>299.94</v>
      </c>
    </row>
    <row r="199" spans="2:8" x14ac:dyDescent="0.25">
      <c r="B199" s="26" t="s">
        <v>237</v>
      </c>
      <c r="E199" s="55">
        <f>SUM(E195:E198)</f>
        <v>4734.66</v>
      </c>
      <c r="G199" s="20">
        <f>SUM(G195:G198)</f>
        <v>5570.19</v>
      </c>
      <c r="H199" s="20">
        <f>IFERROR(G199-E199,0)</f>
        <v>835.5299999999995</v>
      </c>
    </row>
    <row r="201" spans="1:1" s="33" customFormat="1" x14ac:dyDescent="0.25">
      <c r="A201" s="41" t="s">
        <v>69</v>
      </c>
    </row>
    <row r="202" spans="1:8" x14ac:dyDescent="0.25">
      <c r="A202" s="33" t="s">
        <v>232</v>
      </c>
      <c r="B202" s="33" t="s">
        <v>233</v>
      </c>
      <c r="C202" s="66">
        <v>450</v>
      </c>
      <c r="D202" s="47">
        <v>1</v>
      </c>
      <c r="E202" s="34">
        <f>C202*D202</f>
        <v>450</v>
      </c>
      <c r="F202" s="70">
        <v>0.15</v>
      </c>
      <c r="G202" s="34">
        <f>IFERROR(E202/(1-F202),0)</f>
        <v>529.41</v>
      </c>
      <c r="H202" s="34">
        <f>IFERROR(G202-E202,0)</f>
        <v>79.41</v>
      </c>
    </row>
    <row r="203" spans="1:8" x14ac:dyDescent="0.25">
      <c r="A203" t="s">
        <v>232</v>
      </c>
      <c r="B203" t="s">
        <v>234</v>
      </c>
      <c r="C203" s="67">
        <v>49.18</v>
      </c>
      <c r="D203" s="54">
        <v>1</v>
      </c>
      <c r="E203" s="20">
        <f>C203*D203</f>
        <v>49.18</v>
      </c>
      <c r="F203" s="21">
        <v>0.15</v>
      </c>
      <c r="G203" s="20">
        <f>IFERROR(E203/(1-F203),0)</f>
        <v>57.86</v>
      </c>
      <c r="H203" s="20">
        <f>IFERROR(G203-E203,0)</f>
        <v>8.68</v>
      </c>
    </row>
    <row r="204" spans="1:8" x14ac:dyDescent="0.25">
      <c r="A204" s="33" t="s">
        <v>232</v>
      </c>
      <c r="B204" s="33" t="s">
        <v>235</v>
      </c>
      <c r="C204" s="66">
        <v>2500</v>
      </c>
      <c r="D204" s="47">
        <v>1</v>
      </c>
      <c r="E204" s="34">
        <f>C204*D204</f>
        <v>2500</v>
      </c>
      <c r="F204" s="70">
        <v>0.15</v>
      </c>
      <c r="G204" s="34">
        <f>IFERROR(E204/(1-F204),0)</f>
        <v>2941.18</v>
      </c>
      <c r="H204" s="34">
        <f>IFERROR(G204-E204,0)</f>
        <v>441.18</v>
      </c>
    </row>
    <row r="205" spans="1:8" x14ac:dyDescent="0.25">
      <c r="A205" t="s">
        <v>232</v>
      </c>
      <c r="B205" t="s">
        <v>238</v>
      </c>
      <c r="C205" s="67">
        <v>983.52</v>
      </c>
      <c r="D205" s="54">
        <v>1</v>
      </c>
      <c r="E205" s="20">
        <f>C205*D205</f>
        <v>983.52</v>
      </c>
      <c r="F205" s="21">
        <v>0.15</v>
      </c>
      <c r="G205" s="20">
        <f>IFERROR(E205/(1-F205),0)</f>
        <v>1157.08</v>
      </c>
      <c r="H205" s="20">
        <f>IFERROR(G205-E205,0)</f>
        <v>173.56</v>
      </c>
    </row>
    <row r="206" spans="2:8" x14ac:dyDescent="0.25">
      <c r="B206" s="26" t="s">
        <v>237</v>
      </c>
      <c r="E206" s="55">
        <f>SUM(E202:E205)</f>
        <v>3982.7</v>
      </c>
      <c r="G206" s="20">
        <f>SUM(G202:G205)</f>
        <v>4685.53</v>
      </c>
      <c r="H206" s="20">
        <f>IFERROR(G206-E206,0)</f>
        <v>702.8299999999999</v>
      </c>
    </row>
    <row r="208" spans="1:1" s="33" customFormat="1" x14ac:dyDescent="0.25">
      <c r="A208" s="41" t="s">
        <v>69</v>
      </c>
    </row>
    <row r="209" spans="1:8" x14ac:dyDescent="0.25">
      <c r="A209" t="s">
        <v>232</v>
      </c>
      <c r="B209" t="s">
        <v>233</v>
      </c>
      <c r="C209" s="67">
        <v>450</v>
      </c>
      <c r="D209" s="54">
        <v>1</v>
      </c>
      <c r="E209" s="20">
        <f>C209*D209</f>
        <v>450</v>
      </c>
      <c r="F209" s="21">
        <v>0.15</v>
      </c>
      <c r="G209" s="20">
        <f>IFERROR(E209/(1-F209),0)</f>
        <v>529.41</v>
      </c>
      <c r="H209" s="20">
        <f>IFERROR(G209-E209,0)</f>
        <v>79.41</v>
      </c>
    </row>
    <row r="210" spans="1:8" x14ac:dyDescent="0.25">
      <c r="A210" s="33" t="s">
        <v>232</v>
      </c>
      <c r="B210" s="33" t="s">
        <v>234</v>
      </c>
      <c r="C210" s="66">
        <v>84.5</v>
      </c>
      <c r="D210" s="47">
        <v>1</v>
      </c>
      <c r="E210" s="34">
        <f>C210*D210</f>
        <v>84.5</v>
      </c>
      <c r="F210" s="70">
        <v>0.15</v>
      </c>
      <c r="G210" s="34">
        <f>IFERROR(E210/(1-F210),0)</f>
        <v>99.41</v>
      </c>
      <c r="H210" s="34">
        <f>IFERROR(G210-E210,0)</f>
        <v>14.91</v>
      </c>
    </row>
    <row r="211" spans="1:8" x14ac:dyDescent="0.25">
      <c r="A211" t="s">
        <v>232</v>
      </c>
      <c r="B211" t="s">
        <v>235</v>
      </c>
      <c r="C211" s="67">
        <v>2500</v>
      </c>
      <c r="D211" s="54">
        <v>1</v>
      </c>
      <c r="E211" s="20">
        <f>C211*D211</f>
        <v>2500</v>
      </c>
      <c r="F211" s="21">
        <v>0.15</v>
      </c>
      <c r="G211" s="20">
        <f>IFERROR(E211/(1-F211),0)</f>
        <v>2941.18</v>
      </c>
      <c r="H211" s="20">
        <f>IFERROR(G211-E211,0)</f>
        <v>441.18</v>
      </c>
    </row>
    <row r="212" spans="1:8" x14ac:dyDescent="0.25">
      <c r="A212" s="33" t="s">
        <v>232</v>
      </c>
      <c r="B212" s="33" t="s">
        <v>238</v>
      </c>
      <c r="C212" s="66">
        <v>1690.08</v>
      </c>
      <c r="D212" s="47">
        <v>1</v>
      </c>
      <c r="E212" s="34">
        <f>C212*D212</f>
        <v>1690.08</v>
      </c>
      <c r="F212" s="70">
        <v>0.15</v>
      </c>
      <c r="G212" s="34">
        <f>IFERROR(E212/(1-F212),0)</f>
        <v>1988.33</v>
      </c>
      <c r="H212" s="34">
        <f>IFERROR(G212-E212,0)</f>
        <v>298.25</v>
      </c>
    </row>
    <row r="213" spans="2:8" x14ac:dyDescent="0.25">
      <c r="B213" s="26" t="s">
        <v>237</v>
      </c>
      <c r="E213" s="55">
        <f>SUM(E209:E212)</f>
        <v>4724.58</v>
      </c>
      <c r="G213" s="20">
        <f>SUM(G209:G212)</f>
        <v>5558.33</v>
      </c>
      <c r="H213" s="20">
        <f>IFERROR(G213-E213,0)</f>
        <v>833.75</v>
      </c>
    </row>
    <row r="215" spans="1:1" s="33" customFormat="1" x14ac:dyDescent="0.25">
      <c r="A215" s="41" t="s">
        <v>70</v>
      </c>
    </row>
    <row r="216" spans="1:8" x14ac:dyDescent="0.25">
      <c r="A216" s="33" t="s">
        <v>232</v>
      </c>
      <c r="B216" s="33" t="s">
        <v>233</v>
      </c>
      <c r="C216" s="66">
        <v>450</v>
      </c>
      <c r="D216" s="47">
        <v>1</v>
      </c>
      <c r="E216" s="34">
        <f>C216*D216</f>
        <v>450</v>
      </c>
      <c r="F216" s="70">
        <v>0.15</v>
      </c>
      <c r="G216" s="34">
        <f>IFERROR(E216/(1-F216),0)</f>
        <v>529.41</v>
      </c>
      <c r="H216" s="34">
        <f>IFERROR(G216-E216,0)</f>
        <v>79.41</v>
      </c>
    </row>
    <row r="217" spans="1:8" x14ac:dyDescent="0.25">
      <c r="A217" t="s">
        <v>232</v>
      </c>
      <c r="B217" t="s">
        <v>234</v>
      </c>
      <c r="C217" s="67">
        <v>1483.02</v>
      </c>
      <c r="D217" s="54">
        <v>1</v>
      </c>
      <c r="E217" s="20">
        <f>C217*D217</f>
        <v>1483.02</v>
      </c>
      <c r="F217" s="21">
        <v>0.15</v>
      </c>
      <c r="G217" s="20">
        <f>IFERROR(E217/(1-F217),0)</f>
        <v>1744.73</v>
      </c>
      <c r="H217" s="20">
        <f>IFERROR(G217-E217,0)</f>
        <v>261.71</v>
      </c>
    </row>
    <row r="218" spans="1:8" x14ac:dyDescent="0.25">
      <c r="A218" s="33" t="s">
        <v>232</v>
      </c>
      <c r="B218" s="33" t="s">
        <v>235</v>
      </c>
      <c r="C218" s="66">
        <v>2500</v>
      </c>
      <c r="D218" s="47">
        <v>1</v>
      </c>
      <c r="E218" s="34">
        <f>C218*D218</f>
        <v>2500</v>
      </c>
      <c r="F218" s="70">
        <v>0.15</v>
      </c>
      <c r="G218" s="34">
        <f>IFERROR(E218/(1-F218),0)</f>
        <v>2941.18</v>
      </c>
      <c r="H218" s="34">
        <f>IFERROR(G218-E218,0)</f>
        <v>441.18</v>
      </c>
    </row>
    <row r="219" spans="1:8" x14ac:dyDescent="0.25">
      <c r="A219" t="s">
        <v>232</v>
      </c>
      <c r="B219" t="s">
        <v>236</v>
      </c>
      <c r="C219" s="67">
        <v>12000</v>
      </c>
      <c r="D219" s="54">
        <v>1</v>
      </c>
      <c r="E219" s="20">
        <f>C219*D219</f>
        <v>12000</v>
      </c>
      <c r="F219" s="21">
        <v>0.15</v>
      </c>
      <c r="G219" s="20">
        <f>IFERROR(E219/(1-F219),0)</f>
        <v>14117.65</v>
      </c>
      <c r="H219" s="20">
        <f>IFERROR(G219-E219,0)</f>
        <v>2117.65</v>
      </c>
    </row>
    <row r="220" spans="1:8" x14ac:dyDescent="0.25">
      <c r="A220" s="33" t="s">
        <v>232</v>
      </c>
      <c r="B220" s="33" t="s">
        <v>238</v>
      </c>
      <c r="C220" s="66">
        <v>29660.4</v>
      </c>
      <c r="D220" s="47">
        <v>1</v>
      </c>
      <c r="E220" s="34">
        <f>C220*D220</f>
        <v>29660.4</v>
      </c>
      <c r="F220" s="70">
        <v>0.15</v>
      </c>
      <c r="G220" s="34">
        <f>IFERROR(E220/(1-F220),0)</f>
        <v>34894.59</v>
      </c>
      <c r="H220" s="34">
        <f>IFERROR(G220-E220,0)</f>
        <v>5234.19</v>
      </c>
    </row>
    <row r="221" spans="2:8" x14ac:dyDescent="0.25">
      <c r="B221" s="26" t="s">
        <v>237</v>
      </c>
      <c r="E221" s="55">
        <f>SUM(E216:E220)</f>
        <v>46093.42</v>
      </c>
      <c r="G221" s="20">
        <f>SUM(G216:G220)</f>
        <v>54227.56</v>
      </c>
      <c r="H221" s="20">
        <f>IFERROR(G221-E221,0)</f>
        <v>8134.139999999992</v>
      </c>
    </row>
    <row r="223" spans="1:1" s="33" customFormat="1" x14ac:dyDescent="0.25">
      <c r="A223" s="41" t="s">
        <v>71</v>
      </c>
    </row>
    <row r="224" spans="1:8" x14ac:dyDescent="0.25">
      <c r="A224" s="33" t="s">
        <v>232</v>
      </c>
      <c r="B224" s="33" t="s">
        <v>233</v>
      </c>
      <c r="C224" s="66">
        <v>16800</v>
      </c>
      <c r="D224" s="47">
        <v>1</v>
      </c>
      <c r="E224" s="34">
        <f>C224*D224</f>
        <v>16800</v>
      </c>
      <c r="F224" s="70">
        <v>0.15</v>
      </c>
      <c r="G224" s="34">
        <f>IFERROR(E224/(1-F224),0)</f>
        <v>19764.71</v>
      </c>
      <c r="H224" s="34">
        <f>IFERROR(G224-E224,0)</f>
        <v>2964.71</v>
      </c>
    </row>
    <row r="225" spans="1:8" x14ac:dyDescent="0.25">
      <c r="A225" t="s">
        <v>232</v>
      </c>
      <c r="B225" t="s">
        <v>234</v>
      </c>
      <c r="C225" s="67">
        <v>10584</v>
      </c>
      <c r="D225" s="54">
        <v>1</v>
      </c>
      <c r="E225" s="20">
        <f>C225*D225</f>
        <v>10584</v>
      </c>
      <c r="F225" s="21">
        <v>0.15</v>
      </c>
      <c r="G225" s="20">
        <f>IFERROR(E225/(1-F225),0)</f>
        <v>12451.76</v>
      </c>
      <c r="H225" s="20">
        <f>IFERROR(G225-E225,0)</f>
        <v>1867.76</v>
      </c>
    </row>
    <row r="226" spans="1:8" x14ac:dyDescent="0.25">
      <c r="A226" s="33" t="s">
        <v>232</v>
      </c>
      <c r="B226" s="33" t="s">
        <v>235</v>
      </c>
      <c r="C226" s="66">
        <v>2500</v>
      </c>
      <c r="D226" s="47">
        <v>1</v>
      </c>
      <c r="E226" s="34">
        <f>C226*D226</f>
        <v>2500</v>
      </c>
      <c r="F226" s="70">
        <v>0.15</v>
      </c>
      <c r="G226" s="34">
        <f>IFERROR(E226/(1-F226),0)</f>
        <v>2941.18</v>
      </c>
      <c r="H226" s="34">
        <f>IFERROR(G226-E226,0)</f>
        <v>441.18</v>
      </c>
    </row>
    <row r="227" spans="1:8" x14ac:dyDescent="0.25">
      <c r="A227" t="s">
        <v>232</v>
      </c>
      <c r="B227" t="s">
        <v>236</v>
      </c>
      <c r="C227" s="67">
        <v>12000</v>
      </c>
      <c r="D227" s="54">
        <v>1</v>
      </c>
      <c r="E227" s="20">
        <f>C227*D227</f>
        <v>12000</v>
      </c>
      <c r="F227" s="21">
        <v>0.15</v>
      </c>
      <c r="G227" s="20">
        <f>IFERROR(E227/(1-F227),0)</f>
        <v>14117.65</v>
      </c>
      <c r="H227" s="20">
        <f>IFERROR(G227-E227,0)</f>
        <v>2117.65</v>
      </c>
    </row>
    <row r="228" spans="1:8" x14ac:dyDescent="0.25">
      <c r="A228" s="33" t="s">
        <v>232</v>
      </c>
      <c r="B228" s="33" t="s">
        <v>238</v>
      </c>
      <c r="C228" s="66">
        <v>211680</v>
      </c>
      <c r="D228" s="47">
        <v>1</v>
      </c>
      <c r="E228" s="34">
        <f>C228*D228</f>
        <v>211680</v>
      </c>
      <c r="F228" s="70">
        <v>0.15</v>
      </c>
      <c r="G228" s="34">
        <f>IFERROR(E228/(1-F228),0)</f>
        <v>249035.29</v>
      </c>
      <c r="H228" s="34">
        <f>IFERROR(G228-E228,0)</f>
        <v>37355.29</v>
      </c>
    </row>
    <row r="229" spans="2:8" x14ac:dyDescent="0.25">
      <c r="B229" s="26" t="s">
        <v>237</v>
      </c>
      <c r="E229" s="55">
        <f>SUM(E224:E228)</f>
        <v>253564</v>
      </c>
      <c r="G229" s="20">
        <f>SUM(G224:G228)</f>
        <v>298310.59</v>
      </c>
      <c r="H229" s="20">
        <f>IFERROR(G229-E229,0)</f>
        <v>44746.59</v>
      </c>
    </row>
    <row r="231" spans="1:1" s="33" customFormat="1" x14ac:dyDescent="0.25">
      <c r="A231" s="41" t="s">
        <v>72</v>
      </c>
    </row>
    <row r="232" spans="1:8" x14ac:dyDescent="0.25">
      <c r="A232" s="33" t="s">
        <v>232</v>
      </c>
      <c r="B232" s="33" t="s">
        <v>233</v>
      </c>
      <c r="C232" s="66">
        <v>450</v>
      </c>
      <c r="D232" s="47">
        <v>1</v>
      </c>
      <c r="E232" s="34">
        <f>C232*D232</f>
        <v>450</v>
      </c>
      <c r="F232" s="70">
        <v>0.15</v>
      </c>
      <c r="G232" s="34">
        <f>IFERROR(E232/(1-F232),0)</f>
        <v>529.41</v>
      </c>
      <c r="H232" s="34">
        <f>IFERROR(G232-E232,0)</f>
        <v>79.41</v>
      </c>
    </row>
    <row r="233" spans="1:8" x14ac:dyDescent="0.25">
      <c r="A233" t="s">
        <v>232</v>
      </c>
      <c r="B233" t="s">
        <v>234</v>
      </c>
      <c r="C233" s="67">
        <v>285.6</v>
      </c>
      <c r="D233" s="54">
        <v>1</v>
      </c>
      <c r="E233" s="20">
        <f>C233*D233</f>
        <v>285.6</v>
      </c>
      <c r="F233" s="21">
        <v>0.15</v>
      </c>
      <c r="G233" s="20">
        <f>IFERROR(E233/(1-F233),0)</f>
        <v>336</v>
      </c>
      <c r="H233" s="20">
        <f>IFERROR(G233-E233,0)</f>
        <v>50.4</v>
      </c>
    </row>
    <row r="234" spans="1:8" x14ac:dyDescent="0.25">
      <c r="A234" s="33" t="s">
        <v>232</v>
      </c>
      <c r="B234" s="33" t="s">
        <v>235</v>
      </c>
      <c r="C234" s="66">
        <v>2500</v>
      </c>
      <c r="D234" s="47">
        <v>1</v>
      </c>
      <c r="E234" s="34">
        <f>C234*D234</f>
        <v>2500</v>
      </c>
      <c r="F234" s="70">
        <v>0.15</v>
      </c>
      <c r="G234" s="34">
        <f>IFERROR(E234/(1-F234),0)</f>
        <v>2941.18</v>
      </c>
      <c r="H234" s="34">
        <f>IFERROR(G234-E234,0)</f>
        <v>441.18</v>
      </c>
    </row>
    <row r="235" spans="1:8" x14ac:dyDescent="0.25">
      <c r="A235" t="s">
        <v>232</v>
      </c>
      <c r="B235" t="s">
        <v>236</v>
      </c>
      <c r="C235" s="67">
        <v>12000</v>
      </c>
      <c r="D235" s="54">
        <v>1</v>
      </c>
      <c r="E235" s="20">
        <f>C235*D235</f>
        <v>12000</v>
      </c>
      <c r="F235" s="21">
        <v>0.15</v>
      </c>
      <c r="G235" s="20">
        <f>IFERROR(E235/(1-F235),0)</f>
        <v>14117.65</v>
      </c>
      <c r="H235" s="20">
        <f>IFERROR(G235-E235,0)</f>
        <v>2117.65</v>
      </c>
    </row>
    <row r="236" spans="1:8" x14ac:dyDescent="0.25">
      <c r="A236" s="33" t="s">
        <v>232</v>
      </c>
      <c r="B236" s="33" t="s">
        <v>238</v>
      </c>
      <c r="C236" s="66">
        <v>5712</v>
      </c>
      <c r="D236" s="47">
        <v>1</v>
      </c>
      <c r="E236" s="34">
        <f>C236*D236</f>
        <v>5712</v>
      </c>
      <c r="F236" s="70">
        <v>0.15</v>
      </c>
      <c r="G236" s="34">
        <f>IFERROR(E236/(1-F236),0)</f>
        <v>6720</v>
      </c>
      <c r="H236" s="34">
        <f>IFERROR(G236-E236,0)</f>
        <v>1008</v>
      </c>
    </row>
    <row r="237" spans="2:8" x14ac:dyDescent="0.25">
      <c r="B237" s="26" t="s">
        <v>237</v>
      </c>
      <c r="E237" s="55">
        <f>SUM(E232:E236)</f>
        <v>20947.6</v>
      </c>
      <c r="G237" s="20">
        <f>SUM(G232:G236)</f>
        <v>24644.239999999998</v>
      </c>
      <c r="H237" s="20">
        <f>IFERROR(G237-E237,0)</f>
        <v>3696.6399999999994</v>
      </c>
    </row>
    <row r="239" spans="1:1" s="33" customFormat="1" x14ac:dyDescent="0.25">
      <c r="A239" s="41" t="s">
        <v>73</v>
      </c>
    </row>
    <row r="240" spans="1:8" x14ac:dyDescent="0.25">
      <c r="A240" s="33" t="s">
        <v>232</v>
      </c>
      <c r="B240" s="33" t="s">
        <v>233</v>
      </c>
      <c r="C240" s="66">
        <v>450</v>
      </c>
      <c r="D240" s="47">
        <v>1</v>
      </c>
      <c r="E240" s="34">
        <f>C240*D240</f>
        <v>450</v>
      </c>
      <c r="F240" s="70">
        <v>0.15</v>
      </c>
      <c r="G240" s="34">
        <f>IFERROR(E240/(1-F240),0)</f>
        <v>529.41</v>
      </c>
      <c r="H240" s="34">
        <f>IFERROR(G240-E240,0)</f>
        <v>79.41</v>
      </c>
    </row>
    <row r="241" spans="1:8" x14ac:dyDescent="0.25">
      <c r="A241" t="s">
        <v>232</v>
      </c>
      <c r="B241" t="s">
        <v>234</v>
      </c>
      <c r="C241" s="67">
        <v>305.05</v>
      </c>
      <c r="D241" s="54">
        <v>1</v>
      </c>
      <c r="E241" s="20">
        <f>C241*D241</f>
        <v>305.05</v>
      </c>
      <c r="F241" s="21">
        <v>0.15</v>
      </c>
      <c r="G241" s="20">
        <f>IFERROR(E241/(1-F241),0)</f>
        <v>358.88</v>
      </c>
      <c r="H241" s="20">
        <f>IFERROR(G241-E241,0)</f>
        <v>53.83</v>
      </c>
    </row>
    <row r="242" spans="1:8" x14ac:dyDescent="0.25">
      <c r="A242" s="33" t="s">
        <v>232</v>
      </c>
      <c r="B242" s="33" t="s">
        <v>235</v>
      </c>
      <c r="C242" s="66">
        <v>2500</v>
      </c>
      <c r="D242" s="47">
        <v>1</v>
      </c>
      <c r="E242" s="34">
        <f>C242*D242</f>
        <v>2500</v>
      </c>
      <c r="F242" s="70">
        <v>0.15</v>
      </c>
      <c r="G242" s="34">
        <f>IFERROR(E242/(1-F242),0)</f>
        <v>2941.18</v>
      </c>
      <c r="H242" s="34">
        <f>IFERROR(G242-E242,0)</f>
        <v>441.18</v>
      </c>
    </row>
    <row r="243" spans="1:8" x14ac:dyDescent="0.25">
      <c r="A243" t="s">
        <v>232</v>
      </c>
      <c r="B243" t="s">
        <v>236</v>
      </c>
      <c r="C243" s="67">
        <v>12000</v>
      </c>
      <c r="D243" s="54">
        <v>1</v>
      </c>
      <c r="E243" s="20">
        <f>C243*D243</f>
        <v>12000</v>
      </c>
      <c r="F243" s="21">
        <v>0.15</v>
      </c>
      <c r="G243" s="20">
        <f>IFERROR(E243/(1-F243),0)</f>
        <v>14117.65</v>
      </c>
      <c r="H243" s="20">
        <f>IFERROR(G243-E243,0)</f>
        <v>2117.65</v>
      </c>
    </row>
    <row r="244" spans="1:8" x14ac:dyDescent="0.25">
      <c r="A244" s="33" t="s">
        <v>232</v>
      </c>
      <c r="B244" s="33" t="s">
        <v>238</v>
      </c>
      <c r="C244" s="66">
        <v>6100.92</v>
      </c>
      <c r="D244" s="47">
        <v>1</v>
      </c>
      <c r="E244" s="34">
        <f>C244*D244</f>
        <v>6100.92</v>
      </c>
      <c r="F244" s="70">
        <v>0.15</v>
      </c>
      <c r="G244" s="34">
        <f>IFERROR(E244/(1-F244),0)</f>
        <v>7177.55</v>
      </c>
      <c r="H244" s="34">
        <f>IFERROR(G244-E244,0)</f>
        <v>1076.63</v>
      </c>
    </row>
    <row r="245" spans="2:8" x14ac:dyDescent="0.25">
      <c r="B245" s="26" t="s">
        <v>237</v>
      </c>
      <c r="E245" s="55">
        <f>SUM(E240:E244)</f>
        <v>21355.97</v>
      </c>
      <c r="G245" s="20">
        <f>SUM(G240:G244)</f>
        <v>25124.67</v>
      </c>
      <c r="H245" s="20">
        <f>IFERROR(G245-E245,0)</f>
        <v>3768.699999999999</v>
      </c>
    </row>
    <row r="247" spans="1:1" s="33" customFormat="1" x14ac:dyDescent="0.25">
      <c r="A247" s="41" t="s">
        <v>74</v>
      </c>
    </row>
    <row r="248" spans="1:8" x14ac:dyDescent="0.25">
      <c r="A248" s="33" t="s">
        <v>232</v>
      </c>
      <c r="B248" s="33" t="s">
        <v>233</v>
      </c>
      <c r="C248" s="66">
        <v>450</v>
      </c>
      <c r="D248" s="47">
        <v>1</v>
      </c>
      <c r="E248" s="34">
        <f>C248*D248</f>
        <v>450</v>
      </c>
      <c r="F248" s="70">
        <v>0.15</v>
      </c>
      <c r="G248" s="34">
        <f>IFERROR(E248/(1-F248),0)</f>
        <v>529.41</v>
      </c>
      <c r="H248" s="34">
        <f>IFERROR(G248-E248,0)</f>
        <v>79.41</v>
      </c>
    </row>
    <row r="249" spans="1:8" x14ac:dyDescent="0.25">
      <c r="A249" t="s">
        <v>232</v>
      </c>
      <c r="B249" t="s">
        <v>234</v>
      </c>
      <c r="C249" s="67">
        <v>81.74</v>
      </c>
      <c r="D249" s="54">
        <v>1</v>
      </c>
      <c r="E249" s="20">
        <f>C249*D249</f>
        <v>81.74</v>
      </c>
      <c r="F249" s="21">
        <v>0.15</v>
      </c>
      <c r="G249" s="20">
        <f>IFERROR(E249/(1-F249),0)</f>
        <v>96.16</v>
      </c>
      <c r="H249" s="20">
        <f>IFERROR(G249-E249,0)</f>
        <v>14.42</v>
      </c>
    </row>
    <row r="250" spans="1:8" x14ac:dyDescent="0.25">
      <c r="A250" s="33" t="s">
        <v>232</v>
      </c>
      <c r="B250" s="33" t="s">
        <v>235</v>
      </c>
      <c r="C250" s="66">
        <v>2500</v>
      </c>
      <c r="D250" s="47">
        <v>1</v>
      </c>
      <c r="E250" s="34">
        <f>C250*D250</f>
        <v>2500</v>
      </c>
      <c r="F250" s="70">
        <v>0.15</v>
      </c>
      <c r="G250" s="34">
        <f>IFERROR(E250/(1-F250),0)</f>
        <v>2941.18</v>
      </c>
      <c r="H250" s="34">
        <f>IFERROR(G250-E250,0)</f>
        <v>441.18</v>
      </c>
    </row>
    <row r="251" spans="1:8" x14ac:dyDescent="0.25">
      <c r="A251" t="s">
        <v>232</v>
      </c>
      <c r="B251" t="s">
        <v>238</v>
      </c>
      <c r="C251" s="67">
        <v>1634.88</v>
      </c>
      <c r="D251" s="54">
        <v>1</v>
      </c>
      <c r="E251" s="20">
        <f>C251*D251</f>
        <v>1634.88</v>
      </c>
      <c r="F251" s="21">
        <v>0.15</v>
      </c>
      <c r="G251" s="20">
        <f>IFERROR(E251/(1-F251),0)</f>
        <v>1923.39</v>
      </c>
      <c r="H251" s="20">
        <f>IFERROR(G251-E251,0)</f>
        <v>288.51</v>
      </c>
    </row>
    <row r="252" spans="2:8" x14ac:dyDescent="0.25">
      <c r="B252" s="26" t="s">
        <v>237</v>
      </c>
      <c r="E252" s="55">
        <f>SUM(E248:E251)</f>
        <v>4666.62</v>
      </c>
      <c r="G252" s="20">
        <f>SUM(G248:G251)</f>
        <v>5490.14</v>
      </c>
      <c r="H252" s="20">
        <f>IFERROR(G252-E252,0)</f>
        <v>823.5199999999995</v>
      </c>
    </row>
    <row r="254" spans="1:1" s="33" customFormat="1" x14ac:dyDescent="0.25">
      <c r="A254" s="41" t="s">
        <v>75</v>
      </c>
    </row>
    <row r="255" spans="1:8" x14ac:dyDescent="0.25">
      <c r="A255" t="s">
        <v>232</v>
      </c>
      <c r="B255" t="s">
        <v>233</v>
      </c>
      <c r="C255" s="67">
        <v>450</v>
      </c>
      <c r="D255" s="54">
        <v>1</v>
      </c>
      <c r="E255" s="20">
        <f>C255*D255</f>
        <v>450</v>
      </c>
      <c r="F255" s="21">
        <v>0.15</v>
      </c>
      <c r="G255" s="20">
        <f>IFERROR(E255/(1-F255),0)</f>
        <v>529.41</v>
      </c>
      <c r="H255" s="20">
        <f>IFERROR(G255-E255,0)</f>
        <v>79.41</v>
      </c>
    </row>
    <row r="256" spans="1:8" x14ac:dyDescent="0.25">
      <c r="A256" s="33" t="s">
        <v>232</v>
      </c>
      <c r="B256" s="33" t="s">
        <v>234</v>
      </c>
      <c r="C256" s="66">
        <v>166.1</v>
      </c>
      <c r="D256" s="47">
        <v>1</v>
      </c>
      <c r="E256" s="34">
        <f>C256*D256</f>
        <v>166.1</v>
      </c>
      <c r="F256" s="70">
        <v>0.15</v>
      </c>
      <c r="G256" s="34">
        <f>IFERROR(E256/(1-F256),0)</f>
        <v>195.41</v>
      </c>
      <c r="H256" s="34">
        <f>IFERROR(G256-E256,0)</f>
        <v>29.31</v>
      </c>
    </row>
    <row r="257" spans="1:8" x14ac:dyDescent="0.25">
      <c r="A257" t="s">
        <v>232</v>
      </c>
      <c r="B257" t="s">
        <v>235</v>
      </c>
      <c r="C257" s="67">
        <v>2500</v>
      </c>
      <c r="D257" s="54">
        <v>1</v>
      </c>
      <c r="E257" s="20">
        <f>C257*D257</f>
        <v>2500</v>
      </c>
      <c r="F257" s="21">
        <v>0.15</v>
      </c>
      <c r="G257" s="20">
        <f>IFERROR(E257/(1-F257),0)</f>
        <v>2941.18</v>
      </c>
      <c r="H257" s="20">
        <f>IFERROR(G257-E257,0)</f>
        <v>441.18</v>
      </c>
    </row>
    <row r="258" spans="1:8" x14ac:dyDescent="0.25">
      <c r="A258" s="33" t="s">
        <v>232</v>
      </c>
      <c r="B258" s="33" t="s">
        <v>238</v>
      </c>
      <c r="C258" s="66">
        <v>3321.96</v>
      </c>
      <c r="D258" s="47">
        <v>1</v>
      </c>
      <c r="E258" s="34">
        <f>C258*D258</f>
        <v>3321.96</v>
      </c>
      <c r="F258" s="70">
        <v>0.15</v>
      </c>
      <c r="G258" s="34">
        <f>IFERROR(E258/(1-F258),0)</f>
        <v>3908.19</v>
      </c>
      <c r="H258" s="34">
        <f>IFERROR(G258-E258,0)</f>
        <v>586.23</v>
      </c>
    </row>
    <row r="259" spans="2:8" x14ac:dyDescent="0.25">
      <c r="B259" s="26" t="s">
        <v>237</v>
      </c>
      <c r="E259" s="55">
        <f>SUM(E255:E258)</f>
        <v>6438.0599999999995</v>
      </c>
      <c r="G259" s="20">
        <f>SUM(G255:G258)</f>
        <v>7574.1900000000005</v>
      </c>
      <c r="H259" s="20">
        <f>IFERROR(G259-E259,0)</f>
        <v>1136.13</v>
      </c>
    </row>
    <row r="261" spans="1:1" s="33" customFormat="1" x14ac:dyDescent="0.25">
      <c r="A261" s="41" t="s">
        <v>76</v>
      </c>
    </row>
    <row r="262" spans="1:8" x14ac:dyDescent="0.25">
      <c r="A262" s="33" t="s">
        <v>232</v>
      </c>
      <c r="B262" s="33" t="s">
        <v>233</v>
      </c>
      <c r="C262" s="66">
        <v>450</v>
      </c>
      <c r="D262" s="47">
        <v>1</v>
      </c>
      <c r="E262" s="34">
        <f>C262*D262</f>
        <v>450</v>
      </c>
      <c r="F262" s="70">
        <v>0.15</v>
      </c>
      <c r="G262" s="34">
        <f>IFERROR(E262/(1-F262),0)</f>
        <v>529.41</v>
      </c>
      <c r="H262" s="34">
        <f>IFERROR(G262-E262,0)</f>
        <v>79.41</v>
      </c>
    </row>
    <row r="263" spans="1:8" x14ac:dyDescent="0.25">
      <c r="A263" t="s">
        <v>232</v>
      </c>
      <c r="B263" t="s">
        <v>234</v>
      </c>
      <c r="C263" s="67">
        <v>7.72</v>
      </c>
      <c r="D263" s="54">
        <v>1</v>
      </c>
      <c r="E263" s="20">
        <f>C263*D263</f>
        <v>7.72</v>
      </c>
      <c r="F263" s="21">
        <v>0.15</v>
      </c>
      <c r="G263" s="20">
        <f>IFERROR(E263/(1-F263),0)</f>
        <v>9.08</v>
      </c>
      <c r="H263" s="20">
        <f>IFERROR(G263-E263,0)</f>
        <v>1.36</v>
      </c>
    </row>
    <row r="264" spans="1:8" x14ac:dyDescent="0.25">
      <c r="A264" s="33" t="s">
        <v>232</v>
      </c>
      <c r="B264" s="33" t="s">
        <v>235</v>
      </c>
      <c r="C264" s="66">
        <v>2500</v>
      </c>
      <c r="D264" s="47">
        <v>1</v>
      </c>
      <c r="E264" s="34">
        <f>C264*D264</f>
        <v>2500</v>
      </c>
      <c r="F264" s="70">
        <v>0.15</v>
      </c>
      <c r="G264" s="34">
        <f>IFERROR(E264/(1-F264),0)</f>
        <v>2941.18</v>
      </c>
      <c r="H264" s="34">
        <f>IFERROR(G264-E264,0)</f>
        <v>441.18</v>
      </c>
    </row>
    <row r="265" spans="1:8" x14ac:dyDescent="0.25">
      <c r="A265" t="s">
        <v>232</v>
      </c>
      <c r="B265" t="s">
        <v>238</v>
      </c>
      <c r="C265" s="67">
        <v>154.44</v>
      </c>
      <c r="D265" s="54">
        <v>1</v>
      </c>
      <c r="E265" s="20">
        <f>C265*D265</f>
        <v>154.44</v>
      </c>
      <c r="F265" s="21">
        <v>0.15</v>
      </c>
      <c r="G265" s="20">
        <f>IFERROR(E265/(1-F265),0)</f>
        <v>181.69</v>
      </c>
      <c r="H265" s="20">
        <f>IFERROR(G265-E265,0)</f>
        <v>27.25</v>
      </c>
    </row>
    <row r="266" spans="2:8" x14ac:dyDescent="0.25">
      <c r="B266" s="26" t="s">
        <v>237</v>
      </c>
      <c r="E266" s="55">
        <f>SUM(E262:E265)</f>
        <v>3112.1600000000003</v>
      </c>
      <c r="G266" s="20">
        <f>SUM(G262:G265)</f>
        <v>3661.36</v>
      </c>
      <c r="H266" s="20">
        <f>IFERROR(G266-E266,0)</f>
        <v>549.1999999999998</v>
      </c>
    </row>
    <row r="268" spans="1:1" s="33" customFormat="1" x14ac:dyDescent="0.25">
      <c r="A268" s="41" t="s">
        <v>77</v>
      </c>
    </row>
    <row r="269" spans="1:8" x14ac:dyDescent="0.25">
      <c r="A269" t="s">
        <v>232</v>
      </c>
      <c r="B269" t="s">
        <v>233</v>
      </c>
      <c r="C269" s="67">
        <v>450</v>
      </c>
      <c r="D269" s="54">
        <v>1</v>
      </c>
      <c r="E269" s="20">
        <f>C269*D269</f>
        <v>450</v>
      </c>
      <c r="F269" s="21">
        <v>0.15</v>
      </c>
      <c r="G269" s="20">
        <f>IFERROR(E269/(1-F269),0)</f>
        <v>529.41</v>
      </c>
      <c r="H269" s="20">
        <f>IFERROR(G269-E269,0)</f>
        <v>79.41</v>
      </c>
    </row>
    <row r="270" spans="1:8" x14ac:dyDescent="0.25">
      <c r="A270" s="33" t="s">
        <v>232</v>
      </c>
      <c r="B270" s="33" t="s">
        <v>234</v>
      </c>
      <c r="C270" s="66">
        <v>612.15</v>
      </c>
      <c r="D270" s="47">
        <v>1</v>
      </c>
      <c r="E270" s="34">
        <f>C270*D270</f>
        <v>612.15</v>
      </c>
      <c r="F270" s="70">
        <v>0.15</v>
      </c>
      <c r="G270" s="34">
        <f>IFERROR(E270/(1-F270),0)</f>
        <v>720.18</v>
      </c>
      <c r="H270" s="34">
        <f>IFERROR(G270-E270,0)</f>
        <v>108.03</v>
      </c>
    </row>
    <row r="271" spans="1:8" x14ac:dyDescent="0.25">
      <c r="A271" t="s">
        <v>232</v>
      </c>
      <c r="B271" t="s">
        <v>235</v>
      </c>
      <c r="C271" s="67">
        <v>2500</v>
      </c>
      <c r="D271" s="54">
        <v>1</v>
      </c>
      <c r="E271" s="20">
        <f>C271*D271</f>
        <v>2500</v>
      </c>
      <c r="F271" s="21">
        <v>0.15</v>
      </c>
      <c r="G271" s="20">
        <f>IFERROR(E271/(1-F271),0)</f>
        <v>2941.18</v>
      </c>
      <c r="H271" s="20">
        <f>IFERROR(G271-E271,0)</f>
        <v>441.18</v>
      </c>
    </row>
    <row r="272" spans="1:8" x14ac:dyDescent="0.25">
      <c r="A272" s="33" t="s">
        <v>232</v>
      </c>
      <c r="B272" s="33" t="s">
        <v>236</v>
      </c>
      <c r="C272" s="66">
        <v>12000</v>
      </c>
      <c r="D272" s="47">
        <v>1</v>
      </c>
      <c r="E272" s="34">
        <f>C272*D272</f>
        <v>12000</v>
      </c>
      <c r="F272" s="70">
        <v>0.15</v>
      </c>
      <c r="G272" s="34">
        <f>IFERROR(E272/(1-F272),0)</f>
        <v>14117.65</v>
      </c>
      <c r="H272" s="34">
        <f>IFERROR(G272-E272,0)</f>
        <v>2117.65</v>
      </c>
    </row>
    <row r="273" spans="1:8" x14ac:dyDescent="0.25">
      <c r="A273" t="s">
        <v>232</v>
      </c>
      <c r="B273" t="s">
        <v>238</v>
      </c>
      <c r="C273" s="67">
        <v>12243</v>
      </c>
      <c r="D273" s="54">
        <v>1</v>
      </c>
      <c r="E273" s="20">
        <f>C273*D273</f>
        <v>12243</v>
      </c>
      <c r="F273" s="21">
        <v>0.15</v>
      </c>
      <c r="G273" s="20">
        <f>IFERROR(E273/(1-F273),0)</f>
        <v>14403.53</v>
      </c>
      <c r="H273" s="20">
        <f>IFERROR(G273-E273,0)</f>
        <v>2160.53</v>
      </c>
    </row>
    <row r="274" spans="2:8" x14ac:dyDescent="0.25">
      <c r="B274" s="26" t="s">
        <v>237</v>
      </c>
      <c r="E274" s="55">
        <f>SUM(E269:E273)</f>
        <v>27805.15</v>
      </c>
      <c r="G274" s="20">
        <f>SUM(G269:G273)</f>
        <v>32711.949999999997</v>
      </c>
      <c r="H274" s="20">
        <f>IFERROR(G274-E274,0)</f>
        <v>4906.800000000003</v>
      </c>
    </row>
    <row r="276" spans="1:1" s="33" customFormat="1" x14ac:dyDescent="0.25">
      <c r="A276" s="41" t="s">
        <v>77</v>
      </c>
    </row>
    <row r="277" spans="1:8" x14ac:dyDescent="0.25">
      <c r="A277" t="s">
        <v>232</v>
      </c>
      <c r="B277" t="s">
        <v>233</v>
      </c>
      <c r="C277" s="67">
        <v>450</v>
      </c>
      <c r="D277" s="54">
        <v>1</v>
      </c>
      <c r="E277" s="20">
        <f>C277*D277</f>
        <v>450</v>
      </c>
      <c r="F277" s="21">
        <v>0.15</v>
      </c>
      <c r="G277" s="20">
        <f>IFERROR(E277/(1-F277),0)</f>
        <v>529.41</v>
      </c>
      <c r="H277" s="20">
        <f>IFERROR(G277-E277,0)</f>
        <v>79.41</v>
      </c>
    </row>
    <row r="278" spans="1:8" x14ac:dyDescent="0.25">
      <c r="A278" s="33" t="s">
        <v>232</v>
      </c>
      <c r="B278" s="33" t="s">
        <v>234</v>
      </c>
      <c r="C278" s="66">
        <v>56.53</v>
      </c>
      <c r="D278" s="47">
        <v>1</v>
      </c>
      <c r="E278" s="34">
        <f>C278*D278</f>
        <v>56.53</v>
      </c>
      <c r="F278" s="70">
        <v>0.15</v>
      </c>
      <c r="G278" s="34">
        <f>IFERROR(E278/(1-F278),0)</f>
        <v>66.51</v>
      </c>
      <c r="H278" s="34">
        <f>IFERROR(G278-E278,0)</f>
        <v>9.98</v>
      </c>
    </row>
    <row r="279" spans="1:8" x14ac:dyDescent="0.25">
      <c r="A279" t="s">
        <v>232</v>
      </c>
      <c r="B279" t="s">
        <v>238</v>
      </c>
      <c r="C279" s="67">
        <v>1130.64</v>
      </c>
      <c r="D279" s="54">
        <v>1</v>
      </c>
      <c r="E279" s="20">
        <f>C279*D279</f>
        <v>1130.64</v>
      </c>
      <c r="F279" s="21">
        <v>0.15</v>
      </c>
      <c r="G279" s="20">
        <f>IFERROR(E279/(1-F279),0)</f>
        <v>1330.16</v>
      </c>
      <c r="H279" s="20">
        <f>IFERROR(G279-E279,0)</f>
        <v>199.52</v>
      </c>
    </row>
    <row r="280" spans="2:8" x14ac:dyDescent="0.25">
      <c r="B280" s="26" t="s">
        <v>237</v>
      </c>
      <c r="E280" s="55">
        <f>SUM(E277:E279)</f>
        <v>1637.17</v>
      </c>
      <c r="G280" s="20">
        <f>SUM(G277:G279)</f>
        <v>1926.08</v>
      </c>
      <c r="H280" s="20">
        <f>IFERROR(G280-E280,0)</f>
        <v>288.90999999999985</v>
      </c>
    </row>
    <row r="282" spans="1:1" s="33" customFormat="1" x14ac:dyDescent="0.25">
      <c r="A282" s="41" t="s">
        <v>77</v>
      </c>
    </row>
    <row r="283" spans="1:8" x14ac:dyDescent="0.25">
      <c r="A283" t="s">
        <v>232</v>
      </c>
      <c r="B283" t="s">
        <v>233</v>
      </c>
      <c r="C283" s="67">
        <v>450</v>
      </c>
      <c r="D283" s="54">
        <v>1</v>
      </c>
      <c r="E283" s="20">
        <f>C283*D283</f>
        <v>450</v>
      </c>
      <c r="F283" s="21">
        <v>0.15</v>
      </c>
      <c r="G283" s="20">
        <f>IFERROR(E283/(1-F283),0)</f>
        <v>529.41</v>
      </c>
      <c r="H283" s="20">
        <f>IFERROR(G283-E283,0)</f>
        <v>79.41</v>
      </c>
    </row>
    <row r="284" spans="1:8" x14ac:dyDescent="0.25">
      <c r="A284" s="33" t="s">
        <v>232</v>
      </c>
      <c r="B284" s="33" t="s">
        <v>234</v>
      </c>
      <c r="C284" s="66">
        <v>78.96</v>
      </c>
      <c r="D284" s="47">
        <v>1</v>
      </c>
      <c r="E284" s="34">
        <f>C284*D284</f>
        <v>78.96</v>
      </c>
      <c r="F284" s="70">
        <v>0.15</v>
      </c>
      <c r="G284" s="34">
        <f>IFERROR(E284/(1-F284),0)</f>
        <v>92.89</v>
      </c>
      <c r="H284" s="34">
        <f>IFERROR(G284-E284,0)</f>
        <v>13.93</v>
      </c>
    </row>
    <row r="285" spans="1:8" x14ac:dyDescent="0.25">
      <c r="A285" t="s">
        <v>232</v>
      </c>
      <c r="B285" t="s">
        <v>238</v>
      </c>
      <c r="C285" s="67">
        <v>1579.2</v>
      </c>
      <c r="D285" s="54">
        <v>1</v>
      </c>
      <c r="E285" s="20">
        <f>C285*D285</f>
        <v>1579.2</v>
      </c>
      <c r="F285" s="21">
        <v>0.15</v>
      </c>
      <c r="G285" s="20">
        <f>IFERROR(E285/(1-F285),0)</f>
        <v>1857.88</v>
      </c>
      <c r="H285" s="20">
        <f>IFERROR(G285-E285,0)</f>
        <v>278.68</v>
      </c>
    </row>
    <row r="286" spans="2:8" x14ac:dyDescent="0.25">
      <c r="B286" s="26" t="s">
        <v>237</v>
      </c>
      <c r="E286" s="55">
        <f>SUM(E283:E285)</f>
        <v>2108.16</v>
      </c>
      <c r="G286" s="20">
        <f>SUM(G283:G285)</f>
        <v>2480.1800000000003</v>
      </c>
      <c r="H286" s="20">
        <f>IFERROR(G286-E286,0)</f>
        <v>372.02</v>
      </c>
    </row>
    <row r="288" spans="1:1" s="33" customFormat="1" x14ac:dyDescent="0.25">
      <c r="A288" s="41" t="s">
        <v>78</v>
      </c>
    </row>
    <row r="289" spans="1:8" x14ac:dyDescent="0.25">
      <c r="A289" t="s">
        <v>232</v>
      </c>
      <c r="B289" t="s">
        <v>233</v>
      </c>
      <c r="C289" s="67">
        <v>450</v>
      </c>
      <c r="D289" s="54">
        <v>1</v>
      </c>
      <c r="E289" s="20">
        <f>C289*D289</f>
        <v>450</v>
      </c>
      <c r="F289" s="21">
        <v>0.15</v>
      </c>
      <c r="G289" s="20">
        <f>IFERROR(E289/(1-F289),0)</f>
        <v>529.41</v>
      </c>
      <c r="H289" s="20">
        <f>IFERROR(G289-E289,0)</f>
        <v>79.41</v>
      </c>
    </row>
    <row r="290" spans="1:8" x14ac:dyDescent="0.25">
      <c r="A290" s="33" t="s">
        <v>232</v>
      </c>
      <c r="B290" s="33" t="s">
        <v>234</v>
      </c>
      <c r="C290" s="66">
        <v>1031.93</v>
      </c>
      <c r="D290" s="47">
        <v>1</v>
      </c>
      <c r="E290" s="34">
        <f>C290*D290</f>
        <v>1031.93</v>
      </c>
      <c r="F290" s="70">
        <v>0.15</v>
      </c>
      <c r="G290" s="34">
        <f>IFERROR(E290/(1-F290),0)</f>
        <v>1214.04</v>
      </c>
      <c r="H290" s="34">
        <f>IFERROR(G290-E290,0)</f>
        <v>182.11</v>
      </c>
    </row>
    <row r="291" spans="1:8" x14ac:dyDescent="0.25">
      <c r="A291" t="s">
        <v>232</v>
      </c>
      <c r="B291" t="s">
        <v>235</v>
      </c>
      <c r="C291" s="67">
        <v>2500</v>
      </c>
      <c r="D291" s="54">
        <v>1</v>
      </c>
      <c r="E291" s="20">
        <f>C291*D291</f>
        <v>2500</v>
      </c>
      <c r="F291" s="21">
        <v>0.15</v>
      </c>
      <c r="G291" s="20">
        <f>IFERROR(E291/(1-F291),0)</f>
        <v>2941.18</v>
      </c>
      <c r="H291" s="20">
        <f>IFERROR(G291-E291,0)</f>
        <v>441.18</v>
      </c>
    </row>
    <row r="292" spans="1:8" x14ac:dyDescent="0.25">
      <c r="A292" s="33" t="s">
        <v>232</v>
      </c>
      <c r="B292" s="33" t="s">
        <v>236</v>
      </c>
      <c r="C292" s="66">
        <v>12000</v>
      </c>
      <c r="D292" s="47">
        <v>1</v>
      </c>
      <c r="E292" s="34">
        <f>C292*D292</f>
        <v>12000</v>
      </c>
      <c r="F292" s="70">
        <v>0.15</v>
      </c>
      <c r="G292" s="34">
        <f>IFERROR(E292/(1-F292),0)</f>
        <v>14117.65</v>
      </c>
      <c r="H292" s="34">
        <f>IFERROR(G292-E292,0)</f>
        <v>2117.65</v>
      </c>
    </row>
    <row r="293" spans="1:8" x14ac:dyDescent="0.25">
      <c r="A293" t="s">
        <v>232</v>
      </c>
      <c r="B293" t="s">
        <v>238</v>
      </c>
      <c r="C293" s="67">
        <v>20638.68</v>
      </c>
      <c r="D293" s="54">
        <v>1</v>
      </c>
      <c r="E293" s="20">
        <f>C293*D293</f>
        <v>20638.68</v>
      </c>
      <c r="F293" s="21">
        <v>0.15</v>
      </c>
      <c r="G293" s="20">
        <f>IFERROR(E293/(1-F293),0)</f>
        <v>24280.8</v>
      </c>
      <c r="H293" s="20">
        <f>IFERROR(G293-E293,0)</f>
        <v>3642.12</v>
      </c>
    </row>
    <row r="294" spans="2:8" x14ac:dyDescent="0.25">
      <c r="B294" s="26" t="s">
        <v>237</v>
      </c>
      <c r="E294" s="55">
        <f>SUM(E289:E293)</f>
        <v>36620.61</v>
      </c>
      <c r="G294" s="20">
        <f>SUM(G289:G293)</f>
        <v>43083.08</v>
      </c>
      <c r="H294" s="20">
        <f>IFERROR(G294-E294,0)</f>
        <v>6462.4699999999975</v>
      </c>
    </row>
    <row r="296" spans="1:8" x14ac:dyDescent="0.25">
      <c r="A296" s="28" t="s">
        <v>239</v>
      </c>
      <c r="B296" s="28"/>
      <c r="C296" s="28"/>
      <c r="D296" s="28"/>
      <c r="E296" s="71">
        <f>E12+E19+E24+E31+E36+E41+E47+E53+E59+E65+E71+E77+E83+E88+E93+E98+E103+E108+E113+E118+E123+E128+E133+E139+E144+E149+E154+E159+E164+E171+E178+E185+E192+E199+E206+E213+E221+E229+E237+E245+E252+E259+E266+E274+E280+E286+E294</f>
        <v>634987.58</v>
      </c>
      <c r="F296" s="28"/>
      <c r="G296" s="71">
        <f>G12+G19+G24+G31+G36+G41+G47+G53+G59+G65+G71+G77+G83+G88+G93+G98+G103+G108+G113+G118+G123+G128+G133+G139+G144+G149+G154+G159+G164+G171+G178+G185+G192+G199+G206+G213+G221+G229+G237+G245+G252+G259+G266+G274+G280+G286+G294</f>
        <v>747044.2099999998</v>
      </c>
      <c r="H296" s="71">
        <f>IFERROR(G296-E296,0)</f>
        <v>112056.62999999989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G30"/>
  <sheetFormatPr defaultRowHeight="15" outlineLevelRow="0" outlineLevelCol="0" x14ac:dyDescent="55"/>
  <cols>
    <col min="1" max="1" width="4" customWidth="1"/>
    <col min="2" max="2" width="30" customWidth="1"/>
    <col min="3" max="3" width="14" customWidth="1"/>
    <col min="4" max="4" width="12" customWidth="1"/>
    <col min="5" max="5" width="14" customWidth="1"/>
    <col min="6" max="6" width="4" customWidth="1"/>
    <col min="7" max="7" width="24" customWidth="1"/>
  </cols>
  <sheetData>
    <row r="1" ht="36" customHeight="1" spans="1:7" x14ac:dyDescent="0.25">
      <c r="A1" s="1" t="s">
        <v>240</v>
      </c>
      <c r="B1" s="1"/>
      <c r="C1" s="1"/>
      <c r="D1" s="1"/>
      <c r="E1" s="1"/>
      <c r="F1" s="1"/>
      <c r="G1" s="1"/>
    </row>
    <row r="4" ht="24" customHeight="1" spans="1:5" x14ac:dyDescent="0.25">
      <c r="A4" s="3" t="s">
        <v>35</v>
      </c>
      <c r="B4" s="3" t="s">
        <v>241</v>
      </c>
      <c r="C4" s="3" t="s">
        <v>37</v>
      </c>
      <c r="D4" s="3" t="s">
        <v>242</v>
      </c>
      <c r="E4" s="3" t="s">
        <v>29</v>
      </c>
    </row>
    <row r="5" spans="1:7" x14ac:dyDescent="0.25">
      <c r="A5" s="33"/>
      <c r="B5" s="33" t="s">
        <v>243</v>
      </c>
      <c r="C5" s="34">
        <v>300</v>
      </c>
      <c r="D5" s="72">
        <v>0</v>
      </c>
      <c r="E5" s="34">
        <v>0</v>
      </c>
      <c r="G5" s="73" t="s">
        <v>35</v>
      </c>
    </row>
    <row r="6" spans="2:7" x14ac:dyDescent="0.25">
      <c r="B6" t="s">
        <v>244</v>
      </c>
      <c r="C6" s="20">
        <v>1000</v>
      </c>
      <c r="D6" s="74">
        <v>0</v>
      </c>
      <c r="E6" s="20">
        <v>0</v>
      </c>
      <c r="G6" s="73" t="s">
        <v>35</v>
      </c>
    </row>
    <row r="7" spans="1:7" x14ac:dyDescent="0.25">
      <c r="A7" s="33"/>
      <c r="B7" s="33" t="s">
        <v>245</v>
      </c>
      <c r="C7" s="34">
        <v>125</v>
      </c>
      <c r="D7" s="72">
        <v>0</v>
      </c>
      <c r="E7" s="34">
        <v>0</v>
      </c>
      <c r="G7" s="73" t="s">
        <v>35</v>
      </c>
    </row>
    <row r="8" spans="2:7" x14ac:dyDescent="0.25">
      <c r="B8" t="s">
        <v>246</v>
      </c>
      <c r="C8" s="20">
        <v>100</v>
      </c>
      <c r="D8" s="74">
        <v>0</v>
      </c>
      <c r="E8" s="20">
        <v>0</v>
      </c>
      <c r="G8" s="73" t="s">
        <v>35</v>
      </c>
    </row>
    <row r="9" spans="1:7" x14ac:dyDescent="0.25">
      <c r="A9" s="33"/>
      <c r="B9" s="33" t="s">
        <v>247</v>
      </c>
      <c r="C9" s="34">
        <v>10000</v>
      </c>
      <c r="D9" s="72">
        <v>0</v>
      </c>
      <c r="E9" s="34">
        <v>0</v>
      </c>
      <c r="G9" s="73" t="s">
        <v>248</v>
      </c>
    </row>
    <row r="10" spans="1:5" x14ac:dyDescent="0.25">
      <c r="A10" s="68"/>
      <c r="B10" s="68" t="s">
        <v>249</v>
      </c>
      <c r="C10" s="68"/>
      <c r="D10" s="68"/>
      <c r="E10" s="69">
        <v>0</v>
      </c>
    </row>
    <row r="11" spans="1:5" x14ac:dyDescent="0.25">
      <c r="A11" s="36"/>
      <c r="B11" s="36" t="s">
        <v>227</v>
      </c>
      <c r="C11" s="36" t="s">
        <v>250</v>
      </c>
      <c r="D11" s="36"/>
      <c r="E11" s="37">
        <v>0</v>
      </c>
    </row>
    <row r="13" ht="24" customHeight="1" spans="1:5" x14ac:dyDescent="0.25">
      <c r="A13" s="3" t="s">
        <v>35</v>
      </c>
      <c r="B13" s="3" t="s">
        <v>251</v>
      </c>
      <c r="C13" s="3" t="s">
        <v>37</v>
      </c>
      <c r="D13" s="3" t="s">
        <v>242</v>
      </c>
      <c r="E13" s="3" t="s">
        <v>29</v>
      </c>
    </row>
    <row r="14" spans="1:7" x14ac:dyDescent="0.25">
      <c r="A14" s="33"/>
      <c r="B14" s="33" t="s">
        <v>243</v>
      </c>
      <c r="C14" s="34">
        <v>300</v>
      </c>
      <c r="D14" s="72">
        <v>0</v>
      </c>
      <c r="E14" s="34">
        <v>0</v>
      </c>
      <c r="G14" s="73" t="s">
        <v>35</v>
      </c>
    </row>
    <row r="15" spans="2:7" x14ac:dyDescent="0.25">
      <c r="B15" t="s">
        <v>244</v>
      </c>
      <c r="C15" s="20">
        <v>1000</v>
      </c>
      <c r="D15" s="74">
        <v>0</v>
      </c>
      <c r="E15" s="20">
        <v>0</v>
      </c>
      <c r="G15" s="73" t="s">
        <v>35</v>
      </c>
    </row>
    <row r="16" spans="1:7" x14ac:dyDescent="0.25">
      <c r="A16" s="33"/>
      <c r="B16" s="33" t="s">
        <v>245</v>
      </c>
      <c r="C16" s="34">
        <v>125</v>
      </c>
      <c r="D16" s="72">
        <v>0</v>
      </c>
      <c r="E16" s="34">
        <v>0</v>
      </c>
      <c r="G16" s="73" t="s">
        <v>35</v>
      </c>
    </row>
    <row r="17" spans="2:7" x14ac:dyDescent="0.25">
      <c r="B17" t="s">
        <v>246</v>
      </c>
      <c r="C17" s="20">
        <v>100</v>
      </c>
      <c r="D17" s="74">
        <v>0</v>
      </c>
      <c r="E17" s="20">
        <v>0</v>
      </c>
      <c r="G17" s="73" t="s">
        <v>35</v>
      </c>
    </row>
    <row r="18" spans="1:7" x14ac:dyDescent="0.25">
      <c r="A18" s="33"/>
      <c r="B18" s="33" t="s">
        <v>247</v>
      </c>
      <c r="C18" s="34">
        <v>10000</v>
      </c>
      <c r="D18" s="72">
        <v>0</v>
      </c>
      <c r="E18" s="34">
        <v>0</v>
      </c>
      <c r="G18" s="73" t="s">
        <v>248</v>
      </c>
    </row>
    <row r="19" spans="1:5" x14ac:dyDescent="0.25">
      <c r="A19" s="68"/>
      <c r="B19" s="68" t="s">
        <v>249</v>
      </c>
      <c r="C19" s="68"/>
      <c r="D19" s="68"/>
      <c r="E19" s="69">
        <v>0</v>
      </c>
    </row>
    <row r="20" spans="1:5" x14ac:dyDescent="0.25">
      <c r="A20" s="36"/>
      <c r="B20" s="36" t="s">
        <v>227</v>
      </c>
      <c r="C20" s="36" t="s">
        <v>250</v>
      </c>
      <c r="D20" s="36"/>
      <c r="E20" s="37">
        <v>0</v>
      </c>
    </row>
    <row r="22" ht="24" customHeight="1" spans="1:5" x14ac:dyDescent="0.25">
      <c r="A22" s="3" t="s">
        <v>35</v>
      </c>
      <c r="B22" s="3" t="s">
        <v>252</v>
      </c>
      <c r="C22" s="3" t="s">
        <v>37</v>
      </c>
      <c r="D22" s="3" t="s">
        <v>242</v>
      </c>
      <c r="E22" s="3" t="s">
        <v>29</v>
      </c>
    </row>
    <row r="23" spans="1:7" x14ac:dyDescent="0.25">
      <c r="A23" s="33"/>
      <c r="B23" s="33" t="s">
        <v>243</v>
      </c>
      <c r="C23" s="34">
        <v>300</v>
      </c>
      <c r="D23" s="72">
        <v>0</v>
      </c>
      <c r="E23" s="34">
        <v>0</v>
      </c>
      <c r="G23" s="73" t="s">
        <v>35</v>
      </c>
    </row>
    <row r="24" spans="2:7" x14ac:dyDescent="0.25">
      <c r="B24" t="s">
        <v>244</v>
      </c>
      <c r="C24" s="20">
        <v>1000</v>
      </c>
      <c r="D24" s="74">
        <v>0</v>
      </c>
      <c r="E24" s="20">
        <v>0</v>
      </c>
      <c r="G24" s="73" t="s">
        <v>35</v>
      </c>
    </row>
    <row r="25" spans="1:7" x14ac:dyDescent="0.25">
      <c r="A25" s="33"/>
      <c r="B25" s="33" t="s">
        <v>245</v>
      </c>
      <c r="C25" s="34">
        <v>125</v>
      </c>
      <c r="D25" s="72">
        <v>0</v>
      </c>
      <c r="E25" s="34">
        <v>0</v>
      </c>
      <c r="G25" s="73" t="s">
        <v>35</v>
      </c>
    </row>
    <row r="26" spans="2:7" x14ac:dyDescent="0.25">
      <c r="B26" t="s">
        <v>246</v>
      </c>
      <c r="C26" s="20">
        <v>100</v>
      </c>
      <c r="D26" s="74">
        <v>0</v>
      </c>
      <c r="E26" s="20">
        <v>0</v>
      </c>
      <c r="G26" s="73" t="s">
        <v>35</v>
      </c>
    </row>
    <row r="27" spans="1:7" x14ac:dyDescent="0.25">
      <c r="A27" s="33"/>
      <c r="B27" s="33" t="s">
        <v>247</v>
      </c>
      <c r="C27" s="34">
        <v>10000</v>
      </c>
      <c r="D27" s="72">
        <v>0</v>
      </c>
      <c r="E27" s="34">
        <v>0</v>
      </c>
      <c r="G27" s="73" t="s">
        <v>248</v>
      </c>
    </row>
    <row r="28" spans="2:7" x14ac:dyDescent="0.25">
      <c r="B28" t="s">
        <v>253</v>
      </c>
      <c r="C28" s="20">
        <v>1500</v>
      </c>
      <c r="D28" s="74">
        <v>0</v>
      </c>
      <c r="E28" s="20">
        <v>0</v>
      </c>
      <c r="G28" s="73" t="s">
        <v>35</v>
      </c>
    </row>
    <row r="29" spans="1:5" x14ac:dyDescent="0.25">
      <c r="A29" s="68"/>
      <c r="B29" s="68" t="s">
        <v>249</v>
      </c>
      <c r="C29" s="68"/>
      <c r="D29" s="68"/>
      <c r="E29" s="69">
        <v>0</v>
      </c>
    </row>
    <row r="30" spans="1:5" x14ac:dyDescent="0.25">
      <c r="A30" s="36"/>
      <c r="B30" s="36" t="s">
        <v>227</v>
      </c>
      <c r="C30" s="36" t="s">
        <v>250</v>
      </c>
      <c r="D30" s="36"/>
      <c r="E30" s="37"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26"/>
  <sheetFormatPr defaultRowHeight="15" outlineLevelRow="0" outlineLevelCol="0" x14ac:dyDescent="55"/>
  <cols>
    <col min="1" max="1" width="4" customWidth="1"/>
    <col min="2" max="2" width="14" customWidth="1"/>
    <col min="3" max="3" width="36" customWidth="1"/>
    <col min="4" max="4" width="14" customWidth="1"/>
    <col min="5" max="5" width="10" customWidth="1"/>
    <col min="6" max="6" width="14" customWidth="1"/>
    <col min="7" max="7" width="12" customWidth="1"/>
    <col min="8" max="9" width="14" customWidth="1"/>
    <col min="10" max="10" width="4" customWidth="1"/>
  </cols>
  <sheetData>
    <row r="1" ht="36" customHeight="1" spans="1:7" x14ac:dyDescent="0.25">
      <c r="A1" s="1" t="s">
        <v>254</v>
      </c>
      <c r="B1" s="1"/>
      <c r="C1" s="1"/>
      <c r="D1" s="1"/>
      <c r="E1" s="1"/>
      <c r="F1" s="1"/>
      <c r="G1" s="1"/>
    </row>
    <row r="4" spans="2:2" x14ac:dyDescent="0.25">
      <c r="B4" s="64" t="s">
        <v>255</v>
      </c>
    </row>
    <row r="5" spans="2:2" x14ac:dyDescent="0.25">
      <c r="B5" s="75" t="s">
        <v>256</v>
      </c>
    </row>
    <row r="6" ht="24" customHeight="1" spans="1:9" x14ac:dyDescent="0.25">
      <c r="A6" s="25" t="s">
        <v>35</v>
      </c>
      <c r="B6" s="25" t="s">
        <v>90</v>
      </c>
      <c r="C6" s="25" t="s">
        <v>257</v>
      </c>
      <c r="D6" s="25" t="s">
        <v>37</v>
      </c>
      <c r="E6" s="25" t="s">
        <v>242</v>
      </c>
      <c r="F6" s="25" t="s">
        <v>29</v>
      </c>
      <c r="G6" s="25" t="s">
        <v>231</v>
      </c>
      <c r="H6" s="25" t="s">
        <v>38</v>
      </c>
      <c r="I6" s="25" t="s">
        <v>39</v>
      </c>
    </row>
    <row r="7" spans="1:9" x14ac:dyDescent="0.25">
      <c r="A7" s="33"/>
      <c r="B7" s="6" t="s">
        <v>258</v>
      </c>
      <c r="C7" s="33" t="s">
        <v>259</v>
      </c>
      <c r="D7" s="66">
        <v>0</v>
      </c>
      <c r="E7" s="72">
        <v>0</v>
      </c>
      <c r="F7" s="34">
        <f>D7*E7</f>
        <v>0</v>
      </c>
      <c r="G7" s="35">
        <v>0.1</v>
      </c>
      <c r="H7" s="34">
        <f>IFERROR(F7/(1-G7),0)</f>
        <v>0</v>
      </c>
      <c r="I7" s="34">
        <f>IFERROR(H7-F7,0)</f>
        <v>0</v>
      </c>
    </row>
    <row r="8" spans="2:9" x14ac:dyDescent="0.25">
      <c r="B8" s="4" t="s">
        <v>258</v>
      </c>
      <c r="C8" t="s">
        <v>260</v>
      </c>
      <c r="D8" s="67">
        <v>0</v>
      </c>
      <c r="E8" s="74">
        <v>0</v>
      </c>
      <c r="F8" s="20">
        <f>D8*E8</f>
        <v>0</v>
      </c>
      <c r="G8" s="27">
        <v>0.1</v>
      </c>
      <c r="H8" s="20">
        <f>IFERROR(F8/(1-G8),0)</f>
        <v>0</v>
      </c>
      <c r="I8" s="20">
        <f>IFERROR(H8-F8,0)</f>
        <v>0</v>
      </c>
    </row>
    <row r="9" spans="1:9" x14ac:dyDescent="0.25">
      <c r="A9" s="33"/>
      <c r="B9" s="6" t="s">
        <v>258</v>
      </c>
      <c r="C9" s="33" t="s">
        <v>261</v>
      </c>
      <c r="D9" s="66">
        <v>0</v>
      </c>
      <c r="E9" s="72">
        <v>0</v>
      </c>
      <c r="F9" s="34">
        <f>D9*E9</f>
        <v>0</v>
      </c>
      <c r="G9" s="35">
        <v>0.1</v>
      </c>
      <c r="H9" s="34">
        <f>IFERROR(F9/(1-G9),0)</f>
        <v>0</v>
      </c>
      <c r="I9" s="34">
        <f>IFERROR(H9-F9,0)</f>
        <v>0</v>
      </c>
    </row>
    <row r="10" spans="2:9" x14ac:dyDescent="0.25">
      <c r="B10" s="4" t="s">
        <v>258</v>
      </c>
      <c r="C10" t="s">
        <v>262</v>
      </c>
      <c r="D10" s="67">
        <v>0</v>
      </c>
      <c r="E10" s="74">
        <v>0</v>
      </c>
      <c r="F10" s="20">
        <f>D10*E10</f>
        <v>0</v>
      </c>
      <c r="G10" s="27">
        <v>0.1</v>
      </c>
      <c r="H10" s="20">
        <f>IFERROR(F10/(1-G10),0)</f>
        <v>0</v>
      </c>
      <c r="I10" s="20">
        <f>IFERROR(H10-F10,0)</f>
        <v>0</v>
      </c>
    </row>
    <row r="11" spans="1:9" x14ac:dyDescent="0.25">
      <c r="A11" s="33"/>
      <c r="B11" s="6" t="s">
        <v>263</v>
      </c>
      <c r="C11" s="33" t="s">
        <v>259</v>
      </c>
      <c r="D11" s="66">
        <v>0</v>
      </c>
      <c r="E11" s="72">
        <v>0</v>
      </c>
      <c r="F11" s="34">
        <f>D11*E11</f>
        <v>0</v>
      </c>
      <c r="G11" s="35">
        <v>0.1</v>
      </c>
      <c r="H11" s="34">
        <f>IFERROR(F11/(1-G11),0)</f>
        <v>0</v>
      </c>
      <c r="I11" s="34">
        <f>IFERROR(H11-F11,0)</f>
        <v>0</v>
      </c>
    </row>
    <row r="12" spans="2:9" x14ac:dyDescent="0.25">
      <c r="B12" s="4" t="s">
        <v>263</v>
      </c>
      <c r="C12" t="s">
        <v>260</v>
      </c>
      <c r="D12" s="67">
        <v>0</v>
      </c>
      <c r="E12" s="74">
        <v>0</v>
      </c>
      <c r="F12" s="20">
        <f>D12*E12</f>
        <v>0</v>
      </c>
      <c r="G12" s="27">
        <v>0.1</v>
      </c>
      <c r="H12" s="20">
        <f>IFERROR(F12/(1-G12),0)</f>
        <v>0</v>
      </c>
      <c r="I12" s="20">
        <f>IFERROR(H12-F12,0)</f>
        <v>0</v>
      </c>
    </row>
    <row r="13" spans="1:9" x14ac:dyDescent="0.25">
      <c r="A13" s="33"/>
      <c r="B13" s="6" t="s">
        <v>263</v>
      </c>
      <c r="C13" s="33" t="s">
        <v>261</v>
      </c>
      <c r="D13" s="66">
        <v>0</v>
      </c>
      <c r="E13" s="72">
        <v>0</v>
      </c>
      <c r="F13" s="34">
        <f>D13*E13</f>
        <v>0</v>
      </c>
      <c r="G13" s="35">
        <v>0.1</v>
      </c>
      <c r="H13" s="34">
        <f>IFERROR(F13/(1-G13),0)</f>
        <v>0</v>
      </c>
      <c r="I13" s="34">
        <f>IFERROR(H13-F13,0)</f>
        <v>0</v>
      </c>
    </row>
    <row r="14" spans="2:9" x14ac:dyDescent="0.25">
      <c r="B14" s="4" t="s">
        <v>264</v>
      </c>
      <c r="C14" t="s">
        <v>265</v>
      </c>
      <c r="D14" s="67">
        <v>0</v>
      </c>
      <c r="E14" s="74">
        <v>0</v>
      </c>
      <c r="F14" s="20">
        <f>D14*E14</f>
        <v>0</v>
      </c>
      <c r="G14" s="27">
        <v>0.1</v>
      </c>
      <c r="H14" s="20">
        <f>IFERROR(F14/(1-G14),0)</f>
        <v>0</v>
      </c>
      <c r="I14" s="20">
        <f>IFERROR(H14-F14,0)</f>
        <v>0</v>
      </c>
    </row>
    <row r="15" spans="1:9" x14ac:dyDescent="0.25">
      <c r="A15" s="33"/>
      <c r="B15" s="6" t="s">
        <v>264</v>
      </c>
      <c r="C15" s="33" t="s">
        <v>266</v>
      </c>
      <c r="D15" s="66">
        <v>0</v>
      </c>
      <c r="E15" s="72">
        <v>0</v>
      </c>
      <c r="F15" s="34">
        <f>D15*E15</f>
        <v>0</v>
      </c>
      <c r="G15" s="35">
        <v>0.1</v>
      </c>
      <c r="H15" s="34">
        <f>IFERROR(F15/(1-G15),0)</f>
        <v>0</v>
      </c>
      <c r="I15" s="34">
        <f>IFERROR(H15-F15,0)</f>
        <v>0</v>
      </c>
    </row>
    <row r="16" spans="2:9" x14ac:dyDescent="0.25">
      <c r="B16" s="4" t="s">
        <v>264</v>
      </c>
      <c r="C16" t="s">
        <v>267</v>
      </c>
      <c r="D16" s="67">
        <v>0</v>
      </c>
      <c r="E16" s="74">
        <v>0</v>
      </c>
      <c r="F16" s="20">
        <f>D16*E16</f>
        <v>0</v>
      </c>
      <c r="G16" s="27">
        <v>0.1</v>
      </c>
      <c r="H16" s="20">
        <f>IFERROR(F16/(1-G16),0)</f>
        <v>0</v>
      </c>
      <c r="I16" s="20">
        <f>IFERROR(H16-F16,0)</f>
        <v>0</v>
      </c>
    </row>
    <row r="17" spans="1:9" x14ac:dyDescent="0.25">
      <c r="A17" s="33"/>
      <c r="B17" s="7" t="s">
        <v>35</v>
      </c>
      <c r="C17" s="33" t="s">
        <v>268</v>
      </c>
      <c r="D17" s="66">
        <v>0</v>
      </c>
      <c r="E17" s="72">
        <v>0</v>
      </c>
      <c r="F17" s="34">
        <f>D17*E17</f>
        <v>0</v>
      </c>
      <c r="G17" s="35">
        <v>0.1</v>
      </c>
      <c r="H17" s="34">
        <f>IFERROR(F17/(1-G17),0)</f>
        <v>0</v>
      </c>
      <c r="I17" s="34">
        <f>IFERROR(H17-F17,0)</f>
        <v>0</v>
      </c>
    </row>
    <row r="18" spans="2:9" x14ac:dyDescent="0.25">
      <c r="B18" s="5" t="s">
        <v>35</v>
      </c>
      <c r="C18" t="s">
        <v>269</v>
      </c>
      <c r="D18" s="67">
        <v>0</v>
      </c>
      <c r="E18" s="74">
        <v>0</v>
      </c>
      <c r="F18" s="20">
        <f>D18*E18</f>
        <v>0</v>
      </c>
      <c r="G18" s="27">
        <v>0.1</v>
      </c>
      <c r="H18" s="20">
        <f>IFERROR(F18/(1-G18),0)</f>
        <v>0</v>
      </c>
      <c r="I18" s="20">
        <f>IFERROR(H18-F18,0)</f>
        <v>0</v>
      </c>
    </row>
    <row r="19" spans="1:9" x14ac:dyDescent="0.25">
      <c r="A19" s="33"/>
      <c r="B19" s="7" t="s">
        <v>35</v>
      </c>
      <c r="C19" s="33" t="s">
        <v>122</v>
      </c>
      <c r="D19" s="66">
        <v>0</v>
      </c>
      <c r="E19" s="72">
        <v>0</v>
      </c>
      <c r="F19" s="34">
        <f>D19*E19</f>
        <v>0</v>
      </c>
      <c r="G19" s="35">
        <v>0.1</v>
      </c>
      <c r="H19" s="34">
        <f>IFERROR(F19/(1-G19),0)</f>
        <v>0</v>
      </c>
      <c r="I19" s="34">
        <f>IFERROR(H19-F19,0)</f>
        <v>0</v>
      </c>
    </row>
    <row r="20" spans="2:9" x14ac:dyDescent="0.25">
      <c r="B20" s="5" t="s">
        <v>35</v>
      </c>
      <c r="C20" t="s">
        <v>270</v>
      </c>
      <c r="D20" s="67">
        <v>0</v>
      </c>
      <c r="E20" s="74">
        <v>0</v>
      </c>
      <c r="F20" s="20">
        <f>D20*E20</f>
        <v>0</v>
      </c>
      <c r="G20" s="27">
        <v>0.1</v>
      </c>
      <c r="H20" s="20">
        <f>IFERROR(F20/(1-G20),0)</f>
        <v>0</v>
      </c>
      <c r="I20" s="20">
        <f>IFERROR(H20-F20,0)</f>
        <v>0</v>
      </c>
    </row>
    <row r="22" spans="1:9" x14ac:dyDescent="0.25">
      <c r="A22" s="56"/>
      <c r="B22" s="56"/>
      <c r="C22" s="56" t="s">
        <v>271</v>
      </c>
      <c r="D22" s="56"/>
      <c r="E22" s="56"/>
      <c r="F22" s="58">
        <f>SUM(F7:F20)</f>
        <v>0</v>
      </c>
      <c r="G22" s="56"/>
      <c r="H22" s="58">
        <f>SUM(H7:H20)</f>
        <v>0</v>
      </c>
      <c r="I22" s="58">
        <f>IFERROR(H22-F22,0)</f>
        <v>0</v>
      </c>
    </row>
    <row r="24" spans="2:6" x14ac:dyDescent="0.25">
      <c r="B24" t="s">
        <v>99</v>
      </c>
      <c r="F24" s="67">
        <v>0</v>
      </c>
    </row>
    <row r="25" spans="2:6" x14ac:dyDescent="0.25">
      <c r="B25" t="s">
        <v>100</v>
      </c>
      <c r="F25" s="67">
        <v>0</v>
      </c>
    </row>
    <row r="26" spans="1:9" x14ac:dyDescent="0.25">
      <c r="A26" s="28"/>
      <c r="B26" s="76" t="s">
        <v>272</v>
      </c>
      <c r="C26" s="76" t="s">
        <v>250</v>
      </c>
      <c r="D26" s="28"/>
      <c r="E26" s="28"/>
      <c r="F26" s="77">
        <f>F22+F24+F25</f>
        <v>0</v>
      </c>
      <c r="G26" s="28"/>
      <c r="H26" s="77">
        <f>H22</f>
        <v>0</v>
      </c>
      <c r="I26" s="77">
        <f>IFERROR(H26-F26,0)</f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27"/>
  <sheetFormatPr defaultRowHeight="15" outlineLevelRow="0" outlineLevelCol="0" x14ac:dyDescent="55"/>
  <cols>
    <col min="1" max="1" width="4" customWidth="1"/>
    <col min="2" max="2" width="14" customWidth="1"/>
    <col min="3" max="3" width="36" customWidth="1"/>
    <col min="4" max="4" width="14" customWidth="1"/>
    <col min="5" max="5" width="10" customWidth="1"/>
    <col min="6" max="6" width="14" customWidth="1"/>
    <col min="7" max="7" width="12" customWidth="1"/>
    <col min="8" max="9" width="14" customWidth="1"/>
    <col min="10" max="10" width="4" customWidth="1"/>
  </cols>
  <sheetData>
    <row r="1" ht="36" customHeight="1" spans="1:7" x14ac:dyDescent="0.25">
      <c r="A1" s="1" t="s">
        <v>273</v>
      </c>
      <c r="B1" s="1"/>
      <c r="C1" s="1"/>
      <c r="D1" s="1"/>
      <c r="E1" s="1"/>
      <c r="F1" s="1"/>
      <c r="G1" s="1"/>
    </row>
    <row r="4" spans="2:2" x14ac:dyDescent="0.25">
      <c r="B4" s="64" t="s">
        <v>274</v>
      </c>
    </row>
    <row r="5" spans="2:2" x14ac:dyDescent="0.25">
      <c r="B5" s="75" t="s">
        <v>256</v>
      </c>
    </row>
    <row r="6" ht="24" customHeight="1" spans="1:9" x14ac:dyDescent="0.25">
      <c r="A6" s="25" t="s">
        <v>35</v>
      </c>
      <c r="B6" s="25" t="s">
        <v>90</v>
      </c>
      <c r="C6" s="25" t="s">
        <v>257</v>
      </c>
      <c r="D6" s="25" t="s">
        <v>37</v>
      </c>
      <c r="E6" s="25" t="s">
        <v>242</v>
      </c>
      <c r="F6" s="25" t="s">
        <v>29</v>
      </c>
      <c r="G6" s="25" t="s">
        <v>231</v>
      </c>
      <c r="H6" s="25" t="s">
        <v>38</v>
      </c>
      <c r="I6" s="25" t="s">
        <v>39</v>
      </c>
    </row>
    <row r="7" spans="1:9" x14ac:dyDescent="0.25">
      <c r="A7" s="33"/>
      <c r="B7" s="6" t="s">
        <v>275</v>
      </c>
      <c r="C7" s="33" t="s">
        <v>276</v>
      </c>
      <c r="D7" s="66">
        <v>0</v>
      </c>
      <c r="E7" s="72">
        <v>0</v>
      </c>
      <c r="F7" s="34">
        <f>D7*E7</f>
        <v>0</v>
      </c>
      <c r="G7" s="35">
        <v>0.1</v>
      </c>
      <c r="H7" s="34">
        <f>IFERROR(F7/(1-G7),0)</f>
        <v>0</v>
      </c>
      <c r="I7" s="34">
        <f>IFERROR(H7-F7,0)</f>
        <v>0</v>
      </c>
    </row>
    <row r="8" spans="2:9" x14ac:dyDescent="0.25">
      <c r="B8" s="4" t="s">
        <v>275</v>
      </c>
      <c r="C8" t="s">
        <v>277</v>
      </c>
      <c r="D8" s="67">
        <v>0</v>
      </c>
      <c r="E8" s="74">
        <v>0</v>
      </c>
      <c r="F8" s="20">
        <f>D8*E8</f>
        <v>0</v>
      </c>
      <c r="G8" s="27">
        <v>0.1</v>
      </c>
      <c r="H8" s="20">
        <f>IFERROR(F8/(1-G8),0)</f>
        <v>0</v>
      </c>
      <c r="I8" s="20">
        <f>IFERROR(H8-F8,0)</f>
        <v>0</v>
      </c>
    </row>
    <row r="9" spans="1:9" x14ac:dyDescent="0.25">
      <c r="A9" s="33"/>
      <c r="B9" s="6" t="s">
        <v>275</v>
      </c>
      <c r="C9" s="33" t="s">
        <v>278</v>
      </c>
      <c r="D9" s="66">
        <v>0</v>
      </c>
      <c r="E9" s="72">
        <v>0</v>
      </c>
      <c r="F9" s="34">
        <f>D9*E9</f>
        <v>0</v>
      </c>
      <c r="G9" s="35">
        <v>0.1</v>
      </c>
      <c r="H9" s="34">
        <f>IFERROR(F9/(1-G9),0)</f>
        <v>0</v>
      </c>
      <c r="I9" s="34">
        <f>IFERROR(H9-F9,0)</f>
        <v>0</v>
      </c>
    </row>
    <row r="10" spans="2:9" x14ac:dyDescent="0.25">
      <c r="B10" s="4" t="s">
        <v>275</v>
      </c>
      <c r="C10" t="s">
        <v>279</v>
      </c>
      <c r="D10" s="67">
        <v>0</v>
      </c>
      <c r="E10" s="74">
        <v>0</v>
      </c>
      <c r="F10" s="20">
        <f>D10*E10</f>
        <v>0</v>
      </c>
      <c r="G10" s="27">
        <v>0.1</v>
      </c>
      <c r="H10" s="20">
        <f>IFERROR(F10/(1-G10),0)</f>
        <v>0</v>
      </c>
      <c r="I10" s="20">
        <f>IFERROR(H10-F10,0)</f>
        <v>0</v>
      </c>
    </row>
    <row r="11" spans="1:9" x14ac:dyDescent="0.25">
      <c r="A11" s="33"/>
      <c r="B11" s="6" t="s">
        <v>275</v>
      </c>
      <c r="C11" s="33" t="s">
        <v>280</v>
      </c>
      <c r="D11" s="66">
        <v>0</v>
      </c>
      <c r="E11" s="72">
        <v>0</v>
      </c>
      <c r="F11" s="34">
        <f>D11*E11</f>
        <v>0</v>
      </c>
      <c r="G11" s="35">
        <v>0.1</v>
      </c>
      <c r="H11" s="34">
        <f>IFERROR(F11/(1-G11),0)</f>
        <v>0</v>
      </c>
      <c r="I11" s="34">
        <f>IFERROR(H11-F11,0)</f>
        <v>0</v>
      </c>
    </row>
    <row r="12" spans="2:9" x14ac:dyDescent="0.25">
      <c r="B12" s="4" t="s">
        <v>281</v>
      </c>
      <c r="C12" t="s">
        <v>282</v>
      </c>
      <c r="D12" s="67">
        <v>0</v>
      </c>
      <c r="E12" s="74">
        <v>0</v>
      </c>
      <c r="F12" s="20">
        <f>D12*E12</f>
        <v>0</v>
      </c>
      <c r="G12" s="27">
        <v>0.1</v>
      </c>
      <c r="H12" s="20">
        <f>IFERROR(F12/(1-G12),0)</f>
        <v>0</v>
      </c>
      <c r="I12" s="20">
        <f>IFERROR(H12-F12,0)</f>
        <v>0</v>
      </c>
    </row>
    <row r="13" spans="1:9" x14ac:dyDescent="0.25">
      <c r="A13" s="33"/>
      <c r="B13" s="6" t="s">
        <v>281</v>
      </c>
      <c r="C13" s="33" t="s">
        <v>283</v>
      </c>
      <c r="D13" s="66">
        <v>0</v>
      </c>
      <c r="E13" s="72">
        <v>0</v>
      </c>
      <c r="F13" s="34">
        <f>D13*E13</f>
        <v>0</v>
      </c>
      <c r="G13" s="35">
        <v>0.1</v>
      </c>
      <c r="H13" s="34">
        <f>IFERROR(F13/(1-G13),0)</f>
        <v>0</v>
      </c>
      <c r="I13" s="34">
        <f>IFERROR(H13-F13,0)</f>
        <v>0</v>
      </c>
    </row>
    <row r="14" spans="2:9" x14ac:dyDescent="0.25">
      <c r="B14" s="4" t="s">
        <v>281</v>
      </c>
      <c r="C14" t="s">
        <v>284</v>
      </c>
      <c r="D14" s="67">
        <v>0</v>
      </c>
      <c r="E14" s="74">
        <v>0</v>
      </c>
      <c r="F14" s="20">
        <f>D14*E14</f>
        <v>0</v>
      </c>
      <c r="G14" s="27">
        <v>0.1</v>
      </c>
      <c r="H14" s="20">
        <f>IFERROR(F14/(1-G14),0)</f>
        <v>0</v>
      </c>
      <c r="I14" s="20">
        <f>IFERROR(H14-F14,0)</f>
        <v>0</v>
      </c>
    </row>
    <row r="15" spans="1:9" x14ac:dyDescent="0.25">
      <c r="A15" s="33"/>
      <c r="B15" s="6" t="s">
        <v>285</v>
      </c>
      <c r="C15" s="33" t="s">
        <v>265</v>
      </c>
      <c r="D15" s="66">
        <v>0</v>
      </c>
      <c r="E15" s="72">
        <v>0</v>
      </c>
      <c r="F15" s="34">
        <f>D15*E15</f>
        <v>0</v>
      </c>
      <c r="G15" s="35">
        <v>0.1</v>
      </c>
      <c r="H15" s="34">
        <f>IFERROR(F15/(1-G15),0)</f>
        <v>0</v>
      </c>
      <c r="I15" s="34">
        <f>IFERROR(H15-F15,0)</f>
        <v>0</v>
      </c>
    </row>
    <row r="16" spans="2:9" x14ac:dyDescent="0.25">
      <c r="B16" s="4" t="s">
        <v>285</v>
      </c>
      <c r="C16" t="s">
        <v>286</v>
      </c>
      <c r="D16" s="67">
        <v>0</v>
      </c>
      <c r="E16" s="74">
        <v>0</v>
      </c>
      <c r="F16" s="20">
        <f>D16*E16</f>
        <v>0</v>
      </c>
      <c r="G16" s="27">
        <v>0.1</v>
      </c>
      <c r="H16" s="20">
        <f>IFERROR(F16/(1-G16),0)</f>
        <v>0</v>
      </c>
      <c r="I16" s="20">
        <f>IFERROR(H16-F16,0)</f>
        <v>0</v>
      </c>
    </row>
    <row r="17" spans="1:9" x14ac:dyDescent="0.25">
      <c r="A17" s="33"/>
      <c r="B17" s="6" t="s">
        <v>285</v>
      </c>
      <c r="C17" s="33" t="s">
        <v>267</v>
      </c>
      <c r="D17" s="66">
        <v>0</v>
      </c>
      <c r="E17" s="72">
        <v>0</v>
      </c>
      <c r="F17" s="34">
        <f>D17*E17</f>
        <v>0</v>
      </c>
      <c r="G17" s="35">
        <v>0.1</v>
      </c>
      <c r="H17" s="34">
        <f>IFERROR(F17/(1-G17),0)</f>
        <v>0</v>
      </c>
      <c r="I17" s="34">
        <f>IFERROR(H17-F17,0)</f>
        <v>0</v>
      </c>
    </row>
    <row r="18" spans="2:9" x14ac:dyDescent="0.25">
      <c r="B18" s="5" t="s">
        <v>35</v>
      </c>
      <c r="C18" t="s">
        <v>268</v>
      </c>
      <c r="D18" s="67">
        <v>0</v>
      </c>
      <c r="E18" s="74">
        <v>0</v>
      </c>
      <c r="F18" s="20">
        <f>D18*E18</f>
        <v>0</v>
      </c>
      <c r="G18" s="27">
        <v>0.1</v>
      </c>
      <c r="H18" s="20">
        <f>IFERROR(F18/(1-G18),0)</f>
        <v>0</v>
      </c>
      <c r="I18" s="20">
        <f>IFERROR(H18-F18,0)</f>
        <v>0</v>
      </c>
    </row>
    <row r="19" spans="1:9" x14ac:dyDescent="0.25">
      <c r="A19" s="33"/>
      <c r="B19" s="7" t="s">
        <v>35</v>
      </c>
      <c r="C19" s="33" t="s">
        <v>269</v>
      </c>
      <c r="D19" s="66">
        <v>0</v>
      </c>
      <c r="E19" s="72">
        <v>0</v>
      </c>
      <c r="F19" s="34">
        <f>D19*E19</f>
        <v>0</v>
      </c>
      <c r="G19" s="35">
        <v>0.1</v>
      </c>
      <c r="H19" s="34">
        <f>IFERROR(F19/(1-G19),0)</f>
        <v>0</v>
      </c>
      <c r="I19" s="34">
        <f>IFERROR(H19-F19,0)</f>
        <v>0</v>
      </c>
    </row>
    <row r="20" spans="2:9" x14ac:dyDescent="0.25">
      <c r="B20" s="5" t="s">
        <v>35</v>
      </c>
      <c r="C20" t="s">
        <v>122</v>
      </c>
      <c r="D20" s="67">
        <v>0</v>
      </c>
      <c r="E20" s="74">
        <v>0</v>
      </c>
      <c r="F20" s="20">
        <f>D20*E20</f>
        <v>0</v>
      </c>
      <c r="G20" s="27">
        <v>0.1</v>
      </c>
      <c r="H20" s="20">
        <f>IFERROR(F20/(1-G20),0)</f>
        <v>0</v>
      </c>
      <c r="I20" s="20">
        <f>IFERROR(H20-F20,0)</f>
        <v>0</v>
      </c>
    </row>
    <row r="21" spans="1:9" x14ac:dyDescent="0.25">
      <c r="A21" s="33"/>
      <c r="B21" s="7" t="s">
        <v>35</v>
      </c>
      <c r="C21" s="33" t="s">
        <v>270</v>
      </c>
      <c r="D21" s="66">
        <v>0</v>
      </c>
      <c r="E21" s="72">
        <v>0</v>
      </c>
      <c r="F21" s="34">
        <f>D21*E21</f>
        <v>0</v>
      </c>
      <c r="G21" s="35">
        <v>0.1</v>
      </c>
      <c r="H21" s="34">
        <f>IFERROR(F21/(1-G21),0)</f>
        <v>0</v>
      </c>
      <c r="I21" s="34">
        <f>IFERROR(H21-F21,0)</f>
        <v>0</v>
      </c>
    </row>
    <row r="23" spans="1:9" x14ac:dyDescent="0.25">
      <c r="A23" s="56"/>
      <c r="B23" s="56"/>
      <c r="C23" s="56" t="s">
        <v>287</v>
      </c>
      <c r="D23" s="56"/>
      <c r="E23" s="56"/>
      <c r="F23" s="58">
        <f>SUM(F7:F21)</f>
        <v>0</v>
      </c>
      <c r="G23" s="56"/>
      <c r="H23" s="58">
        <f>SUM(H7:H21)</f>
        <v>0</v>
      </c>
      <c r="I23" s="58">
        <f>IFERROR(H23-F23,0)</f>
        <v>0</v>
      </c>
    </row>
    <row r="25" spans="2:6" x14ac:dyDescent="0.25">
      <c r="B25" t="s">
        <v>99</v>
      </c>
      <c r="F25" s="67">
        <v>0</v>
      </c>
    </row>
    <row r="26" spans="2:6" x14ac:dyDescent="0.25">
      <c r="B26" t="s">
        <v>100</v>
      </c>
      <c r="F26" s="67">
        <v>0</v>
      </c>
    </row>
    <row r="27" spans="1:9" x14ac:dyDescent="0.25">
      <c r="A27" s="28"/>
      <c r="B27" s="76" t="s">
        <v>272</v>
      </c>
      <c r="C27" s="76" t="s">
        <v>250</v>
      </c>
      <c r="D27" s="28"/>
      <c r="E27" s="28"/>
      <c r="F27" s="77">
        <f>F23+F25+F26</f>
        <v>0</v>
      </c>
      <c r="G27" s="28"/>
      <c r="H27" s="77">
        <f>H23</f>
        <v>0</v>
      </c>
      <c r="I27" s="77">
        <f>IFERROR(H27-F27,0)</f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766E"/>
  </sheetPr>
  <dimension ref="A1:E17"/>
  <sheetFormatPr defaultRowHeight="15" outlineLevelRow="0" outlineLevelCol="0" x14ac:dyDescent="55"/>
  <cols>
    <col min="1" max="1" width="24" customWidth="1"/>
    <col min="2" max="2" width="18" customWidth="1"/>
    <col min="3" max="5" width="16" customWidth="1"/>
  </cols>
  <sheetData>
    <row r="1" ht="36" customHeight="1" spans="1:5" x14ac:dyDescent="0.25">
      <c r="A1" s="1" t="s">
        <v>288</v>
      </c>
      <c r="B1" s="1"/>
      <c r="C1" s="1"/>
      <c r="D1" s="1"/>
      <c r="E1" s="1"/>
    </row>
    <row r="2" spans="1:5" x14ac:dyDescent="0.25">
      <c r="A2" s="2" t="s">
        <v>289</v>
      </c>
      <c r="B2" s="2"/>
      <c r="C2" s="2"/>
      <c r="D2" s="2"/>
      <c r="E2" s="2"/>
    </row>
    <row r="4" spans="1:3" x14ac:dyDescent="0.25">
      <c r="A4" t="s">
        <v>290</v>
      </c>
      <c r="B4" s="74">
        <v>3</v>
      </c>
      <c r="C4" s="78" t="s">
        <v>291</v>
      </c>
    </row>
    <row r="5" spans="1:3" x14ac:dyDescent="0.25">
      <c r="A5" t="s">
        <v>292</v>
      </c>
      <c r="B5" s="67">
        <v>0</v>
      </c>
      <c r="C5" s="78" t="s">
        <v>293</v>
      </c>
    </row>
    <row r="6" spans="1:3" x14ac:dyDescent="0.25">
      <c r="A6" t="s">
        <v>294</v>
      </c>
      <c r="B6" s="21">
        <v>0.03</v>
      </c>
      <c r="C6" s="78" t="s">
        <v>295</v>
      </c>
    </row>
    <row r="7" spans="1:3" x14ac:dyDescent="0.25">
      <c r="A7" t="s">
        <v>40</v>
      </c>
      <c r="B7" s="21">
        <v>0.15</v>
      </c>
      <c r="C7" s="78" t="s">
        <v>296</v>
      </c>
    </row>
    <row r="10" spans="1:5" x14ac:dyDescent="0.25">
      <c r="A10" s="25" t="s">
        <v>297</v>
      </c>
      <c r="B10" s="25" t="s">
        <v>37</v>
      </c>
      <c r="C10" s="25" t="s">
        <v>38</v>
      </c>
      <c r="D10" s="25" t="s">
        <v>39</v>
      </c>
      <c r="E10" s="25" t="s">
        <v>298</v>
      </c>
    </row>
    <row r="11" spans="1:5" x14ac:dyDescent="0.25">
      <c r="A11" s="33" t="str">
        <f>IF($B$4&gt;=1,"Year 1","")</f>
        <v>Year 1</v>
      </c>
      <c r="B11" s="34">
        <f>$B$5</f>
        <v>0</v>
      </c>
      <c r="C11" s="34">
        <f>IF(A11="",0,IFERROR(B11/(1-$B$7),0))</f>
        <v>0</v>
      </c>
      <c r="D11" s="34">
        <f>IF(A11="",0,IFERROR(C11-B11,0))</f>
        <v>0</v>
      </c>
      <c r="E11" s="33" t="s">
        <v>299</v>
      </c>
    </row>
    <row r="12" spans="1:5" x14ac:dyDescent="0.25">
      <c r="A12" t="str">
        <f>IF($B$4&gt;=2,"Year 2","")</f>
        <v>Year 2</v>
      </c>
      <c r="B12" s="20">
        <f>IF(A12="",0,B11*(1+$B$6))</f>
        <v>0</v>
      </c>
      <c r="C12" s="20">
        <f>IF(A12="",0,IFERROR(B12/(1-$B$7),0))</f>
        <v>0</v>
      </c>
      <c r="D12" s="20">
        <f>IF(A12="",0,IFERROR(C12-B12,0))</f>
        <v>0</v>
      </c>
      <c r="E12" t="s">
        <v>299</v>
      </c>
    </row>
    <row r="13" spans="1:5" x14ac:dyDescent="0.25">
      <c r="A13" s="33" t="str">
        <f>IF($B$4&gt;=3,"Year 3","")</f>
        <v>Year 3</v>
      </c>
      <c r="B13" s="34">
        <f>IF(A13="",0,B12*(1+$B$6))</f>
        <v>0</v>
      </c>
      <c r="C13" s="34">
        <f>IF(A13="",0,IFERROR(B13/(1-$B$7),0))</f>
        <v>0</v>
      </c>
      <c r="D13" s="34">
        <f>IF(A13="",0,IFERROR(C13-B13,0))</f>
        <v>0</v>
      </c>
      <c r="E13" s="33" t="s">
        <v>299</v>
      </c>
    </row>
    <row r="14" spans="1:5" x14ac:dyDescent="0.25">
      <c r="A14" t="str">
        <f>IF($B$4&gt;=4,"Year 4","")</f>
        <v/>
      </c>
      <c r="B14" s="20">
        <f>IF(A14="",0,B13*(1+$B$6))</f>
        <v>0</v>
      </c>
      <c r="C14" s="20">
        <f>IF(A14="",0,IFERROR(B14/(1-$B$7),0))</f>
        <v>0</v>
      </c>
      <c r="D14" s="20">
        <f>IF(A14="",0,IFERROR(C14-B14,0))</f>
        <v>0</v>
      </c>
      <c r="E14" t="s">
        <v>35</v>
      </c>
    </row>
    <row r="15" spans="1:5" x14ac:dyDescent="0.25">
      <c r="A15" s="33" t="str">
        <f>IF($B$4&gt;=5,"Year 5","")</f>
        <v/>
      </c>
      <c r="B15" s="34">
        <f>IF(A15="",0,B14*(1+$B$6))</f>
        <v>0</v>
      </c>
      <c r="C15" s="34">
        <f>IF(A15="",0,IFERROR(B15/(1-$B$7),0))</f>
        <v>0</v>
      </c>
      <c r="D15" s="34">
        <f>IF(A15="",0,IFERROR(C15-B15,0))</f>
        <v>0</v>
      </c>
      <c r="E15" s="33" t="s">
        <v>35</v>
      </c>
    </row>
    <row r="17" spans="1:5" x14ac:dyDescent="0.25">
      <c r="A17" s="56" t="s">
        <v>300</v>
      </c>
      <c r="B17" s="58">
        <f>SUM(B11:B15)</f>
        <v>0</v>
      </c>
      <c r="C17" s="58">
        <f>SUM(C11:C15)</f>
        <v>0</v>
      </c>
      <c r="D17" s="58">
        <f>IFERROR(C17-B17,0)</f>
        <v>0</v>
      </c>
      <c r="E17" s="56"/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10"/>
  <sheetFormatPr defaultRowHeight="15" outlineLevelRow="0" outlineLevelCol="0" x14ac:dyDescent="55"/>
  <cols>
    <col min="1" max="1" width="4" customWidth="1"/>
    <col min="2" max="2" width="18" customWidth="1"/>
    <col min="3" max="3" width="36" customWidth="1"/>
    <col min="4" max="4" width="14" customWidth="1"/>
    <col min="5" max="5" width="10" customWidth="1"/>
    <col min="6" max="6" width="14" customWidth="1"/>
    <col min="7" max="7" width="12" customWidth="1"/>
    <col min="8" max="9" width="14" customWidth="1"/>
  </cols>
  <sheetData>
    <row r="1" ht="36" customHeight="1" spans="1:8" x14ac:dyDescent="0.25">
      <c r="A1" s="1" t="s">
        <v>301</v>
      </c>
      <c r="B1" s="1"/>
      <c r="C1" s="1"/>
      <c r="D1" s="1"/>
      <c r="E1" s="1"/>
      <c r="F1" s="1"/>
      <c r="G1" s="1"/>
      <c r="H1" s="1"/>
    </row>
    <row r="4" spans="1:9" x14ac:dyDescent="0.25">
      <c r="A4" s="25" t="s">
        <v>35</v>
      </c>
      <c r="B4" s="25" t="s">
        <v>90</v>
      </c>
      <c r="C4" s="25" t="s">
        <v>257</v>
      </c>
      <c r="D4" s="25" t="s">
        <v>37</v>
      </c>
      <c r="E4" s="25" t="s">
        <v>242</v>
      </c>
      <c r="F4" s="25" t="s">
        <v>29</v>
      </c>
      <c r="G4" s="25" t="s">
        <v>231</v>
      </c>
      <c r="H4" s="25" t="s">
        <v>38</v>
      </c>
      <c r="I4" s="25" t="s">
        <v>39</v>
      </c>
    </row>
    <row r="5" spans="1:9" x14ac:dyDescent="0.25">
      <c r="A5" s="33"/>
      <c r="B5" s="33" t="s">
        <v>302</v>
      </c>
      <c r="C5" s="33" t="s">
        <v>303</v>
      </c>
      <c r="D5" s="66">
        <v>0</v>
      </c>
      <c r="E5" s="72">
        <v>1</v>
      </c>
      <c r="F5" s="34">
        <f>D5*E5</f>
        <v>0</v>
      </c>
      <c r="G5" s="70">
        <v>0.15</v>
      </c>
      <c r="H5" s="34">
        <f>IFERROR(F5/(1-G5),0)</f>
        <v>0</v>
      </c>
      <c r="I5" s="34">
        <f>IFERROR(H5-F5,0)</f>
        <v>0</v>
      </c>
    </row>
    <row r="6" spans="2:9" x14ac:dyDescent="0.25">
      <c r="B6" t="s">
        <v>304</v>
      </c>
      <c r="C6" t="s">
        <v>84</v>
      </c>
      <c r="D6" s="67">
        <v>0</v>
      </c>
      <c r="E6" s="74">
        <v>1</v>
      </c>
      <c r="F6" s="20">
        <f>D6*E6</f>
        <v>0</v>
      </c>
      <c r="G6" s="21">
        <v>0.15</v>
      </c>
      <c r="H6" s="20">
        <f>IFERROR(F6/(1-G6),0)</f>
        <v>0</v>
      </c>
      <c r="I6" s="20">
        <f>IFERROR(H6-F6,0)</f>
        <v>0</v>
      </c>
    </row>
    <row r="7" spans="1:9" x14ac:dyDescent="0.25">
      <c r="A7" s="33"/>
      <c r="B7" s="33" t="s">
        <v>305</v>
      </c>
      <c r="C7" s="33" t="s">
        <v>85</v>
      </c>
      <c r="D7" s="66">
        <v>0</v>
      </c>
      <c r="E7" s="72">
        <v>1</v>
      </c>
      <c r="F7" s="34">
        <f>D7*E7</f>
        <v>0</v>
      </c>
      <c r="G7" s="70">
        <v>0.15</v>
      </c>
      <c r="H7" s="34">
        <f>IFERROR(F7/(1-G7),0)</f>
        <v>0</v>
      </c>
      <c r="I7" s="34">
        <f>IFERROR(H7-F7,0)</f>
        <v>0</v>
      </c>
    </row>
    <row r="8" spans="2:9" x14ac:dyDescent="0.25">
      <c r="B8" t="s">
        <v>180</v>
      </c>
      <c r="C8" t="s">
        <v>86</v>
      </c>
      <c r="D8" s="67">
        <v>0</v>
      </c>
      <c r="E8" s="74">
        <v>1</v>
      </c>
      <c r="F8" s="20">
        <f>D8*E8</f>
        <v>0</v>
      </c>
      <c r="G8" s="21">
        <v>0.15</v>
      </c>
      <c r="H8" s="20">
        <f>IFERROR(F8/(1-G8),0)</f>
        <v>0</v>
      </c>
      <c r="I8" s="20">
        <f>IFERROR(H8-F8,0)</f>
        <v>0</v>
      </c>
    </row>
    <row r="10" spans="1:9" x14ac:dyDescent="0.25">
      <c r="A10" s="56"/>
      <c r="B10" s="56"/>
      <c r="C10" s="56" t="s">
        <v>306</v>
      </c>
      <c r="D10" s="56"/>
      <c r="E10" s="56"/>
      <c r="F10" s="58">
        <f>SUM(F5:F8)</f>
        <v>0</v>
      </c>
      <c r="G10" s="56"/>
      <c r="H10" s="58">
        <f>SUM(H5:H8)</f>
        <v>0</v>
      </c>
      <c r="I10" s="58">
        <f>IFERROR(H10-F10,0)</f>
        <v>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D55"/>
  <sheetFormatPr defaultRowHeight="15" outlineLevelRow="0" outlineLevelCol="0" x14ac:dyDescent="55"/>
  <cols>
    <col min="1" max="1" width="4" customWidth="1"/>
    <col min="2" max="2" width="56" customWidth="1"/>
    <col min="3" max="4" width="14" customWidth="1"/>
    <col min="5" max="5" width="4" customWidth="1"/>
    <col min="6" max="6" width="12" customWidth="1"/>
  </cols>
  <sheetData>
    <row r="1" spans="2:2" x14ac:dyDescent="0.25">
      <c r="B1" s="79" t="s">
        <v>307</v>
      </c>
    </row>
    <row r="2" spans="2:2" x14ac:dyDescent="0.25">
      <c r="B2" t="s">
        <v>308</v>
      </c>
    </row>
    <row r="4" ht="24" customHeight="1" spans="2:4" x14ac:dyDescent="0.25">
      <c r="B4" s="80" t="s">
        <v>309</v>
      </c>
      <c r="C4" s="81" t="s">
        <v>310</v>
      </c>
      <c r="D4" s="81" t="s">
        <v>311</v>
      </c>
    </row>
    <row r="5" spans="1:4" x14ac:dyDescent="0.25">
      <c r="A5" s="33"/>
      <c r="B5" s="82" t="s">
        <v>312</v>
      </c>
      <c r="C5" s="47" t="s">
        <v>35</v>
      </c>
      <c r="D5" s="47" t="s">
        <v>313</v>
      </c>
    </row>
    <row r="6" spans="2:4" x14ac:dyDescent="0.25">
      <c r="B6" s="83" t="s">
        <v>314</v>
      </c>
      <c r="C6" s="54" t="s">
        <v>315</v>
      </c>
      <c r="D6" s="54" t="s">
        <v>35</v>
      </c>
    </row>
    <row r="7" spans="1:4" x14ac:dyDescent="0.25">
      <c r="A7" s="33"/>
      <c r="B7" s="82" t="s">
        <v>316</v>
      </c>
      <c r="C7" s="47" t="s">
        <v>315</v>
      </c>
      <c r="D7" s="47" t="s">
        <v>35</v>
      </c>
    </row>
    <row r="8" spans="2:4" x14ac:dyDescent="0.25">
      <c r="B8" s="83" t="s">
        <v>317</v>
      </c>
      <c r="C8" s="54" t="s">
        <v>313</v>
      </c>
      <c r="D8" s="54" t="s">
        <v>35</v>
      </c>
    </row>
    <row r="9" spans="1:4" x14ac:dyDescent="0.25">
      <c r="A9" s="33"/>
      <c r="B9" s="82" t="s">
        <v>318</v>
      </c>
      <c r="C9" s="47" t="s">
        <v>313</v>
      </c>
      <c r="D9" s="47" t="s">
        <v>35</v>
      </c>
    </row>
    <row r="10" spans="2:4" x14ac:dyDescent="0.25">
      <c r="B10" s="83" t="s">
        <v>319</v>
      </c>
      <c r="C10" s="54" t="s">
        <v>35</v>
      </c>
      <c r="D10" s="54" t="s">
        <v>313</v>
      </c>
    </row>
    <row r="11" spans="1:4" x14ac:dyDescent="0.25">
      <c r="A11" s="33"/>
      <c r="B11" s="82" t="s">
        <v>320</v>
      </c>
      <c r="C11" s="47" t="s">
        <v>35</v>
      </c>
      <c r="D11" s="47" t="s">
        <v>313</v>
      </c>
    </row>
    <row r="13" ht="24" customHeight="1" spans="2:4" x14ac:dyDescent="0.25">
      <c r="B13" s="80" t="s">
        <v>321</v>
      </c>
      <c r="C13" s="81" t="s">
        <v>310</v>
      </c>
      <c r="D13" s="81" t="s">
        <v>311</v>
      </c>
    </row>
    <row r="14" spans="1:4" x14ac:dyDescent="0.25">
      <c r="A14" s="33"/>
      <c r="B14" s="82" t="s">
        <v>322</v>
      </c>
      <c r="C14" s="47" t="s">
        <v>35</v>
      </c>
      <c r="D14" s="47" t="s">
        <v>313</v>
      </c>
    </row>
    <row r="15" spans="2:4" x14ac:dyDescent="0.25">
      <c r="B15" s="83" t="s">
        <v>323</v>
      </c>
      <c r="C15" s="54" t="s">
        <v>313</v>
      </c>
      <c r="D15" s="54" t="s">
        <v>35</v>
      </c>
    </row>
    <row r="16" spans="1:4" x14ac:dyDescent="0.25">
      <c r="A16" s="33"/>
      <c r="B16" s="82" t="s">
        <v>324</v>
      </c>
      <c r="C16" s="47" t="s">
        <v>313</v>
      </c>
      <c r="D16" s="47" t="s">
        <v>35</v>
      </c>
    </row>
    <row r="17" spans="2:4" x14ac:dyDescent="0.25">
      <c r="B17" s="83" t="s">
        <v>325</v>
      </c>
      <c r="C17" s="54" t="s">
        <v>35</v>
      </c>
      <c r="D17" s="54" t="s">
        <v>313</v>
      </c>
    </row>
    <row r="18" spans="1:4" x14ac:dyDescent="0.25">
      <c r="A18" s="33"/>
      <c r="B18" s="82" t="s">
        <v>326</v>
      </c>
      <c r="C18" s="47" t="s">
        <v>35</v>
      </c>
      <c r="D18" s="47" t="s">
        <v>313</v>
      </c>
    </row>
    <row r="20" ht="24" customHeight="1" spans="2:4" x14ac:dyDescent="0.25">
      <c r="B20" s="80" t="s">
        <v>327</v>
      </c>
      <c r="C20" s="81" t="s">
        <v>310</v>
      </c>
      <c r="D20" s="81" t="s">
        <v>311</v>
      </c>
    </row>
    <row r="21" spans="1:4" x14ac:dyDescent="0.25">
      <c r="A21" s="33"/>
      <c r="B21" s="82" t="s">
        <v>328</v>
      </c>
      <c r="C21" s="47" t="s">
        <v>329</v>
      </c>
      <c r="D21" s="47" t="s">
        <v>35</v>
      </c>
    </row>
    <row r="22" spans="2:4" x14ac:dyDescent="0.25">
      <c r="B22" s="83" t="s">
        <v>330</v>
      </c>
      <c r="C22" s="54" t="s">
        <v>35</v>
      </c>
      <c r="D22" s="54" t="s">
        <v>313</v>
      </c>
    </row>
    <row r="23" spans="1:4" x14ac:dyDescent="0.25">
      <c r="A23" s="33"/>
      <c r="B23" s="82" t="s">
        <v>331</v>
      </c>
      <c r="C23" s="47" t="s">
        <v>329</v>
      </c>
      <c r="D23" s="47" t="s">
        <v>35</v>
      </c>
    </row>
    <row r="24" spans="2:4" x14ac:dyDescent="0.25">
      <c r="B24" s="83" t="s">
        <v>332</v>
      </c>
      <c r="C24" s="54" t="s">
        <v>313</v>
      </c>
      <c r="D24" s="54" t="s">
        <v>35</v>
      </c>
    </row>
    <row r="25" spans="1:4" x14ac:dyDescent="0.25">
      <c r="A25" s="33"/>
      <c r="B25" s="82" t="s">
        <v>333</v>
      </c>
      <c r="C25" s="47" t="s">
        <v>313</v>
      </c>
      <c r="D25" s="47" t="s">
        <v>35</v>
      </c>
    </row>
    <row r="26" spans="2:4" x14ac:dyDescent="0.25">
      <c r="B26" s="83" t="s">
        <v>334</v>
      </c>
      <c r="C26" s="54" t="s">
        <v>35</v>
      </c>
      <c r="D26" s="54" t="s">
        <v>313</v>
      </c>
    </row>
    <row r="28" ht="24" customHeight="1" spans="2:4" x14ac:dyDescent="0.25">
      <c r="B28" s="80" t="s">
        <v>335</v>
      </c>
      <c r="C28" s="81" t="s">
        <v>310</v>
      </c>
      <c r="D28" s="81" t="s">
        <v>311</v>
      </c>
    </row>
    <row r="29" spans="1:4" x14ac:dyDescent="0.25">
      <c r="A29" s="33"/>
      <c r="B29" s="82" t="s">
        <v>336</v>
      </c>
      <c r="C29" s="47" t="s">
        <v>313</v>
      </c>
      <c r="D29" s="47" t="s">
        <v>35</v>
      </c>
    </row>
    <row r="30" spans="2:4" x14ac:dyDescent="0.25">
      <c r="B30" s="83" t="s">
        <v>337</v>
      </c>
      <c r="C30" s="54" t="s">
        <v>35</v>
      </c>
      <c r="D30" s="54" t="s">
        <v>313</v>
      </c>
    </row>
    <row r="31" spans="1:4" x14ac:dyDescent="0.25">
      <c r="A31" s="33"/>
      <c r="B31" s="82" t="s">
        <v>338</v>
      </c>
      <c r="C31" s="47" t="s">
        <v>35</v>
      </c>
      <c r="D31" s="47" t="s">
        <v>313</v>
      </c>
    </row>
    <row r="32" spans="2:4" x14ac:dyDescent="0.25">
      <c r="B32" s="83" t="s">
        <v>339</v>
      </c>
      <c r="C32" s="54" t="s">
        <v>313</v>
      </c>
      <c r="D32" s="54" t="s">
        <v>35</v>
      </c>
    </row>
    <row r="33" spans="1:4" x14ac:dyDescent="0.25">
      <c r="A33" s="33"/>
      <c r="B33" s="82" t="s">
        <v>340</v>
      </c>
      <c r="C33" s="47" t="s">
        <v>35</v>
      </c>
      <c r="D33" s="47" t="s">
        <v>313</v>
      </c>
    </row>
    <row r="34" spans="2:4" x14ac:dyDescent="0.25">
      <c r="B34" s="83" t="s">
        <v>341</v>
      </c>
      <c r="C34" s="54" t="s">
        <v>313</v>
      </c>
      <c r="D34" s="54" t="s">
        <v>35</v>
      </c>
    </row>
    <row r="35" spans="1:4" x14ac:dyDescent="0.25">
      <c r="A35" s="33"/>
      <c r="B35" s="82" t="s">
        <v>342</v>
      </c>
      <c r="C35" s="47" t="s">
        <v>313</v>
      </c>
      <c r="D35" s="47" t="s">
        <v>35</v>
      </c>
    </row>
    <row r="36" spans="2:4" x14ac:dyDescent="0.25">
      <c r="B36" s="83" t="s">
        <v>343</v>
      </c>
      <c r="C36" s="54" t="s">
        <v>313</v>
      </c>
      <c r="D36" s="54" t="s">
        <v>35</v>
      </c>
    </row>
    <row r="37" spans="1:4" x14ac:dyDescent="0.25">
      <c r="A37" s="33"/>
      <c r="B37" s="82" t="s">
        <v>344</v>
      </c>
      <c r="C37" s="47" t="s">
        <v>35</v>
      </c>
      <c r="D37" s="47" t="s">
        <v>313</v>
      </c>
    </row>
    <row r="39" ht="24" customHeight="1" spans="2:4" x14ac:dyDescent="0.25">
      <c r="B39" s="80" t="s">
        <v>345</v>
      </c>
      <c r="C39" s="81" t="s">
        <v>310</v>
      </c>
      <c r="D39" s="81" t="s">
        <v>311</v>
      </c>
    </row>
    <row r="40" spans="1:4" x14ac:dyDescent="0.25">
      <c r="A40" s="33"/>
      <c r="B40" s="82" t="s">
        <v>346</v>
      </c>
      <c r="C40" s="47" t="s">
        <v>329</v>
      </c>
      <c r="D40" s="47" t="s">
        <v>35</v>
      </c>
    </row>
    <row r="41" spans="2:4" x14ac:dyDescent="0.25">
      <c r="B41" s="83" t="s">
        <v>347</v>
      </c>
      <c r="C41" s="54" t="s">
        <v>35</v>
      </c>
      <c r="D41" s="54" t="s">
        <v>313</v>
      </c>
    </row>
    <row r="42" spans="1:4" x14ac:dyDescent="0.25">
      <c r="A42" s="33"/>
      <c r="B42" s="82" t="s">
        <v>348</v>
      </c>
      <c r="C42" s="47" t="s">
        <v>35</v>
      </c>
      <c r="D42" s="47" t="s">
        <v>313</v>
      </c>
    </row>
    <row r="44" ht="24" customHeight="1" spans="2:4" x14ac:dyDescent="0.25">
      <c r="B44" s="80" t="s">
        <v>349</v>
      </c>
      <c r="C44" s="81" t="s">
        <v>310</v>
      </c>
      <c r="D44" s="81" t="s">
        <v>311</v>
      </c>
    </row>
    <row r="45" spans="1:4" x14ac:dyDescent="0.25">
      <c r="A45" s="33"/>
      <c r="B45" s="82" t="s">
        <v>350</v>
      </c>
      <c r="C45" s="47" t="s">
        <v>313</v>
      </c>
      <c r="D45" s="47" t="s">
        <v>35</v>
      </c>
    </row>
    <row r="46" spans="2:4" x14ac:dyDescent="0.25">
      <c r="B46" s="83" t="s">
        <v>351</v>
      </c>
      <c r="C46" s="54" t="s">
        <v>313</v>
      </c>
      <c r="D46" s="54" t="s">
        <v>35</v>
      </c>
    </row>
    <row r="47" spans="1:4" x14ac:dyDescent="0.25">
      <c r="A47" s="33"/>
      <c r="B47" s="82" t="s">
        <v>352</v>
      </c>
      <c r="C47" s="47" t="s">
        <v>313</v>
      </c>
      <c r="D47" s="47" t="s">
        <v>35</v>
      </c>
    </row>
    <row r="48" spans="2:4" x14ac:dyDescent="0.25">
      <c r="B48" s="83" t="s">
        <v>353</v>
      </c>
      <c r="C48" s="54" t="s">
        <v>313</v>
      </c>
      <c r="D48" s="54" t="s">
        <v>35</v>
      </c>
    </row>
    <row r="50" ht="24" customHeight="1" spans="2:4" x14ac:dyDescent="0.25">
      <c r="B50" s="80" t="s">
        <v>354</v>
      </c>
      <c r="C50" s="81" t="s">
        <v>310</v>
      </c>
      <c r="D50" s="81" t="s">
        <v>311</v>
      </c>
    </row>
    <row r="51" spans="1:4" x14ac:dyDescent="0.25">
      <c r="A51" s="33"/>
      <c r="B51" s="82" t="s">
        <v>355</v>
      </c>
      <c r="C51" s="47" t="s">
        <v>329</v>
      </c>
      <c r="D51" s="47" t="s">
        <v>35</v>
      </c>
    </row>
    <row r="52" spans="2:4" x14ac:dyDescent="0.25">
      <c r="B52" s="83" t="s">
        <v>356</v>
      </c>
      <c r="C52" s="54" t="s">
        <v>35</v>
      </c>
      <c r="D52" s="54" t="s">
        <v>313</v>
      </c>
    </row>
    <row r="53" spans="1:4" x14ac:dyDescent="0.25">
      <c r="A53" s="33"/>
      <c r="B53" s="82" t="s">
        <v>357</v>
      </c>
      <c r="C53" s="47" t="s">
        <v>329</v>
      </c>
      <c r="D53" s="47" t="s">
        <v>35</v>
      </c>
    </row>
    <row r="54" spans="2:4" x14ac:dyDescent="0.25">
      <c r="B54" s="83" t="s">
        <v>358</v>
      </c>
      <c r="C54" s="54" t="s">
        <v>329</v>
      </c>
      <c r="D54" s="54" t="s">
        <v>35</v>
      </c>
    </row>
    <row r="55" spans="1:4" x14ac:dyDescent="0.25">
      <c r="A55" s="33"/>
      <c r="B55" s="82" t="s">
        <v>359</v>
      </c>
      <c r="C55" s="47" t="s">
        <v>329</v>
      </c>
      <c r="D55" s="4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K27"/>
  <sheetFormatPr defaultRowHeight="15" outlineLevelRow="0" outlineLevelCol="0" x14ac:dyDescent="55"/>
  <cols>
    <col min="1" max="1" width="4" customWidth="1"/>
    <col min="2" max="2" width="36" customWidth="1"/>
    <col min="3" max="6" width="16" customWidth="1"/>
    <col min="7" max="8" width="4" customWidth="1"/>
    <col min="9" max="9" width="36" customWidth="1"/>
    <col min="10" max="11" width="16" customWidth="1"/>
  </cols>
  <sheetData>
    <row r="1" ht="36" customHeight="1" spans="1:11" x14ac:dyDescent="0.25">
      <c r="A1" s="1" t="s">
        <v>360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4" x14ac:dyDescent="0.25">
      <c r="A3" s="26" t="s">
        <v>361</v>
      </c>
      <c r="D3" s="84" t="s">
        <v>362</v>
      </c>
    </row>
    <row r="5" spans="2:9" x14ac:dyDescent="0.25">
      <c r="B5" s="64" t="s">
        <v>363</v>
      </c>
      <c r="I5" s="64" t="s">
        <v>364</v>
      </c>
    </row>
    <row r="6" spans="1:10" x14ac:dyDescent="0.25">
      <c r="A6" s="25" t="s">
        <v>35</v>
      </c>
      <c r="B6" s="25" t="s">
        <v>365</v>
      </c>
      <c r="C6" s="25" t="s">
        <v>366</v>
      </c>
      <c r="D6" s="25" t="s">
        <v>231</v>
      </c>
      <c r="I6" s="25" t="s">
        <v>365</v>
      </c>
      <c r="J6" s="25" t="s">
        <v>366</v>
      </c>
    </row>
    <row r="7" spans="1:10" x14ac:dyDescent="0.25">
      <c r="A7" t="s">
        <v>367</v>
      </c>
      <c r="B7" s="20">
        <v>17365513.660000004</v>
      </c>
      <c r="C7" s="20">
        <v>15093961.739999998</v>
      </c>
      <c r="D7" s="20">
        <v>2271551.92</v>
      </c>
      <c r="H7" s="26" t="s">
        <v>368</v>
      </c>
      <c r="I7" s="20">
        <v>17365513.660000004</v>
      </c>
      <c r="J7" s="20">
        <v>15093961.739999998</v>
      </c>
    </row>
    <row r="8" spans="1:6" x14ac:dyDescent="0.25">
      <c r="A8" s="36" t="s">
        <v>368</v>
      </c>
      <c r="B8" s="37">
        <v>17365513.660000004</v>
      </c>
      <c r="C8" s="37">
        <v>15093961.739999998</v>
      </c>
      <c r="D8" s="37">
        <v>2271551.92</v>
      </c>
      <c r="E8" s="36"/>
      <c r="F8" s="36"/>
    </row>
    <row r="10" spans="1:1" x14ac:dyDescent="0.25">
      <c r="A10" s="85" t="s">
        <v>369</v>
      </c>
    </row>
    <row r="11" spans="1:4" x14ac:dyDescent="0.25">
      <c r="A11" t="s">
        <v>370</v>
      </c>
      <c r="B11" s="20">
        <v>0</v>
      </c>
      <c r="C11" s="20">
        <v>0</v>
      </c>
      <c r="D11" s="20">
        <v>0</v>
      </c>
    </row>
    <row r="13" spans="1:6" x14ac:dyDescent="0.25">
      <c r="A13" s="56" t="s">
        <v>371</v>
      </c>
      <c r="B13" s="58">
        <v>17365513.660000004</v>
      </c>
      <c r="C13" s="58">
        <v>15093961.739999998</v>
      </c>
      <c r="D13" s="58">
        <v>2271551.92</v>
      </c>
      <c r="E13" s="56"/>
      <c r="F13" s="56"/>
    </row>
    <row r="16" spans="1:5" x14ac:dyDescent="0.25">
      <c r="A16" s="25" t="s">
        <v>372</v>
      </c>
      <c r="B16" s="25" t="s">
        <v>365</v>
      </c>
      <c r="C16" s="25" t="s">
        <v>373</v>
      </c>
      <c r="D16" s="25" t="s">
        <v>374</v>
      </c>
      <c r="E16" s="25" t="s">
        <v>375</v>
      </c>
    </row>
    <row r="17" spans="1:5" x14ac:dyDescent="0.25">
      <c r="A17" s="33" t="s">
        <v>376</v>
      </c>
      <c r="B17" s="34">
        <v>0</v>
      </c>
      <c r="C17" s="34">
        <v>4921102.040000001</v>
      </c>
      <c r="D17" s="66">
        <v>0</v>
      </c>
      <c r="E17" s="34">
        <v>4921102.040000001</v>
      </c>
    </row>
    <row r="18" spans="1:5" x14ac:dyDescent="0.25">
      <c r="A18" t="s">
        <v>377</v>
      </c>
      <c r="B18" s="20">
        <v>0</v>
      </c>
      <c r="C18" s="20">
        <v>5800101.279999998</v>
      </c>
      <c r="D18" s="67">
        <v>0</v>
      </c>
      <c r="E18" s="20">
        <v>5800101.279999998</v>
      </c>
    </row>
    <row r="19" spans="1:5" x14ac:dyDescent="0.25">
      <c r="A19" s="33" t="s">
        <v>378</v>
      </c>
      <c r="B19" s="34">
        <v>0</v>
      </c>
      <c r="C19" s="34">
        <v>1955793.8</v>
      </c>
      <c r="D19" s="66">
        <v>0</v>
      </c>
      <c r="E19" s="34">
        <v>1955793.8</v>
      </c>
    </row>
    <row r="20" spans="1:5" x14ac:dyDescent="0.25">
      <c r="A20" t="s">
        <v>379</v>
      </c>
      <c r="B20" s="20">
        <v>0</v>
      </c>
      <c r="C20" s="20">
        <v>705000</v>
      </c>
      <c r="D20" s="67">
        <v>0</v>
      </c>
      <c r="E20" s="20">
        <v>705000</v>
      </c>
    </row>
    <row r="21" spans="1:5" x14ac:dyDescent="0.25">
      <c r="A21" s="33" t="s">
        <v>380</v>
      </c>
      <c r="B21" s="34">
        <v>0</v>
      </c>
      <c r="C21" s="34">
        <v>221176.36000000013</v>
      </c>
      <c r="D21" s="66">
        <v>0</v>
      </c>
      <c r="E21" s="34">
        <v>221176.36000000013</v>
      </c>
    </row>
    <row r="22" spans="1:5" x14ac:dyDescent="0.25">
      <c r="A22" t="s">
        <v>381</v>
      </c>
      <c r="B22" s="20">
        <v>0</v>
      </c>
      <c r="C22" s="20">
        <v>0</v>
      </c>
      <c r="D22" s="67">
        <v>0</v>
      </c>
      <c r="E22" s="20">
        <v>0</v>
      </c>
    </row>
    <row r="23" spans="1:5" x14ac:dyDescent="0.25">
      <c r="A23" s="33" t="s">
        <v>382</v>
      </c>
      <c r="B23" s="34">
        <v>0</v>
      </c>
      <c r="C23" s="34">
        <v>0</v>
      </c>
      <c r="D23" s="66">
        <v>0</v>
      </c>
      <c r="E23" s="34">
        <v>0</v>
      </c>
    </row>
    <row r="24" spans="1:5" x14ac:dyDescent="0.25">
      <c r="A24" t="s">
        <v>383</v>
      </c>
      <c r="B24" s="20">
        <v>0</v>
      </c>
      <c r="C24" s="20">
        <v>0</v>
      </c>
      <c r="D24" s="67">
        <v>0</v>
      </c>
      <c r="E24" s="20">
        <v>0</v>
      </c>
    </row>
    <row r="25" spans="1:5" x14ac:dyDescent="0.25">
      <c r="A25" s="33" t="s">
        <v>384</v>
      </c>
      <c r="B25" s="34">
        <v>0</v>
      </c>
      <c r="C25" s="34">
        <v>0</v>
      </c>
      <c r="D25" s="66">
        <v>0</v>
      </c>
      <c r="E25" s="34">
        <v>0</v>
      </c>
    </row>
    <row r="26" spans="1:5" x14ac:dyDescent="0.25">
      <c r="A26" t="s">
        <v>385</v>
      </c>
      <c r="B26" s="20">
        <v>0</v>
      </c>
      <c r="C26" s="20">
        <v>0</v>
      </c>
      <c r="D26" s="67">
        <v>0</v>
      </c>
      <c r="E26" s="20">
        <v>0</v>
      </c>
    </row>
    <row r="27" spans="1:5" x14ac:dyDescent="0.25">
      <c r="A27" s="56" t="s">
        <v>386</v>
      </c>
      <c r="B27" s="56"/>
      <c r="C27" s="58">
        <v>15093961.739999998</v>
      </c>
      <c r="D27" s="58">
        <v>0</v>
      </c>
      <c r="E27" s="58">
        <v>15093961.739999998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O24"/>
  <sheetFormatPr defaultRowHeight="15" outlineLevelRow="0" outlineLevelCol="0" x14ac:dyDescent="55"/>
  <cols>
    <col min="1" max="1" width="4" customWidth="1"/>
    <col min="2" max="3" width="14" customWidth="1"/>
    <col min="4" max="4" width="16" customWidth="1"/>
    <col min="5" max="15" width="14" customWidth="1"/>
  </cols>
  <sheetData>
    <row r="1" ht="36" customHeight="1" spans="1:15" x14ac:dyDescent="0.25">
      <c r="A1" s="1" t="s">
        <v>387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spans="4:4" x14ac:dyDescent="0.25">
      <c r="D3" s="26" t="s">
        <v>388</v>
      </c>
    </row>
    <row r="4" spans="4:8" x14ac:dyDescent="0.25">
      <c r="D4" s="4" t="s">
        <v>389</v>
      </c>
      <c r="E4" s="4" t="s">
        <v>390</v>
      </c>
      <c r="F4" s="4" t="s">
        <v>391</v>
      </c>
      <c r="G4" s="4" t="s">
        <v>392</v>
      </c>
      <c r="H4" s="4" t="s">
        <v>393</v>
      </c>
    </row>
    <row r="5" spans="4:8" x14ac:dyDescent="0.25">
      <c r="D5" t="s">
        <v>394</v>
      </c>
      <c r="E5" s="27">
        <v>0.5</v>
      </c>
      <c r="F5" s="27">
        <v>0.2</v>
      </c>
      <c r="G5" s="27">
        <v>0.2</v>
      </c>
      <c r="H5" s="27">
        <v>0.1</v>
      </c>
    </row>
    <row r="6" spans="2:3" x14ac:dyDescent="0.25">
      <c r="B6" t="s">
        <v>395</v>
      </c>
      <c r="C6" s="74" t="s">
        <v>396</v>
      </c>
    </row>
    <row r="7" spans="2:3" x14ac:dyDescent="0.25">
      <c r="B7" t="s">
        <v>397</v>
      </c>
      <c r="C7" s="74" t="s">
        <v>396</v>
      </c>
    </row>
    <row r="9" spans="1:6" x14ac:dyDescent="0.25">
      <c r="A9" s="25" t="s">
        <v>35</v>
      </c>
      <c r="B9" s="25" t="s">
        <v>365</v>
      </c>
      <c r="C9" s="25" t="s">
        <v>398</v>
      </c>
      <c r="D9" s="25" t="s">
        <v>399</v>
      </c>
      <c r="E9" s="25" t="s">
        <v>400</v>
      </c>
      <c r="F9" s="25" t="s">
        <v>401</v>
      </c>
    </row>
    <row r="10" spans="1:6" x14ac:dyDescent="0.25">
      <c r="A10" s="56"/>
      <c r="B10" s="58">
        <v>17365513.660000004</v>
      </c>
      <c r="C10" s="58">
        <v>15093961.739999998</v>
      </c>
      <c r="D10" s="58">
        <v>2271551.9200000055</v>
      </c>
      <c r="E10" s="59">
        <v>0.13080821935214815</v>
      </c>
      <c r="F10" s="58">
        <v>0</v>
      </c>
    </row>
    <row r="12" spans="1:14" x14ac:dyDescent="0.25">
      <c r="A12" s="26" t="s">
        <v>402</v>
      </c>
      <c r="E12" s="86" t="s">
        <v>403</v>
      </c>
      <c r="F12" s="86" t="s">
        <v>404</v>
      </c>
      <c r="G12" s="86" t="s">
        <v>405</v>
      </c>
      <c r="H12" s="86" t="s">
        <v>406</v>
      </c>
      <c r="I12" s="86" t="s">
        <v>407</v>
      </c>
      <c r="J12" s="86" t="s">
        <v>408</v>
      </c>
      <c r="K12" s="86" t="s">
        <v>409</v>
      </c>
      <c r="L12" s="86" t="s">
        <v>410</v>
      </c>
      <c r="M12" s="86" t="s">
        <v>411</v>
      </c>
      <c r="N12" s="86" t="s">
        <v>412</v>
      </c>
    </row>
    <row r="13" spans="1:4" x14ac:dyDescent="0.25">
      <c r="A13" s="3" t="s">
        <v>365</v>
      </c>
      <c r="C13" s="3" t="s">
        <v>413</v>
      </c>
      <c r="D13" s="3" t="s">
        <v>414</v>
      </c>
    </row>
    <row r="14" spans="1:14" x14ac:dyDescent="0.25">
      <c r="A14" s="33">
        <v>1</v>
      </c>
      <c r="B14" s="33"/>
      <c r="C14" s="66">
        <v>0</v>
      </c>
      <c r="D14" s="72" t="s">
        <v>35</v>
      </c>
      <c r="E14" s="34">
        <v>0</v>
      </c>
      <c r="F14" s="34">
        <v>0</v>
      </c>
      <c r="G14" s="34">
        <v>0</v>
      </c>
      <c r="H14" s="34">
        <v>0</v>
      </c>
      <c r="I14" s="34">
        <v>0</v>
      </c>
      <c r="J14" s="34">
        <v>0</v>
      </c>
      <c r="K14" s="34">
        <v>0</v>
      </c>
      <c r="L14" s="34">
        <v>0</v>
      </c>
      <c r="M14" s="34">
        <v>0</v>
      </c>
      <c r="N14" s="34">
        <v>0</v>
      </c>
    </row>
    <row r="15" spans="1:14" x14ac:dyDescent="0.25">
      <c r="A15">
        <v>2</v>
      </c>
      <c r="C15" s="67">
        <v>0</v>
      </c>
      <c r="D15" s="74" t="s">
        <v>35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</row>
    <row r="16" spans="1:14" x14ac:dyDescent="0.25">
      <c r="A16" s="33">
        <v>3</v>
      </c>
      <c r="B16" s="33"/>
      <c r="C16" s="66">
        <v>0</v>
      </c>
      <c r="D16" s="72" t="s">
        <v>35</v>
      </c>
      <c r="E16" s="34">
        <v>0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0</v>
      </c>
      <c r="M16" s="34">
        <v>0</v>
      </c>
      <c r="N16" s="34">
        <v>0</v>
      </c>
    </row>
    <row r="17" spans="1:14" x14ac:dyDescent="0.25">
      <c r="A17">
        <v>4</v>
      </c>
      <c r="C17" s="67">
        <v>0</v>
      </c>
      <c r="D17" s="74" t="s">
        <v>35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</row>
    <row r="18" spans="1:14" x14ac:dyDescent="0.25">
      <c r="A18" s="33">
        <v>5</v>
      </c>
      <c r="B18" s="33"/>
      <c r="C18" s="66">
        <v>0</v>
      </c>
      <c r="D18" s="72" t="s">
        <v>35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</row>
    <row r="19" spans="1:14" x14ac:dyDescent="0.25">
      <c r="A19">
        <v>6</v>
      </c>
      <c r="C19" s="67">
        <v>0</v>
      </c>
      <c r="D19" s="74" t="s">
        <v>35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</row>
    <row r="20" spans="1:14" x14ac:dyDescent="0.25">
      <c r="A20" s="33">
        <v>7</v>
      </c>
      <c r="B20" s="33"/>
      <c r="C20" s="66">
        <v>0</v>
      </c>
      <c r="D20" s="72" t="s">
        <v>35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  <c r="N20" s="34">
        <v>0</v>
      </c>
    </row>
    <row r="21" spans="1:14" x14ac:dyDescent="0.25">
      <c r="A21">
        <v>8</v>
      </c>
      <c r="C21" s="67">
        <v>0</v>
      </c>
      <c r="D21" s="74" t="s">
        <v>35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</row>
    <row r="22" spans="1:14" x14ac:dyDescent="0.25">
      <c r="A22" s="33">
        <v>9</v>
      </c>
      <c r="B22" s="33"/>
      <c r="C22" s="66">
        <v>0</v>
      </c>
      <c r="D22" s="72" t="s">
        <v>35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  <c r="N22" s="34">
        <v>0</v>
      </c>
    </row>
    <row r="23" spans="1:14" x14ac:dyDescent="0.25">
      <c r="A23">
        <v>10</v>
      </c>
      <c r="C23" s="67">
        <v>0</v>
      </c>
      <c r="D23" s="74" t="s">
        <v>35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</row>
    <row r="24" spans="1:14" x14ac:dyDescent="0.25">
      <c r="A24" s="68" t="s">
        <v>415</v>
      </c>
      <c r="B24" s="68"/>
      <c r="C24" s="69">
        <v>0</v>
      </c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</row>
  </sheetData>
  <mergeCells count="1">
    <mergeCell ref="A1:O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A52EF"/>
  </sheetPr>
  <dimension ref="A1:G626"/>
  <sheetFormatPr defaultRowHeight="15" outlineLevelRow="0" outlineLevelCol="0" x14ac:dyDescent="55"/>
  <cols>
    <col min="1" max="1" width="4" customWidth="1"/>
    <col min="2" max="2" width="44" customWidth="1"/>
    <col min="3" max="5" width="16" customWidth="1"/>
    <col min="6" max="6" width="12" customWidth="1"/>
    <col min="7" max="7" width="12" hidden="1" customWidth="1"/>
  </cols>
  <sheetData>
    <row r="1" ht="36" customHeight="1" spans="1:6" x14ac:dyDescent="0.25">
      <c r="A1" s="1" t="s">
        <v>34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ht="28" customHeight="1" spans="1:6" x14ac:dyDescent="0.25">
      <c r="A4" s="3" t="s">
        <v>35</v>
      </c>
      <c r="B4" s="3" t="s">
        <v>36</v>
      </c>
      <c r="C4" s="3" t="s">
        <v>37</v>
      </c>
      <c r="D4" s="3" t="s">
        <v>38</v>
      </c>
      <c r="E4" s="3" t="s">
        <v>39</v>
      </c>
      <c r="F4" s="3" t="s">
        <v>40</v>
      </c>
    </row>
    <row r="5" spans="2:4" s="13" customFormat="1" x14ac:dyDescent="0.25">
      <c r="B5" s="13" t="s">
        <v>41</v>
      </c>
      <c r="D5" s="14" t="s">
        <v>38</v>
      </c>
    </row>
    <row r="6" spans="2:6" x14ac:dyDescent="0.25" outlineLevel="1" collapsed="1">
      <c r="B6" s="15" t="s">
        <v>42</v>
      </c>
      <c r="C6" s="16">
        <f>'LED Cost Sheet'!T4</f>
        <v>279185.75</v>
      </c>
      <c r="D6" s="16">
        <f>'LED Cost Sheet'!V4</f>
        <v>328453.82</v>
      </c>
      <c r="E6" s="16">
        <f>IFERROR(D6-C6,0)</f>
        <v>49268.07</v>
      </c>
      <c r="F6" s="17">
        <v>0.15</v>
      </c>
    </row>
    <row r="7" spans="2:6" x14ac:dyDescent="0.25" outlineLevel="1" collapsed="1">
      <c r="B7" s="15" t="s">
        <v>43</v>
      </c>
      <c r="C7" s="16">
        <f>'FIELD RIBBON NORTH - Install'!I26</f>
        <v>17173.33</v>
      </c>
      <c r="D7" s="16">
        <f>IFERROR(C7/(1-F7),0)</f>
        <v>20203.92</v>
      </c>
      <c r="E7" s="16">
        <f>IFERROR(D7-C7,0)</f>
        <v>3030.59</v>
      </c>
      <c r="F7" s="17">
        <v>0.15</v>
      </c>
    </row>
    <row r="8" spans="2:6" x14ac:dyDescent="0.25" outlineLevel="1" collapsed="1">
      <c r="B8" s="15" t="s">
        <v>44</v>
      </c>
      <c r="C8" s="16">
        <f>'FIELD RIBBON NORTH - Install'!I35-'FIELD RIBBON NORTH - Install'!I34</f>
        <v>46836.36</v>
      </c>
      <c r="D8" s="16">
        <f>IFERROR(C8/(1-F8),0)</f>
        <v>55101.6</v>
      </c>
      <c r="E8" s="16">
        <f>IFERROR(D8-C8,0)</f>
        <v>8265.24</v>
      </c>
      <c r="F8" s="17">
        <v>0.15</v>
      </c>
    </row>
    <row r="9" spans="2:6" x14ac:dyDescent="0.25" outlineLevel="1" collapsed="1">
      <c r="B9" s="15" t="s">
        <v>45</v>
      </c>
      <c r="C9" s="16">
        <f>'FIELD RIBBON NORTH - Install'!I44</f>
        <v>39030.3</v>
      </c>
      <c r="D9" s="16">
        <f>IFERROR(C9/(1-F9),0)</f>
        <v>45918</v>
      </c>
      <c r="E9" s="16">
        <f>IFERROR(D9-C9,0)</f>
        <v>6887.7</v>
      </c>
      <c r="F9" s="17">
        <v>0.15</v>
      </c>
    </row>
    <row r="10" spans="2:6" x14ac:dyDescent="0.25" outlineLevel="1" collapsed="1">
      <c r="B10" s="15" t="s">
        <v>46</v>
      </c>
      <c r="C10" s="16">
        <f>'FIELD RIBBON NORTH - Install'!I34</f>
        <v>20882.35</v>
      </c>
      <c r="D10" s="16">
        <f>IFERROR(C10/(1-F10),0)</f>
        <v>24567.47</v>
      </c>
      <c r="E10" s="16">
        <f>IFERROR(D10-C10,0)</f>
        <v>3685.12</v>
      </c>
      <c r="F10" s="17">
        <v>0.15</v>
      </c>
    </row>
    <row r="11" spans="2:6" x14ac:dyDescent="0.25" outlineLevel="1" collapsed="1">
      <c r="B11" s="15" t="s">
        <v>47</v>
      </c>
      <c r="C11" s="16">
        <f>'FIELD RIBBON NORTH - Install'!I52</f>
        <v>4705.88</v>
      </c>
      <c r="D11" s="16">
        <f>IFERROR(C11/(1-F11),0)</f>
        <v>5536.33</v>
      </c>
      <c r="E11" s="16">
        <f>IFERROR(D11-C11,0)</f>
        <v>830.45</v>
      </c>
      <c r="F11" s="17">
        <v>0.15</v>
      </c>
    </row>
    <row r="12" spans="2:6" x14ac:dyDescent="0.25" outlineLevel="1" collapsed="1">
      <c r="B12" s="4" t="s">
        <v>48</v>
      </c>
      <c r="C12" s="18">
        <f>SUM(C6:C11)</f>
        <v>407813.97</v>
      </c>
      <c r="D12" s="18">
        <f>SUM(D6:D11)</f>
        <v>468487.02</v>
      </c>
      <c r="E12" s="18">
        <f>IFERROR(D12-C12,0)</f>
        <v>60673.05</v>
      </c>
      <c r="F12" s="19">
        <f>IFERROR(1-C12/D12,0)</f>
        <v>0.12950799999999998</v>
      </c>
    </row>
    <row r="13" spans="2:7" x14ac:dyDescent="0.25" outlineLevel="1" collapsed="1">
      <c r="B13" s="15" t="s">
        <v>49</v>
      </c>
      <c r="C13" s="20">
        <v>0</v>
      </c>
      <c r="D13" s="20">
        <v>0</v>
      </c>
      <c r="E13" s="20">
        <v>0</v>
      </c>
      <c r="G13" s="21">
        <v>0</v>
      </c>
    </row>
    <row r="14" spans="2:7" x14ac:dyDescent="0.25" outlineLevel="1" collapsed="1">
      <c r="B14" s="15" t="s">
        <v>50</v>
      </c>
      <c r="C14" s="20">
        <v>0</v>
      </c>
      <c r="D14" s="20">
        <v>0</v>
      </c>
      <c r="E14" s="20">
        <v>0</v>
      </c>
      <c r="G14" s="21">
        <v>0</v>
      </c>
    </row>
    <row r="15" spans="2:7" x14ac:dyDescent="0.25" outlineLevel="1" collapsed="1">
      <c r="B15" s="15" t="s">
        <v>51</v>
      </c>
      <c r="C15" s="20">
        <v>0</v>
      </c>
      <c r="D15" s="20">
        <v>0</v>
      </c>
      <c r="E15" s="20">
        <v>0</v>
      </c>
      <c r="G15" s="21">
        <v>0</v>
      </c>
    </row>
    <row r="16" spans="2:6" x14ac:dyDescent="0.25">
      <c r="B16" s="22" t="s">
        <v>52</v>
      </c>
      <c r="C16" s="23">
        <f>C12+C13+C14+C15</f>
        <v>407813.97</v>
      </c>
      <c r="D16" s="23">
        <f>D12+D13+D14+D15</f>
        <v>468487.02</v>
      </c>
      <c r="E16" s="23">
        <f>IFERROR(D16-C16,0)</f>
        <v>60673.05000000005</v>
      </c>
      <c r="F16" s="24">
        <f>IFERROR(1-C16/D16,0)</f>
        <v>0.1295084973752315</v>
      </c>
    </row>
    <row r="18" spans="2:4" s="13" customFormat="1" x14ac:dyDescent="0.25">
      <c r="B18" s="13" t="s">
        <v>53</v>
      </c>
      <c r="D18" s="14" t="s">
        <v>38</v>
      </c>
    </row>
    <row r="19" spans="2:6" x14ac:dyDescent="0.25" outlineLevel="1" collapsed="1">
      <c r="B19" s="15" t="s">
        <v>42</v>
      </c>
      <c r="C19" s="16">
        <f>'LED Cost Sheet'!T5</f>
        <v>175128.6</v>
      </c>
      <c r="D19" s="16">
        <f>'LED Cost Sheet'!V5</f>
        <v>206033.65</v>
      </c>
      <c r="E19" s="16">
        <f>IFERROR(D19-C19,0)</f>
        <v>30905.05</v>
      </c>
      <c r="F19" s="17">
        <v>0.15</v>
      </c>
    </row>
    <row r="20" spans="2:6" x14ac:dyDescent="0.25" outlineLevel="1" collapsed="1">
      <c r="B20" s="15" t="s">
        <v>43</v>
      </c>
      <c r="C20" s="16">
        <f>'FIELD RIBBON EAST - Install'!I26</f>
        <v>10733.33</v>
      </c>
      <c r="D20" s="16">
        <f>IFERROR(C20/(1-F20),0)</f>
        <v>12627.45</v>
      </c>
      <c r="E20" s="16">
        <f>IFERROR(D20-C20,0)</f>
        <v>1894.12</v>
      </c>
      <c r="F20" s="17">
        <v>0.15</v>
      </c>
    </row>
    <row r="21" spans="2:6" x14ac:dyDescent="0.25" outlineLevel="1" collapsed="1">
      <c r="B21" s="15" t="s">
        <v>44</v>
      </c>
      <c r="C21" s="16">
        <f>'FIELD RIBBON EAST - Install'!I35-'FIELD RIBBON EAST - Install'!I34</f>
        <v>29272.73</v>
      </c>
      <c r="D21" s="16">
        <f>IFERROR(C21/(1-F21),0)</f>
        <v>34438.51</v>
      </c>
      <c r="E21" s="16">
        <f>IFERROR(D21-C21,0)</f>
        <v>5165.78</v>
      </c>
      <c r="F21" s="17">
        <v>0.15</v>
      </c>
    </row>
    <row r="22" spans="2:6" x14ac:dyDescent="0.25" outlineLevel="1" collapsed="1">
      <c r="B22" s="15" t="s">
        <v>45</v>
      </c>
      <c r="C22" s="16">
        <f>'FIELD RIBBON EAST - Install'!I44</f>
        <v>24393.94</v>
      </c>
      <c r="D22" s="16">
        <f>IFERROR(C22/(1-F22),0)</f>
        <v>28698.75</v>
      </c>
      <c r="E22" s="16">
        <f>IFERROR(D22-C22,0)</f>
        <v>4304.81</v>
      </c>
      <c r="F22" s="17">
        <v>0.15</v>
      </c>
    </row>
    <row r="23" spans="2:6" x14ac:dyDescent="0.25" outlineLevel="1" collapsed="1">
      <c r="B23" s="15" t="s">
        <v>46</v>
      </c>
      <c r="C23" s="16">
        <f>'FIELD RIBBON EAST - Install'!I34</f>
        <v>20882.35</v>
      </c>
      <c r="D23" s="16">
        <f>IFERROR(C23/(1-F23),0)</f>
        <v>24567.47</v>
      </c>
      <c r="E23" s="16">
        <f>IFERROR(D23-C23,0)</f>
        <v>3685.12</v>
      </c>
      <c r="F23" s="17">
        <v>0.15</v>
      </c>
    </row>
    <row r="24" spans="2:6" x14ac:dyDescent="0.25" outlineLevel="1" collapsed="1">
      <c r="B24" s="15" t="s">
        <v>47</v>
      </c>
      <c r="C24" s="16">
        <f>'FIELD RIBBON EAST - Install'!I52</f>
        <v>4705.88</v>
      </c>
      <c r="D24" s="16">
        <f>IFERROR(C24/(1-F24),0)</f>
        <v>5536.33</v>
      </c>
      <c r="E24" s="16">
        <f>IFERROR(D24-C24,0)</f>
        <v>830.45</v>
      </c>
      <c r="F24" s="17">
        <v>0.15</v>
      </c>
    </row>
    <row r="25" spans="2:6" x14ac:dyDescent="0.25" outlineLevel="1" collapsed="1">
      <c r="B25" s="4" t="s">
        <v>48</v>
      </c>
      <c r="C25" s="18">
        <f>SUM(C19:C24)</f>
        <v>265116.83</v>
      </c>
      <c r="D25" s="18">
        <f>SUM(D19:D24)</f>
        <v>304843.33</v>
      </c>
      <c r="E25" s="18">
        <f>IFERROR(D25-C25,0)</f>
        <v>39726.5</v>
      </c>
      <c r="F25" s="19">
        <f>IFERROR(1-C25/D25,0)</f>
        <v>0.13031800000000002</v>
      </c>
    </row>
    <row r="26" spans="2:7" x14ac:dyDescent="0.25" outlineLevel="1" collapsed="1">
      <c r="B26" s="15" t="s">
        <v>49</v>
      </c>
      <c r="C26" s="20">
        <v>0</v>
      </c>
      <c r="D26" s="20">
        <v>0</v>
      </c>
      <c r="E26" s="20">
        <v>0</v>
      </c>
      <c r="G26" s="21">
        <v>0</v>
      </c>
    </row>
    <row r="27" spans="2:7" x14ac:dyDescent="0.25" outlineLevel="1" collapsed="1">
      <c r="B27" s="15" t="s">
        <v>50</v>
      </c>
      <c r="C27" s="20">
        <v>0</v>
      </c>
      <c r="D27" s="20">
        <v>0</v>
      </c>
      <c r="E27" s="20">
        <v>0</v>
      </c>
      <c r="G27" s="21">
        <v>0</v>
      </c>
    </row>
    <row r="28" spans="2:7" x14ac:dyDescent="0.25" outlineLevel="1" collapsed="1">
      <c r="B28" s="15" t="s">
        <v>51</v>
      </c>
      <c r="C28" s="20">
        <v>0</v>
      </c>
      <c r="D28" s="20">
        <v>0</v>
      </c>
      <c r="E28" s="20">
        <v>0</v>
      </c>
      <c r="G28" s="21">
        <v>0</v>
      </c>
    </row>
    <row r="29" spans="2:6" x14ac:dyDescent="0.25">
      <c r="B29" s="22" t="s">
        <v>52</v>
      </c>
      <c r="C29" s="23">
        <f>C25+C26+C27+C28</f>
        <v>265116.83</v>
      </c>
      <c r="D29" s="23">
        <f>D25+D26+D27+D28</f>
        <v>304843.33</v>
      </c>
      <c r="E29" s="23">
        <f>IFERROR(D29-C29,0)</f>
        <v>39726.5</v>
      </c>
      <c r="F29" s="24">
        <f>IFERROR(1-C29/D29,0)</f>
        <v>0.1303177602737774</v>
      </c>
    </row>
    <row r="31" spans="2:4" s="13" customFormat="1" x14ac:dyDescent="0.25">
      <c r="B31" s="13" t="s">
        <v>54</v>
      </c>
      <c r="D31" s="14" t="s">
        <v>38</v>
      </c>
    </row>
    <row r="32" spans="2:6" x14ac:dyDescent="0.25" outlineLevel="1" collapsed="1">
      <c r="B32" s="15" t="s">
        <v>42</v>
      </c>
      <c r="C32" s="16">
        <f>'LED Cost Sheet'!T6</f>
        <v>30350.01</v>
      </c>
      <c r="D32" s="16">
        <f>'LED Cost Sheet'!V6</f>
        <v>35705.89</v>
      </c>
      <c r="E32" s="16">
        <f>IFERROR(D32-C32,0)</f>
        <v>5355.88</v>
      </c>
      <c r="F32" s="17">
        <v>0.15</v>
      </c>
    </row>
    <row r="33" spans="2:6" x14ac:dyDescent="0.25" outlineLevel="1" collapsed="1">
      <c r="B33" s="15" t="s">
        <v>43</v>
      </c>
      <c r="C33" s="16">
        <f>'TEAM ROOM - Install'!I26</f>
        <v>1290</v>
      </c>
      <c r="D33" s="16">
        <f>IFERROR(C33/(1-F33),0)</f>
        <v>1517.65</v>
      </c>
      <c r="E33" s="16">
        <f>IFERROR(D33-C33,0)</f>
        <v>227.65</v>
      </c>
      <c r="F33" s="17">
        <v>0.15</v>
      </c>
    </row>
    <row r="34" spans="2:6" x14ac:dyDescent="0.25" outlineLevel="1" collapsed="1">
      <c r="B34" s="15" t="s">
        <v>44</v>
      </c>
      <c r="C34" s="16">
        <f>'TEAM ROOM - Install'!I35-'TEAM ROOM - Install'!I34</f>
        <v>5375</v>
      </c>
      <c r="D34" s="16">
        <f>IFERROR(C34/(1-F34),0)</f>
        <v>6323.53</v>
      </c>
      <c r="E34" s="16">
        <f>IFERROR(D34-C34,0)</f>
        <v>948.53</v>
      </c>
      <c r="F34" s="17">
        <v>0.15</v>
      </c>
    </row>
    <row r="35" spans="2:6" x14ac:dyDescent="0.25" outlineLevel="1" collapsed="1">
      <c r="B35" s="15" t="s">
        <v>45</v>
      </c>
      <c r="C35" s="16">
        <f>'TEAM ROOM - Install'!I44</f>
        <v>5375</v>
      </c>
      <c r="D35" s="16">
        <f>IFERROR(C35/(1-F35),0)</f>
        <v>6323.53</v>
      </c>
      <c r="E35" s="16">
        <f>IFERROR(D35-C35,0)</f>
        <v>948.53</v>
      </c>
      <c r="F35" s="17">
        <v>0.15</v>
      </c>
    </row>
    <row r="36" spans="2:6" x14ac:dyDescent="0.25" outlineLevel="1" collapsed="1">
      <c r="B36" s="15" t="s">
        <v>46</v>
      </c>
      <c r="C36" s="16">
        <f>'TEAM ROOM - Install'!I34</f>
        <v>20882.35</v>
      </c>
      <c r="D36" s="16">
        <f>IFERROR(C36/(1-F36),0)</f>
        <v>24567.47</v>
      </c>
      <c r="E36" s="16">
        <f>IFERROR(D36-C36,0)</f>
        <v>3685.12</v>
      </c>
      <c r="F36" s="17">
        <v>0.15</v>
      </c>
    </row>
    <row r="37" spans="2:6" x14ac:dyDescent="0.25" outlineLevel="1" collapsed="1">
      <c r="B37" s="15" t="s">
        <v>47</v>
      </c>
      <c r="C37" s="16">
        <f>'TEAM ROOM - Install'!I52</f>
        <v>4705.88</v>
      </c>
      <c r="D37" s="16">
        <f>IFERROR(C37/(1-F37),0)</f>
        <v>5536.33</v>
      </c>
      <c r="E37" s="16">
        <f>IFERROR(D37-C37,0)</f>
        <v>830.45</v>
      </c>
      <c r="F37" s="17">
        <v>0.15</v>
      </c>
    </row>
    <row r="38" spans="2:6" x14ac:dyDescent="0.25" outlineLevel="1" collapsed="1">
      <c r="B38" s="4" t="s">
        <v>48</v>
      </c>
      <c r="C38" s="18">
        <f>SUM(C32:C37)</f>
        <v>67978.24</v>
      </c>
      <c r="D38" s="18">
        <f>SUM(D32:D37)</f>
        <v>78656.76</v>
      </c>
      <c r="E38" s="18">
        <f>IFERROR(D38-C38,0)</f>
        <v>10678.52</v>
      </c>
      <c r="F38" s="19">
        <f>IFERROR(1-C38/D38,0)</f>
        <v>0.135761</v>
      </c>
    </row>
    <row r="39" spans="2:7" x14ac:dyDescent="0.25" outlineLevel="1" collapsed="1">
      <c r="B39" s="15" t="s">
        <v>49</v>
      </c>
      <c r="C39" s="20">
        <v>0</v>
      </c>
      <c r="D39" s="20">
        <v>0</v>
      </c>
      <c r="E39" s="20">
        <v>0</v>
      </c>
      <c r="G39" s="21">
        <v>0</v>
      </c>
    </row>
    <row r="40" spans="2:7" x14ac:dyDescent="0.25" outlineLevel="1" collapsed="1">
      <c r="B40" s="15" t="s">
        <v>50</v>
      </c>
      <c r="C40" s="20">
        <v>0</v>
      </c>
      <c r="D40" s="20">
        <v>0</v>
      </c>
      <c r="E40" s="20">
        <v>0</v>
      </c>
      <c r="G40" s="21">
        <v>0</v>
      </c>
    </row>
    <row r="41" spans="2:7" x14ac:dyDescent="0.25" outlineLevel="1" collapsed="1">
      <c r="B41" s="15" t="s">
        <v>51</v>
      </c>
      <c r="C41" s="20">
        <v>0</v>
      </c>
      <c r="D41" s="20">
        <v>0</v>
      </c>
      <c r="E41" s="20">
        <v>0</v>
      </c>
      <c r="G41" s="21">
        <v>0</v>
      </c>
    </row>
    <row r="42" spans="2:6" x14ac:dyDescent="0.25">
      <c r="B42" s="22" t="s">
        <v>52</v>
      </c>
      <c r="C42" s="23">
        <f>C38+C39+C40+C41</f>
        <v>67978.24</v>
      </c>
      <c r="D42" s="23">
        <f>D38+D39+D40+D41</f>
        <v>78656.76</v>
      </c>
      <c r="E42" s="23">
        <f>IFERROR(D42-C42,0)</f>
        <v>10678.51999999999</v>
      </c>
      <c r="F42" s="24">
        <f>IFERROR(1-C42/D42,0)</f>
        <v>0.13576099498631766</v>
      </c>
    </row>
    <row r="44" spans="2:4" s="13" customFormat="1" x14ac:dyDescent="0.25">
      <c r="B44" s="13" t="s">
        <v>55</v>
      </c>
      <c r="D44" s="14" t="s">
        <v>38</v>
      </c>
    </row>
    <row r="45" spans="2:6" x14ac:dyDescent="0.25" outlineLevel="1" collapsed="1">
      <c r="B45" s="15" t="s">
        <v>42</v>
      </c>
      <c r="C45" s="16">
        <f>'LED Cost Sheet'!T7</f>
        <v>175128.6</v>
      </c>
      <c r="D45" s="16">
        <f>'LED Cost Sheet'!V7</f>
        <v>206033.65</v>
      </c>
      <c r="E45" s="16">
        <f>IFERROR(D45-C45,0)</f>
        <v>30905.05</v>
      </c>
      <c r="F45" s="17">
        <v>0.15</v>
      </c>
    </row>
    <row r="46" spans="2:6" x14ac:dyDescent="0.25" outlineLevel="1" collapsed="1">
      <c r="B46" s="15" t="s">
        <v>43</v>
      </c>
      <c r="C46" s="16">
        <f>'FIELD RIBBON WEST - Install'!I26</f>
        <v>10733.33</v>
      </c>
      <c r="D46" s="16">
        <f>IFERROR(C46/(1-F46),0)</f>
        <v>12627.45</v>
      </c>
      <c r="E46" s="16">
        <f>IFERROR(D46-C46,0)</f>
        <v>1894.12</v>
      </c>
      <c r="F46" s="17">
        <v>0.15</v>
      </c>
    </row>
    <row r="47" spans="2:6" x14ac:dyDescent="0.25" outlineLevel="1" collapsed="1">
      <c r="B47" s="15" t="s">
        <v>44</v>
      </c>
      <c r="C47" s="16">
        <f>'FIELD RIBBON WEST - Install'!I35-'FIELD RIBBON WEST - Install'!I34</f>
        <v>29272.73</v>
      </c>
      <c r="D47" s="16">
        <f>IFERROR(C47/(1-F47),0)</f>
        <v>34438.51</v>
      </c>
      <c r="E47" s="16">
        <f>IFERROR(D47-C47,0)</f>
        <v>5165.78</v>
      </c>
      <c r="F47" s="17">
        <v>0.15</v>
      </c>
    </row>
    <row r="48" spans="2:6" x14ac:dyDescent="0.25" outlineLevel="1" collapsed="1">
      <c r="B48" s="15" t="s">
        <v>45</v>
      </c>
      <c r="C48" s="16">
        <f>'FIELD RIBBON WEST - Install'!I44</f>
        <v>24393.94</v>
      </c>
      <c r="D48" s="16">
        <f>IFERROR(C48/(1-F48),0)</f>
        <v>28698.75</v>
      </c>
      <c r="E48" s="16">
        <f>IFERROR(D48-C48,0)</f>
        <v>4304.81</v>
      </c>
      <c r="F48" s="17">
        <v>0.15</v>
      </c>
    </row>
    <row r="49" spans="2:6" x14ac:dyDescent="0.25" outlineLevel="1" collapsed="1">
      <c r="B49" s="15" t="s">
        <v>46</v>
      </c>
      <c r="C49" s="16">
        <f>'FIELD RIBBON WEST - Install'!I34</f>
        <v>20882.35</v>
      </c>
      <c r="D49" s="16">
        <f>IFERROR(C49/(1-F49),0)</f>
        <v>24567.47</v>
      </c>
      <c r="E49" s="16">
        <f>IFERROR(D49-C49,0)</f>
        <v>3685.12</v>
      </c>
      <c r="F49" s="17">
        <v>0.15</v>
      </c>
    </row>
    <row r="50" spans="2:6" x14ac:dyDescent="0.25" outlineLevel="1" collapsed="1">
      <c r="B50" s="15" t="s">
        <v>47</v>
      </c>
      <c r="C50" s="16">
        <f>'FIELD RIBBON WEST - Install'!I52</f>
        <v>4705.88</v>
      </c>
      <c r="D50" s="16">
        <f>IFERROR(C50/(1-F50),0)</f>
        <v>5536.33</v>
      </c>
      <c r="E50" s="16">
        <f>IFERROR(D50-C50,0)</f>
        <v>830.45</v>
      </c>
      <c r="F50" s="17">
        <v>0.15</v>
      </c>
    </row>
    <row r="51" spans="2:6" x14ac:dyDescent="0.25" outlineLevel="1" collapsed="1">
      <c r="B51" s="4" t="s">
        <v>48</v>
      </c>
      <c r="C51" s="18">
        <f>SUM(C45:C50)</f>
        <v>265116.83</v>
      </c>
      <c r="D51" s="18">
        <f>SUM(D45:D50)</f>
        <v>304843.33</v>
      </c>
      <c r="E51" s="18">
        <f>IFERROR(D51-C51,0)</f>
        <v>39726.5</v>
      </c>
      <c r="F51" s="19">
        <f>IFERROR(1-C51/D51,0)</f>
        <v>0.13031800000000002</v>
      </c>
    </row>
    <row r="52" spans="2:7" x14ac:dyDescent="0.25" outlineLevel="1" collapsed="1">
      <c r="B52" s="15" t="s">
        <v>49</v>
      </c>
      <c r="C52" s="20">
        <v>0</v>
      </c>
      <c r="D52" s="20">
        <v>0</v>
      </c>
      <c r="E52" s="20">
        <v>0</v>
      </c>
      <c r="G52" s="21">
        <v>0</v>
      </c>
    </row>
    <row r="53" spans="2:7" x14ac:dyDescent="0.25" outlineLevel="1" collapsed="1">
      <c r="B53" s="15" t="s">
        <v>50</v>
      </c>
      <c r="C53" s="20">
        <v>0</v>
      </c>
      <c r="D53" s="20">
        <v>0</v>
      </c>
      <c r="E53" s="20">
        <v>0</v>
      </c>
      <c r="G53" s="21">
        <v>0</v>
      </c>
    </row>
    <row r="54" spans="2:7" x14ac:dyDescent="0.25" outlineLevel="1" collapsed="1">
      <c r="B54" s="15" t="s">
        <v>51</v>
      </c>
      <c r="C54" s="20">
        <v>0</v>
      </c>
      <c r="D54" s="20">
        <v>0</v>
      </c>
      <c r="E54" s="20">
        <v>0</v>
      </c>
      <c r="G54" s="21">
        <v>0</v>
      </c>
    </row>
    <row r="55" spans="2:6" x14ac:dyDescent="0.25">
      <c r="B55" s="22" t="s">
        <v>52</v>
      </c>
      <c r="C55" s="23">
        <f>C51+C52+C53+C54</f>
        <v>265116.83</v>
      </c>
      <c r="D55" s="23">
        <f>D51+D52+D53+D54</f>
        <v>304843.33</v>
      </c>
      <c r="E55" s="23">
        <f>IFERROR(D55-C55,0)</f>
        <v>39726.5</v>
      </c>
      <c r="F55" s="24">
        <f>IFERROR(1-C55/D55,0)</f>
        <v>0.1303177602737774</v>
      </c>
    </row>
    <row r="57" spans="2:4" s="13" customFormat="1" x14ac:dyDescent="0.25">
      <c r="B57" s="13" t="s">
        <v>56</v>
      </c>
      <c r="D57" s="14" t="s">
        <v>38</v>
      </c>
    </row>
    <row r="58" spans="2:6" x14ac:dyDescent="0.25" outlineLevel="1" collapsed="1">
      <c r="B58" s="15" t="s">
        <v>42</v>
      </c>
      <c r="C58" s="16">
        <f>'LED Cost Sheet'!T8</f>
        <v>30331.309999999998</v>
      </c>
      <c r="D58" s="16">
        <f>'LED Cost Sheet'!V8</f>
        <v>35683.89</v>
      </c>
      <c r="E58" s="16">
        <f>IFERROR(D58-C58,0)</f>
        <v>5352.58</v>
      </c>
      <c r="F58" s="17">
        <v>0.15</v>
      </c>
    </row>
    <row r="59" spans="2:6" x14ac:dyDescent="0.25" outlineLevel="1" collapsed="1">
      <c r="B59" s="15" t="s">
        <v>43</v>
      </c>
      <c r="C59" s="16">
        <f>'INCIDENT COMMAND - Install'!I26</f>
        <v>1290</v>
      </c>
      <c r="D59" s="16">
        <f>IFERROR(C59/(1-F59),0)</f>
        <v>1517.65</v>
      </c>
      <c r="E59" s="16">
        <f>IFERROR(D59-C59,0)</f>
        <v>227.65</v>
      </c>
      <c r="F59" s="17">
        <v>0.15</v>
      </c>
    </row>
    <row r="60" spans="2:6" x14ac:dyDescent="0.25" outlineLevel="1" collapsed="1">
      <c r="B60" s="15" t="s">
        <v>44</v>
      </c>
      <c r="C60" s="16">
        <f>'INCIDENT COMMAND - Install'!I35-'INCIDENT COMMAND - Install'!I34</f>
        <v>5375</v>
      </c>
      <c r="D60" s="16">
        <f>IFERROR(C60/(1-F60),0)</f>
        <v>6323.53</v>
      </c>
      <c r="E60" s="16">
        <f>IFERROR(D60-C60,0)</f>
        <v>948.53</v>
      </c>
      <c r="F60" s="17">
        <v>0.15</v>
      </c>
    </row>
    <row r="61" spans="2:6" x14ac:dyDescent="0.25" outlineLevel="1" collapsed="1">
      <c r="B61" s="15" t="s">
        <v>45</v>
      </c>
      <c r="C61" s="16">
        <f>'INCIDENT COMMAND - Install'!I44</f>
        <v>5375</v>
      </c>
      <c r="D61" s="16">
        <f>IFERROR(C61/(1-F61),0)</f>
        <v>6323.53</v>
      </c>
      <c r="E61" s="16">
        <f>IFERROR(D61-C61,0)</f>
        <v>948.53</v>
      </c>
      <c r="F61" s="17">
        <v>0.15</v>
      </c>
    </row>
    <row r="62" spans="2:6" x14ac:dyDescent="0.25" outlineLevel="1" collapsed="1">
      <c r="B62" s="15" t="s">
        <v>46</v>
      </c>
      <c r="C62" s="16">
        <f>'INCIDENT COMMAND - Install'!I34</f>
        <v>20882.35</v>
      </c>
      <c r="D62" s="16">
        <f>IFERROR(C62/(1-F62),0)</f>
        <v>24567.47</v>
      </c>
      <c r="E62" s="16">
        <f>IFERROR(D62-C62,0)</f>
        <v>3685.12</v>
      </c>
      <c r="F62" s="17">
        <v>0.15</v>
      </c>
    </row>
    <row r="63" spans="2:6" x14ac:dyDescent="0.25" outlineLevel="1" collapsed="1">
      <c r="B63" s="15" t="s">
        <v>47</v>
      </c>
      <c r="C63" s="16">
        <f>'INCIDENT COMMAND - Install'!I52</f>
        <v>4705.88</v>
      </c>
      <c r="D63" s="16">
        <f>IFERROR(C63/(1-F63),0)</f>
        <v>5536.33</v>
      </c>
      <c r="E63" s="16">
        <f>IFERROR(D63-C63,0)</f>
        <v>830.45</v>
      </c>
      <c r="F63" s="17">
        <v>0.15</v>
      </c>
    </row>
    <row r="64" spans="2:6" x14ac:dyDescent="0.25" outlineLevel="1" collapsed="1">
      <c r="B64" s="4" t="s">
        <v>48</v>
      </c>
      <c r="C64" s="18">
        <f>SUM(C58:C63)</f>
        <v>67959.54</v>
      </c>
      <c r="D64" s="18">
        <f>SUM(D58:D63)</f>
        <v>78635.58</v>
      </c>
      <c r="E64" s="18">
        <f>IFERROR(D64-C64,0)</f>
        <v>10676.04</v>
      </c>
      <c r="F64" s="19">
        <f>IFERROR(1-C64/D64,0)</f>
        <v>0.135766</v>
      </c>
    </row>
    <row r="65" spans="2:7" x14ac:dyDescent="0.25" outlineLevel="1" collapsed="1">
      <c r="B65" s="15" t="s">
        <v>49</v>
      </c>
      <c r="C65" s="20">
        <v>0</v>
      </c>
      <c r="D65" s="20">
        <v>0</v>
      </c>
      <c r="E65" s="20">
        <v>0</v>
      </c>
      <c r="G65" s="21">
        <v>0</v>
      </c>
    </row>
    <row r="66" spans="2:7" x14ac:dyDescent="0.25" outlineLevel="1" collapsed="1">
      <c r="B66" s="15" t="s">
        <v>50</v>
      </c>
      <c r="C66" s="20">
        <v>0</v>
      </c>
      <c r="D66" s="20">
        <v>0</v>
      </c>
      <c r="E66" s="20">
        <v>0</v>
      </c>
      <c r="G66" s="21">
        <v>0</v>
      </c>
    </row>
    <row r="67" spans="2:7" x14ac:dyDescent="0.25" outlineLevel="1" collapsed="1">
      <c r="B67" s="15" t="s">
        <v>51</v>
      </c>
      <c r="C67" s="20">
        <v>0</v>
      </c>
      <c r="D67" s="20">
        <v>0</v>
      </c>
      <c r="E67" s="20">
        <v>0</v>
      </c>
      <c r="G67" s="21">
        <v>0</v>
      </c>
    </row>
    <row r="68" spans="2:6" x14ac:dyDescent="0.25">
      <c r="B68" s="22" t="s">
        <v>52</v>
      </c>
      <c r="C68" s="23">
        <f>C64+C65+C66+C67</f>
        <v>67959.54</v>
      </c>
      <c r="D68" s="23">
        <f>D64+D65+D66+D67</f>
        <v>78635.58</v>
      </c>
      <c r="E68" s="23">
        <f>IFERROR(D68-C68,0)</f>
        <v>10676.040000000008</v>
      </c>
      <c r="F68" s="24">
        <f>IFERROR(1-C68/D68,0)</f>
        <v>0.13576602347181776</v>
      </c>
    </row>
    <row r="70" spans="2:4" s="13" customFormat="1" x14ac:dyDescent="0.25">
      <c r="B70" s="13" t="s">
        <v>57</v>
      </c>
      <c r="D70" s="14" t="s">
        <v>38</v>
      </c>
    </row>
    <row r="71" spans="2:6" x14ac:dyDescent="0.25" outlineLevel="1" collapsed="1">
      <c r="B71" s="15" t="s">
        <v>42</v>
      </c>
      <c r="C71" s="16">
        <f>'LED Cost Sheet'!T9</f>
        <v>18069.649999999998</v>
      </c>
      <c r="D71" s="16">
        <f>'LED Cost Sheet'!V9</f>
        <v>21258.41</v>
      </c>
      <c r="E71" s="16">
        <f>IFERROR(D71-C71,0)</f>
        <v>3188.76</v>
      </c>
      <c r="F71" s="17">
        <v>0.15</v>
      </c>
    </row>
    <row r="72" spans="2:6" x14ac:dyDescent="0.25" outlineLevel="1" collapsed="1">
      <c r="B72" s="15" t="s">
        <v>43</v>
      </c>
      <c r="C72" s="16">
        <f>'DEF UNIT - Install'!I26</f>
        <v>761.25</v>
      </c>
      <c r="D72" s="16">
        <f>IFERROR(C72/(1-F72),0)</f>
        <v>895.59</v>
      </c>
      <c r="E72" s="16">
        <f>IFERROR(D72-C72,0)</f>
        <v>134.34</v>
      </c>
      <c r="F72" s="17">
        <v>0.15</v>
      </c>
    </row>
    <row r="73" spans="2:6" x14ac:dyDescent="0.25" outlineLevel="1" collapsed="1">
      <c r="B73" s="15" t="s">
        <v>44</v>
      </c>
      <c r="C73" s="16">
        <f>'DEF UNIT - Install'!I35-'DEF UNIT - Install'!I34</f>
        <v>3171.88</v>
      </c>
      <c r="D73" s="16">
        <f>IFERROR(C73/(1-F73),0)</f>
        <v>3731.62</v>
      </c>
      <c r="E73" s="16">
        <f>IFERROR(D73-C73,0)</f>
        <v>559.74</v>
      </c>
      <c r="F73" s="17">
        <v>0.15</v>
      </c>
    </row>
    <row r="74" spans="2:6" x14ac:dyDescent="0.25" outlineLevel="1" collapsed="1">
      <c r="B74" s="15" t="s">
        <v>45</v>
      </c>
      <c r="C74" s="16">
        <f>'DEF UNIT - Install'!I44</f>
        <v>3171.88</v>
      </c>
      <c r="D74" s="16">
        <f>IFERROR(C74/(1-F74),0)</f>
        <v>3731.62</v>
      </c>
      <c r="E74" s="16">
        <f>IFERROR(D74-C74,0)</f>
        <v>559.74</v>
      </c>
      <c r="F74" s="17">
        <v>0.15</v>
      </c>
    </row>
    <row r="75" spans="2:6" x14ac:dyDescent="0.25" outlineLevel="1" collapsed="1">
      <c r="B75" s="15" t="s">
        <v>46</v>
      </c>
      <c r="C75" s="16">
        <f>'DEF UNIT - Install'!I34</f>
        <v>20882.35</v>
      </c>
      <c r="D75" s="16">
        <f>IFERROR(C75/(1-F75),0)</f>
        <v>24567.47</v>
      </c>
      <c r="E75" s="16">
        <f>IFERROR(D75-C75,0)</f>
        <v>3685.12</v>
      </c>
      <c r="F75" s="17">
        <v>0.15</v>
      </c>
    </row>
    <row r="76" spans="2:6" x14ac:dyDescent="0.25" outlineLevel="1" collapsed="1">
      <c r="B76" s="15" t="s">
        <v>47</v>
      </c>
      <c r="C76" s="16">
        <f>'DEF UNIT - Install'!I52</f>
        <v>4705.88</v>
      </c>
      <c r="D76" s="16">
        <f>IFERROR(C76/(1-F76),0)</f>
        <v>5536.33</v>
      </c>
      <c r="E76" s="16">
        <f>IFERROR(D76-C76,0)</f>
        <v>830.45</v>
      </c>
      <c r="F76" s="17">
        <v>0.15</v>
      </c>
    </row>
    <row r="77" spans="2:6" x14ac:dyDescent="0.25" outlineLevel="1" collapsed="1">
      <c r="B77" s="4" t="s">
        <v>48</v>
      </c>
      <c r="C77" s="18">
        <f>SUM(C71:C76)</f>
        <v>50762.89</v>
      </c>
      <c r="D77" s="18">
        <f>SUM(D71:D76)</f>
        <v>58944.58</v>
      </c>
      <c r="E77" s="18">
        <f>IFERROR(D77-C77,0)</f>
        <v>8181.69</v>
      </c>
      <c r="F77" s="19">
        <f>IFERROR(1-C77/D77,0)</f>
        <v>0.138803</v>
      </c>
    </row>
    <row r="78" spans="2:7" x14ac:dyDescent="0.25" outlineLevel="1" collapsed="1">
      <c r="B78" s="15" t="s">
        <v>49</v>
      </c>
      <c r="C78" s="20">
        <v>0</v>
      </c>
      <c r="D78" s="20">
        <v>0</v>
      </c>
      <c r="E78" s="20">
        <v>0</v>
      </c>
      <c r="G78" s="21">
        <v>0</v>
      </c>
    </row>
    <row r="79" spans="2:7" x14ac:dyDescent="0.25" outlineLevel="1" collapsed="1">
      <c r="B79" s="15" t="s">
        <v>50</v>
      </c>
      <c r="C79" s="20">
        <v>0</v>
      </c>
      <c r="D79" s="20">
        <v>0</v>
      </c>
      <c r="E79" s="20">
        <v>0</v>
      </c>
      <c r="G79" s="21">
        <v>0</v>
      </c>
    </row>
    <row r="80" spans="2:7" x14ac:dyDescent="0.25" outlineLevel="1" collapsed="1">
      <c r="B80" s="15" t="s">
        <v>51</v>
      </c>
      <c r="C80" s="20">
        <v>0</v>
      </c>
      <c r="D80" s="20">
        <v>0</v>
      </c>
      <c r="E80" s="20">
        <v>0</v>
      </c>
      <c r="G80" s="21">
        <v>0</v>
      </c>
    </row>
    <row r="81" spans="2:6" x14ac:dyDescent="0.25">
      <c r="B81" s="22" t="s">
        <v>52</v>
      </c>
      <c r="C81" s="23">
        <f>C77+C78+C79+C80</f>
        <v>50762.89</v>
      </c>
      <c r="D81" s="23">
        <f>D77+D78+D79+D80</f>
        <v>58944.58</v>
      </c>
      <c r="E81" s="23">
        <f>IFERROR(D81-C81,0)</f>
        <v>8181.690000000002</v>
      </c>
      <c r="F81" s="24">
        <f>IFERROR(1-C81/D81,0)</f>
        <v>0.13880309266772284</v>
      </c>
    </row>
    <row r="83" spans="2:4" s="13" customFormat="1" x14ac:dyDescent="0.25">
      <c r="B83" s="13" t="s">
        <v>58</v>
      </c>
      <c r="D83" s="14" t="s">
        <v>38</v>
      </c>
    </row>
    <row r="84" spans="2:6" x14ac:dyDescent="0.25" outlineLevel="1" collapsed="1">
      <c r="B84" s="15" t="s">
        <v>42</v>
      </c>
      <c r="C84" s="16">
        <f>'LED Cost Sheet'!T10</f>
        <v>314060.76</v>
      </c>
      <c r="D84" s="16">
        <f>'LED Cost Sheet'!V10</f>
        <v>369483.25</v>
      </c>
      <c r="E84" s="16">
        <f>IFERROR(D84-C84,0)</f>
        <v>55422.49</v>
      </c>
      <c r="F84" s="17">
        <v>0.15</v>
      </c>
    </row>
    <row r="85" spans="2:6" x14ac:dyDescent="0.25" outlineLevel="1" collapsed="1">
      <c r="B85" s="15" t="s">
        <v>43</v>
      </c>
      <c r="C85" s="16">
        <f>'NORTH CORRIDOR - Install'!I26</f>
        <v>12678.75</v>
      </c>
      <c r="D85" s="16">
        <f>IFERROR(C85/(1-F85),0)</f>
        <v>14916.18</v>
      </c>
      <c r="E85" s="16">
        <f>IFERROR(D85-C85,0)</f>
        <v>2237.43</v>
      </c>
      <c r="F85" s="17">
        <v>0.15</v>
      </c>
    </row>
    <row r="86" spans="2:6" x14ac:dyDescent="0.25" outlineLevel="1" collapsed="1">
      <c r="B86" s="15" t="s">
        <v>44</v>
      </c>
      <c r="C86" s="16">
        <f>'NORTH CORRIDOR - Install'!I35-'NORTH CORRIDOR - Install'!I34</f>
        <v>52828.13</v>
      </c>
      <c r="D86" s="16">
        <f>IFERROR(C86/(1-F86),0)</f>
        <v>62150.74</v>
      </c>
      <c r="E86" s="16">
        <f>IFERROR(D86-C86,0)</f>
        <v>9322.61</v>
      </c>
      <c r="F86" s="17">
        <v>0.15</v>
      </c>
    </row>
    <row r="87" spans="2:6" x14ac:dyDescent="0.25" outlineLevel="1" collapsed="1">
      <c r="B87" s="15" t="s">
        <v>45</v>
      </c>
      <c r="C87" s="16">
        <f>'NORTH CORRIDOR - Install'!I44</f>
        <v>52828.13</v>
      </c>
      <c r="D87" s="16">
        <f>IFERROR(C87/(1-F87),0)</f>
        <v>62150.74</v>
      </c>
      <c r="E87" s="16">
        <f>IFERROR(D87-C87,0)</f>
        <v>9322.61</v>
      </c>
      <c r="F87" s="17">
        <v>0.15</v>
      </c>
    </row>
    <row r="88" spans="2:6" x14ac:dyDescent="0.25" outlineLevel="1" collapsed="1">
      <c r="B88" s="15" t="s">
        <v>46</v>
      </c>
      <c r="C88" s="16">
        <f>'NORTH CORRIDOR - Install'!I34</f>
        <v>20882.35</v>
      </c>
      <c r="D88" s="16">
        <f>IFERROR(C88/(1-F88),0)</f>
        <v>24567.47</v>
      </c>
      <c r="E88" s="16">
        <f>IFERROR(D88-C88,0)</f>
        <v>3685.12</v>
      </c>
      <c r="F88" s="17">
        <v>0.15</v>
      </c>
    </row>
    <row r="89" spans="2:6" x14ac:dyDescent="0.25" outlineLevel="1" collapsed="1">
      <c r="B89" s="15" t="s">
        <v>47</v>
      </c>
      <c r="C89" s="16">
        <f>'NORTH CORRIDOR - Install'!I52</f>
        <v>4705.88</v>
      </c>
      <c r="D89" s="16">
        <f>IFERROR(C89/(1-F89),0)</f>
        <v>5536.33</v>
      </c>
      <c r="E89" s="16">
        <f>IFERROR(D89-C89,0)</f>
        <v>830.45</v>
      </c>
      <c r="F89" s="17">
        <v>0.15</v>
      </c>
    </row>
    <row r="90" spans="2:6" x14ac:dyDescent="0.25" outlineLevel="1" collapsed="1">
      <c r="B90" s="4" t="s">
        <v>48</v>
      </c>
      <c r="C90" s="18">
        <f>SUM(C84:C89)</f>
        <v>457984</v>
      </c>
      <c r="D90" s="18">
        <f>SUM(D84:D89)</f>
        <v>525863.53</v>
      </c>
      <c r="E90" s="18">
        <f>IFERROR(D90-C90,0)</f>
        <v>67879.53</v>
      </c>
      <c r="F90" s="19">
        <f>IFERROR(1-C90/D90,0)</f>
        <v>0.129082</v>
      </c>
    </row>
    <row r="91" spans="2:7" x14ac:dyDescent="0.25" outlineLevel="1" collapsed="1">
      <c r="B91" s="15" t="s">
        <v>49</v>
      </c>
      <c r="C91" s="20">
        <v>0</v>
      </c>
      <c r="D91" s="20">
        <v>0</v>
      </c>
      <c r="E91" s="20">
        <v>0</v>
      </c>
      <c r="G91" s="21">
        <v>0</v>
      </c>
    </row>
    <row r="92" spans="2:7" x14ac:dyDescent="0.25" outlineLevel="1" collapsed="1">
      <c r="B92" s="15" t="s">
        <v>50</v>
      </c>
      <c r="C92" s="20">
        <v>0</v>
      </c>
      <c r="D92" s="20">
        <v>0</v>
      </c>
      <c r="E92" s="20">
        <v>0</v>
      </c>
      <c r="G92" s="21">
        <v>0</v>
      </c>
    </row>
    <row r="93" spans="2:7" x14ac:dyDescent="0.25" outlineLevel="1" collapsed="1">
      <c r="B93" s="15" t="s">
        <v>51</v>
      </c>
      <c r="C93" s="20">
        <v>0</v>
      </c>
      <c r="D93" s="20">
        <v>0</v>
      </c>
      <c r="E93" s="20">
        <v>0</v>
      </c>
      <c r="G93" s="21">
        <v>0</v>
      </c>
    </row>
    <row r="94" spans="2:6" x14ac:dyDescent="0.25">
      <c r="B94" s="22" t="s">
        <v>52</v>
      </c>
      <c r="C94" s="23">
        <f>C90+C91+C92+C93</f>
        <v>457984</v>
      </c>
      <c r="D94" s="23">
        <f>D90+D91+D92+D93</f>
        <v>525863.53</v>
      </c>
      <c r="E94" s="23">
        <f>IFERROR(D94-C94,0)</f>
        <v>67879.53000000003</v>
      </c>
      <c r="F94" s="24">
        <f>IFERROR(1-C94/D94,0)</f>
        <v>0.1290820262816097</v>
      </c>
    </row>
    <row r="96" spans="2:4" s="13" customFormat="1" x14ac:dyDescent="0.25">
      <c r="B96" s="13" t="s">
        <v>59</v>
      </c>
      <c r="D96" s="14" t="s">
        <v>38</v>
      </c>
    </row>
    <row r="97" spans="2:6" x14ac:dyDescent="0.25" outlineLevel="1" collapsed="1">
      <c r="B97" s="15" t="s">
        <v>42</v>
      </c>
      <c r="C97" s="16">
        <f>'LED Cost Sheet'!T11</f>
        <v>270011.65</v>
      </c>
      <c r="D97" s="16">
        <f>'LED Cost Sheet'!V11</f>
        <v>317660.76</v>
      </c>
      <c r="E97" s="16">
        <f>IFERROR(D97-C97,0)</f>
        <v>47649.11</v>
      </c>
      <c r="F97" s="17">
        <v>0.15</v>
      </c>
    </row>
    <row r="98" spans="2:6" x14ac:dyDescent="0.25" outlineLevel="1" collapsed="1">
      <c r="B98" s="15" t="s">
        <v>43</v>
      </c>
      <c r="C98" s="16">
        <f>'SOUTH CORRIDOR - Install'!I26</f>
        <v>10777.5</v>
      </c>
      <c r="D98" s="16">
        <f>IFERROR(C98/(1-F98),0)</f>
        <v>12679.41</v>
      </c>
      <c r="E98" s="16">
        <f>IFERROR(D98-C98,0)</f>
        <v>1901.91</v>
      </c>
      <c r="F98" s="17">
        <v>0.15</v>
      </c>
    </row>
    <row r="99" spans="2:6" x14ac:dyDescent="0.25" outlineLevel="1" collapsed="1">
      <c r="B99" s="15" t="s">
        <v>44</v>
      </c>
      <c r="C99" s="16">
        <f>'SOUTH CORRIDOR - Install'!I35-'SOUTH CORRIDOR - Install'!I34</f>
        <v>44906.25</v>
      </c>
      <c r="D99" s="16">
        <f>IFERROR(C99/(1-F99),0)</f>
        <v>52830.88</v>
      </c>
      <c r="E99" s="16">
        <f>IFERROR(D99-C99,0)</f>
        <v>7924.63</v>
      </c>
      <c r="F99" s="17">
        <v>0.15</v>
      </c>
    </row>
    <row r="100" spans="2:6" x14ac:dyDescent="0.25" outlineLevel="1" collapsed="1">
      <c r="B100" s="15" t="s">
        <v>45</v>
      </c>
      <c r="C100" s="16">
        <f>'SOUTH CORRIDOR - Install'!I44</f>
        <v>44906.25</v>
      </c>
      <c r="D100" s="16">
        <f>IFERROR(C100/(1-F100),0)</f>
        <v>52830.88</v>
      </c>
      <c r="E100" s="16">
        <f>IFERROR(D100-C100,0)</f>
        <v>7924.63</v>
      </c>
      <c r="F100" s="17">
        <v>0.15</v>
      </c>
    </row>
    <row r="101" spans="2:6" x14ac:dyDescent="0.25" outlineLevel="1" collapsed="1">
      <c r="B101" s="15" t="s">
        <v>46</v>
      </c>
      <c r="C101" s="16">
        <f>'SOUTH CORRIDOR - Install'!I34</f>
        <v>20882.35</v>
      </c>
      <c r="D101" s="16">
        <f>IFERROR(C101/(1-F101),0)</f>
        <v>24567.47</v>
      </c>
      <c r="E101" s="16">
        <f>IFERROR(D101-C101,0)</f>
        <v>3685.12</v>
      </c>
      <c r="F101" s="17">
        <v>0.15</v>
      </c>
    </row>
    <row r="102" spans="2:6" x14ac:dyDescent="0.25" outlineLevel="1" collapsed="1">
      <c r="B102" s="15" t="s">
        <v>47</v>
      </c>
      <c r="C102" s="16">
        <f>'SOUTH CORRIDOR - Install'!I52</f>
        <v>4705.88</v>
      </c>
      <c r="D102" s="16">
        <f>IFERROR(C102/(1-F102),0)</f>
        <v>5536.33</v>
      </c>
      <c r="E102" s="16">
        <f>IFERROR(D102-C102,0)</f>
        <v>830.45</v>
      </c>
      <c r="F102" s="17">
        <v>0.15</v>
      </c>
    </row>
    <row r="103" spans="2:6" x14ac:dyDescent="0.25" outlineLevel="1" collapsed="1">
      <c r="B103" s="4" t="s">
        <v>48</v>
      </c>
      <c r="C103" s="18">
        <f>SUM(C97:C102)</f>
        <v>396189.88</v>
      </c>
      <c r="D103" s="18">
        <f>SUM(D97:D102)</f>
        <v>455105.74</v>
      </c>
      <c r="E103" s="18">
        <f>IFERROR(D103-C103,0)</f>
        <v>58915.86</v>
      </c>
      <c r="F103" s="19">
        <f>IFERROR(1-C103/D103,0)</f>
        <v>0.129455</v>
      </c>
    </row>
    <row r="104" spans="2:7" x14ac:dyDescent="0.25" outlineLevel="1" collapsed="1">
      <c r="B104" s="15" t="s">
        <v>49</v>
      </c>
      <c r="C104" s="20">
        <v>0</v>
      </c>
      <c r="D104" s="20">
        <v>0</v>
      </c>
      <c r="E104" s="20">
        <v>0</v>
      </c>
      <c r="G104" s="21">
        <v>0</v>
      </c>
    </row>
    <row r="105" spans="2:7" x14ac:dyDescent="0.25" outlineLevel="1" collapsed="1">
      <c r="B105" s="15" t="s">
        <v>50</v>
      </c>
      <c r="C105" s="20">
        <v>0</v>
      </c>
      <c r="D105" s="20">
        <v>0</v>
      </c>
      <c r="E105" s="20">
        <v>0</v>
      </c>
      <c r="G105" s="21">
        <v>0</v>
      </c>
    </row>
    <row r="106" spans="2:7" x14ac:dyDescent="0.25" outlineLevel="1" collapsed="1">
      <c r="B106" s="15" t="s">
        <v>51</v>
      </c>
      <c r="C106" s="20">
        <v>0</v>
      </c>
      <c r="D106" s="20">
        <v>0</v>
      </c>
      <c r="E106" s="20">
        <v>0</v>
      </c>
      <c r="G106" s="21">
        <v>0</v>
      </c>
    </row>
    <row r="107" spans="2:6" x14ac:dyDescent="0.25">
      <c r="B107" s="22" t="s">
        <v>52</v>
      </c>
      <c r="C107" s="23">
        <f>C103+C104+C105+C106</f>
        <v>396189.88</v>
      </c>
      <c r="D107" s="23">
        <f>D103+D104+D105+D106</f>
        <v>455105.74</v>
      </c>
      <c r="E107" s="23">
        <f>IFERROR(D107-C107,0)</f>
        <v>58915.859999999986</v>
      </c>
      <c r="F107" s="24">
        <f>IFERROR(1-C107/D107,0)</f>
        <v>0.1294553217456672</v>
      </c>
    </row>
    <row r="109" spans="2:4" s="13" customFormat="1" x14ac:dyDescent="0.25">
      <c r="B109" s="13" t="s">
        <v>60</v>
      </c>
      <c r="D109" s="14" t="s">
        <v>38</v>
      </c>
    </row>
    <row r="110" spans="2:6" x14ac:dyDescent="0.25" outlineLevel="1" collapsed="1">
      <c r="B110" s="15" t="s">
        <v>42</v>
      </c>
      <c r="C110" s="16">
        <f>'LED Cost Sheet'!T12</f>
        <v>103217.87000000001</v>
      </c>
      <c r="D110" s="16">
        <f>'LED Cost Sheet'!V12</f>
        <v>121432.79</v>
      </c>
      <c r="E110" s="16">
        <f>IFERROR(D110-C110,0)</f>
        <v>18214.92</v>
      </c>
      <c r="F110" s="17">
        <v>0.15</v>
      </c>
    </row>
    <row r="111" spans="2:6" x14ac:dyDescent="0.25" outlineLevel="1" collapsed="1">
      <c r="B111" s="15" t="s">
        <v>43</v>
      </c>
      <c r="C111" s="16">
        <f>'S.E. CORRIDOR (CEILING) - Insta'!I26</f>
        <v>3918.75</v>
      </c>
      <c r="D111" s="16">
        <f>IFERROR(C111/(1-F111),0)</f>
        <v>4610.29</v>
      </c>
      <c r="E111" s="16">
        <f>IFERROR(D111-C111,0)</f>
        <v>691.54</v>
      </c>
      <c r="F111" s="17">
        <v>0.15</v>
      </c>
    </row>
    <row r="112" spans="2:6" x14ac:dyDescent="0.25" outlineLevel="1" collapsed="1">
      <c r="B112" s="15" t="s">
        <v>44</v>
      </c>
      <c r="C112" s="16">
        <f>'S.E. CORRIDOR (CEILING) - Insta'!I35-'S.E. CORRIDOR (CEILING) - Insta'!I34</f>
        <v>16328.13</v>
      </c>
      <c r="D112" s="16">
        <f>IFERROR(C112/(1-F112),0)</f>
        <v>19209.56</v>
      </c>
      <c r="E112" s="16">
        <f>IFERROR(D112-C112,0)</f>
        <v>2881.43</v>
      </c>
      <c r="F112" s="17">
        <v>0.15</v>
      </c>
    </row>
    <row r="113" spans="2:6" x14ac:dyDescent="0.25" outlineLevel="1" collapsed="1">
      <c r="B113" s="15" t="s">
        <v>45</v>
      </c>
      <c r="C113" s="16">
        <f>'S.E. CORRIDOR (CEILING) - Insta'!I44</f>
        <v>16328.13</v>
      </c>
      <c r="D113" s="16">
        <f>IFERROR(C113/(1-F113),0)</f>
        <v>19209.56</v>
      </c>
      <c r="E113" s="16">
        <f>IFERROR(D113-C113,0)</f>
        <v>2881.43</v>
      </c>
      <c r="F113" s="17">
        <v>0.15</v>
      </c>
    </row>
    <row r="114" spans="2:6" x14ac:dyDescent="0.25" outlineLevel="1" collapsed="1">
      <c r="B114" s="15" t="s">
        <v>46</v>
      </c>
      <c r="C114" s="16">
        <f>'S.E. CORRIDOR (CEILING) - Insta'!I34</f>
        <v>20882.35</v>
      </c>
      <c r="D114" s="16">
        <f>IFERROR(C114/(1-F114),0)</f>
        <v>24567.47</v>
      </c>
      <c r="E114" s="16">
        <f>IFERROR(D114-C114,0)</f>
        <v>3685.12</v>
      </c>
      <c r="F114" s="17">
        <v>0.15</v>
      </c>
    </row>
    <row r="115" spans="2:6" x14ac:dyDescent="0.25" outlineLevel="1" collapsed="1">
      <c r="B115" s="15" t="s">
        <v>47</v>
      </c>
      <c r="C115" s="16">
        <f>'S.E. CORRIDOR (CEILING) - Insta'!I52</f>
        <v>4705.88</v>
      </c>
      <c r="D115" s="16">
        <f>IFERROR(C115/(1-F115),0)</f>
        <v>5536.33</v>
      </c>
      <c r="E115" s="16">
        <f>IFERROR(D115-C115,0)</f>
        <v>830.45</v>
      </c>
      <c r="F115" s="17">
        <v>0.15</v>
      </c>
    </row>
    <row r="116" spans="2:6" x14ac:dyDescent="0.25" outlineLevel="1" collapsed="1">
      <c r="B116" s="4" t="s">
        <v>48</v>
      </c>
      <c r="C116" s="18">
        <f>SUM(C110:C115)</f>
        <v>165381.11</v>
      </c>
      <c r="D116" s="18">
        <f>SUM(D110:D115)</f>
        <v>190566.01</v>
      </c>
      <c r="E116" s="18">
        <f>IFERROR(D116-C116,0)</f>
        <v>25184.9</v>
      </c>
      <c r="F116" s="19">
        <f>IFERROR(1-C116/D116,0)</f>
        <v>0.132158</v>
      </c>
    </row>
    <row r="117" spans="2:7" x14ac:dyDescent="0.25" outlineLevel="1" collapsed="1">
      <c r="B117" s="15" t="s">
        <v>49</v>
      </c>
      <c r="C117" s="20">
        <v>0</v>
      </c>
      <c r="D117" s="20">
        <v>0</v>
      </c>
      <c r="E117" s="20">
        <v>0</v>
      </c>
      <c r="G117" s="21">
        <v>0</v>
      </c>
    </row>
    <row r="118" spans="2:7" x14ac:dyDescent="0.25" outlineLevel="1" collapsed="1">
      <c r="B118" s="15" t="s">
        <v>50</v>
      </c>
      <c r="C118" s="20">
        <v>0</v>
      </c>
      <c r="D118" s="20">
        <v>0</v>
      </c>
      <c r="E118" s="20">
        <v>0</v>
      </c>
      <c r="G118" s="21">
        <v>0</v>
      </c>
    </row>
    <row r="119" spans="2:7" x14ac:dyDescent="0.25" outlineLevel="1" collapsed="1">
      <c r="B119" s="15" t="s">
        <v>51</v>
      </c>
      <c r="C119" s="20">
        <v>0</v>
      </c>
      <c r="D119" s="20">
        <v>0</v>
      </c>
      <c r="E119" s="20">
        <v>0</v>
      </c>
      <c r="G119" s="21">
        <v>0</v>
      </c>
    </row>
    <row r="120" spans="2:6" x14ac:dyDescent="0.25">
      <c r="B120" s="22" t="s">
        <v>52</v>
      </c>
      <c r="C120" s="23">
        <f>C116+C117+C118+C119</f>
        <v>165381.11</v>
      </c>
      <c r="D120" s="23">
        <f>D116+D117+D118+D119</f>
        <v>190566.01</v>
      </c>
      <c r="E120" s="23">
        <f>IFERROR(D120-C120,0)</f>
        <v>25184.900000000023</v>
      </c>
      <c r="F120" s="24">
        <f>IFERROR(1-C120/D120,0)</f>
        <v>0.13215840537355017</v>
      </c>
    </row>
    <row r="122" spans="2:4" s="13" customFormat="1" x14ac:dyDescent="0.25">
      <c r="B122" s="13" t="s">
        <v>60</v>
      </c>
      <c r="D122" s="14" t="s">
        <v>38</v>
      </c>
    </row>
    <row r="123" spans="2:6" x14ac:dyDescent="0.25" outlineLevel="1" collapsed="1">
      <c r="B123" s="15" t="s">
        <v>42</v>
      </c>
      <c r="C123" s="16">
        <f>'LED Cost Sheet'!T13</f>
        <v>103217.87000000001</v>
      </c>
      <c r="D123" s="16">
        <f>'LED Cost Sheet'!V13</f>
        <v>121432.79</v>
      </c>
      <c r="E123" s="16">
        <f>IFERROR(D123-C123,0)</f>
        <v>18214.92</v>
      </c>
      <c r="F123" s="17">
        <v>0.15</v>
      </c>
    </row>
    <row r="124" spans="2:6" x14ac:dyDescent="0.25" outlineLevel="1" collapsed="1">
      <c r="B124" s="15" t="s">
        <v>43</v>
      </c>
      <c r="C124" s="16">
        <f>'S.E. CORRIDOR (CEILING10 - Inst'!I26</f>
        <v>3918.75</v>
      </c>
      <c r="D124" s="16">
        <f>IFERROR(C124/(1-F124),0)</f>
        <v>4610.29</v>
      </c>
      <c r="E124" s="16">
        <f>IFERROR(D124-C124,0)</f>
        <v>691.54</v>
      </c>
      <c r="F124" s="17">
        <v>0.15</v>
      </c>
    </row>
    <row r="125" spans="2:6" x14ac:dyDescent="0.25" outlineLevel="1" collapsed="1">
      <c r="B125" s="15" t="s">
        <v>44</v>
      </c>
      <c r="C125" s="16">
        <f>'S.E. CORRIDOR (CEILING10 - Inst'!I35-'S.E. CORRIDOR (CEILING10 - Inst'!I34</f>
        <v>16328.13</v>
      </c>
      <c r="D125" s="16">
        <f>IFERROR(C125/(1-F125),0)</f>
        <v>19209.56</v>
      </c>
      <c r="E125" s="16">
        <f>IFERROR(D125-C125,0)</f>
        <v>2881.43</v>
      </c>
      <c r="F125" s="17">
        <v>0.15</v>
      </c>
    </row>
    <row r="126" spans="2:6" x14ac:dyDescent="0.25" outlineLevel="1" collapsed="1">
      <c r="B126" s="15" t="s">
        <v>45</v>
      </c>
      <c r="C126" s="16">
        <f>'S.E. CORRIDOR (CEILING10 - Inst'!I44</f>
        <v>16328.13</v>
      </c>
      <c r="D126" s="16">
        <f>IFERROR(C126/(1-F126),0)</f>
        <v>19209.56</v>
      </c>
      <c r="E126" s="16">
        <f>IFERROR(D126-C126,0)</f>
        <v>2881.43</v>
      </c>
      <c r="F126" s="17">
        <v>0.15</v>
      </c>
    </row>
    <row r="127" spans="2:6" x14ac:dyDescent="0.25" outlineLevel="1" collapsed="1">
      <c r="B127" s="15" t="s">
        <v>46</v>
      </c>
      <c r="C127" s="16">
        <f>'S.E. CORRIDOR (CEILING10 - Inst'!I34</f>
        <v>20882.35</v>
      </c>
      <c r="D127" s="16">
        <f>IFERROR(C127/(1-F127),0)</f>
        <v>24567.47</v>
      </c>
      <c r="E127" s="16">
        <f>IFERROR(D127-C127,0)</f>
        <v>3685.12</v>
      </c>
      <c r="F127" s="17">
        <v>0.15</v>
      </c>
    </row>
    <row r="128" spans="2:6" x14ac:dyDescent="0.25" outlineLevel="1" collapsed="1">
      <c r="B128" s="15" t="s">
        <v>47</v>
      </c>
      <c r="C128" s="16">
        <f>'S.E. CORRIDOR (CEILING10 - Inst'!I52</f>
        <v>4705.88</v>
      </c>
      <c r="D128" s="16">
        <f>IFERROR(C128/(1-F128),0)</f>
        <v>5536.33</v>
      </c>
      <c r="E128" s="16">
        <f>IFERROR(D128-C128,0)</f>
        <v>830.45</v>
      </c>
      <c r="F128" s="17">
        <v>0.15</v>
      </c>
    </row>
    <row r="129" spans="2:6" x14ac:dyDescent="0.25" outlineLevel="1" collapsed="1">
      <c r="B129" s="4" t="s">
        <v>48</v>
      </c>
      <c r="C129" s="18">
        <f>SUM(C123:C128)</f>
        <v>165381.11</v>
      </c>
      <c r="D129" s="18">
        <f>SUM(D123:D128)</f>
        <v>190566.01</v>
      </c>
      <c r="E129" s="18">
        <f>IFERROR(D129-C129,0)</f>
        <v>25184.9</v>
      </c>
      <c r="F129" s="19">
        <f>IFERROR(1-C129/D129,0)</f>
        <v>0.132158</v>
      </c>
    </row>
    <row r="130" spans="2:7" x14ac:dyDescent="0.25" outlineLevel="1" collapsed="1">
      <c r="B130" s="15" t="s">
        <v>49</v>
      </c>
      <c r="C130" s="20">
        <v>0</v>
      </c>
      <c r="D130" s="20">
        <v>0</v>
      </c>
      <c r="E130" s="20">
        <v>0</v>
      </c>
      <c r="G130" s="21">
        <v>0</v>
      </c>
    </row>
    <row r="131" spans="2:7" x14ac:dyDescent="0.25" outlineLevel="1" collapsed="1">
      <c r="B131" s="15" t="s">
        <v>50</v>
      </c>
      <c r="C131" s="20">
        <v>0</v>
      </c>
      <c r="D131" s="20">
        <v>0</v>
      </c>
      <c r="E131" s="20">
        <v>0</v>
      </c>
      <c r="G131" s="21">
        <v>0</v>
      </c>
    </row>
    <row r="132" spans="2:7" x14ac:dyDescent="0.25" outlineLevel="1" collapsed="1">
      <c r="B132" s="15" t="s">
        <v>51</v>
      </c>
      <c r="C132" s="20">
        <v>0</v>
      </c>
      <c r="D132" s="20">
        <v>0</v>
      </c>
      <c r="E132" s="20">
        <v>0</v>
      </c>
      <c r="G132" s="21">
        <v>0</v>
      </c>
    </row>
    <row r="133" spans="2:6" x14ac:dyDescent="0.25">
      <c r="B133" s="22" t="s">
        <v>52</v>
      </c>
      <c r="C133" s="23">
        <f>C129+C130+C131+C132</f>
        <v>165381.11</v>
      </c>
      <c r="D133" s="23">
        <f>D129+D130+D131+D132</f>
        <v>190566.01</v>
      </c>
      <c r="E133" s="23">
        <f>IFERROR(D133-C133,0)</f>
        <v>25184.900000000023</v>
      </c>
      <c r="F133" s="24">
        <f>IFERROR(1-C133/D133,0)</f>
        <v>0.13215840537355017</v>
      </c>
    </row>
    <row r="135" spans="2:4" s="13" customFormat="1" x14ac:dyDescent="0.25">
      <c r="B135" s="13" t="s">
        <v>61</v>
      </c>
      <c r="D135" s="14" t="s">
        <v>38</v>
      </c>
    </row>
    <row r="136" spans="2:6" x14ac:dyDescent="0.25" outlineLevel="1" collapsed="1">
      <c r="B136" s="15" t="s">
        <v>42</v>
      </c>
      <c r="C136" s="16">
        <f>'LED Cost Sheet'!T14</f>
        <v>108557.16</v>
      </c>
      <c r="D136" s="16">
        <f>'LED Cost Sheet'!V14</f>
        <v>127714.31</v>
      </c>
      <c r="E136" s="16">
        <f>IFERROR(D136-C136,0)</f>
        <v>19157.15</v>
      </c>
      <c r="F136" s="17">
        <v>0.15</v>
      </c>
    </row>
    <row r="137" spans="2:6" x14ac:dyDescent="0.25" outlineLevel="1" collapsed="1">
      <c r="B137" s="15" t="s">
        <v>43</v>
      </c>
      <c r="C137" s="16">
        <f>'EAST CORRIDOR (CEILING) - Insta'!I26</f>
        <v>4151.25</v>
      </c>
      <c r="D137" s="16">
        <f>IFERROR(C137/(1-F137),0)</f>
        <v>4883.82</v>
      </c>
      <c r="E137" s="16">
        <f>IFERROR(D137-C137,0)</f>
        <v>732.57</v>
      </c>
      <c r="F137" s="17">
        <v>0.15</v>
      </c>
    </row>
    <row r="138" spans="2:6" x14ac:dyDescent="0.25" outlineLevel="1" collapsed="1">
      <c r="B138" s="15" t="s">
        <v>44</v>
      </c>
      <c r="C138" s="16">
        <f>'EAST CORRIDOR (CEILING) - Insta'!I35-'EAST CORRIDOR (CEILING) - Insta'!I34</f>
        <v>17296.88</v>
      </c>
      <c r="D138" s="16">
        <f>IFERROR(C138/(1-F138),0)</f>
        <v>20349.27</v>
      </c>
      <c r="E138" s="16">
        <f>IFERROR(D138-C138,0)</f>
        <v>3052.39</v>
      </c>
      <c r="F138" s="17">
        <v>0.15</v>
      </c>
    </row>
    <row r="139" spans="2:6" x14ac:dyDescent="0.25" outlineLevel="1" collapsed="1">
      <c r="B139" s="15" t="s">
        <v>45</v>
      </c>
      <c r="C139" s="16">
        <f>'EAST CORRIDOR (CEILING) - Insta'!I44</f>
        <v>17296.88</v>
      </c>
      <c r="D139" s="16">
        <f>IFERROR(C139/(1-F139),0)</f>
        <v>20349.27</v>
      </c>
      <c r="E139" s="16">
        <f>IFERROR(D139-C139,0)</f>
        <v>3052.39</v>
      </c>
      <c r="F139" s="17">
        <v>0.15</v>
      </c>
    </row>
    <row r="140" spans="2:6" x14ac:dyDescent="0.25" outlineLevel="1" collapsed="1">
      <c r="B140" s="15" t="s">
        <v>46</v>
      </c>
      <c r="C140" s="16">
        <f>'EAST CORRIDOR (CEILING) - Insta'!I34</f>
        <v>20882.35</v>
      </c>
      <c r="D140" s="16">
        <f>IFERROR(C140/(1-F140),0)</f>
        <v>24567.47</v>
      </c>
      <c r="E140" s="16">
        <f>IFERROR(D140-C140,0)</f>
        <v>3685.12</v>
      </c>
      <c r="F140" s="17">
        <v>0.15</v>
      </c>
    </row>
    <row r="141" spans="2:6" x14ac:dyDescent="0.25" outlineLevel="1" collapsed="1">
      <c r="B141" s="15" t="s">
        <v>47</v>
      </c>
      <c r="C141" s="16">
        <f>'EAST CORRIDOR (CEILING) - Insta'!I52</f>
        <v>4705.88</v>
      </c>
      <c r="D141" s="16">
        <f>IFERROR(C141/(1-F141),0)</f>
        <v>5536.33</v>
      </c>
      <c r="E141" s="16">
        <f>IFERROR(D141-C141,0)</f>
        <v>830.45</v>
      </c>
      <c r="F141" s="17">
        <v>0.15</v>
      </c>
    </row>
    <row r="142" spans="2:6" x14ac:dyDescent="0.25" outlineLevel="1" collapsed="1">
      <c r="B142" s="4" t="s">
        <v>48</v>
      </c>
      <c r="C142" s="18">
        <f>SUM(C136:C141)</f>
        <v>172890.4</v>
      </c>
      <c r="D142" s="18">
        <f>SUM(D136:D141)</f>
        <v>199165.18</v>
      </c>
      <c r="E142" s="18">
        <f>IFERROR(D142-C142,0)</f>
        <v>26274.78</v>
      </c>
      <c r="F142" s="19">
        <f>IFERROR(1-C142/D142,0)</f>
        <v>0.131925</v>
      </c>
    </row>
    <row r="143" spans="2:7" x14ac:dyDescent="0.25" outlineLevel="1" collapsed="1">
      <c r="B143" s="15" t="s">
        <v>49</v>
      </c>
      <c r="C143" s="20">
        <v>0</v>
      </c>
      <c r="D143" s="20">
        <v>0</v>
      </c>
      <c r="E143" s="20">
        <v>0</v>
      </c>
      <c r="G143" s="21">
        <v>0</v>
      </c>
    </row>
    <row r="144" spans="2:7" x14ac:dyDescent="0.25" outlineLevel="1" collapsed="1">
      <c r="B144" s="15" t="s">
        <v>50</v>
      </c>
      <c r="C144" s="20">
        <v>0</v>
      </c>
      <c r="D144" s="20">
        <v>0</v>
      </c>
      <c r="E144" s="20">
        <v>0</v>
      </c>
      <c r="G144" s="21">
        <v>0</v>
      </c>
    </row>
    <row r="145" spans="2:7" x14ac:dyDescent="0.25" outlineLevel="1" collapsed="1">
      <c r="B145" s="15" t="s">
        <v>51</v>
      </c>
      <c r="C145" s="20">
        <v>0</v>
      </c>
      <c r="D145" s="20">
        <v>0</v>
      </c>
      <c r="E145" s="20">
        <v>0</v>
      </c>
      <c r="G145" s="21">
        <v>0</v>
      </c>
    </row>
    <row r="146" spans="2:6" x14ac:dyDescent="0.25">
      <c r="B146" s="22" t="s">
        <v>52</v>
      </c>
      <c r="C146" s="23">
        <f>C142+C143+C144+C145</f>
        <v>172890.4</v>
      </c>
      <c r="D146" s="23">
        <f>D142+D143+D144+D145</f>
        <v>199165.18</v>
      </c>
      <c r="E146" s="23">
        <f>IFERROR(D146-C146,0)</f>
        <v>26274.78</v>
      </c>
      <c r="F146" s="24">
        <f>IFERROR(1-C146/D146,0)</f>
        <v>0.13192456633232774</v>
      </c>
    </row>
    <row r="148" spans="2:4" s="13" customFormat="1" x14ac:dyDescent="0.25">
      <c r="B148" s="13" t="s">
        <v>62</v>
      </c>
      <c r="D148" s="14" t="s">
        <v>38</v>
      </c>
    </row>
    <row r="149" spans="2:6" x14ac:dyDescent="0.25" outlineLevel="1" collapsed="1">
      <c r="B149" s="15" t="s">
        <v>42</v>
      </c>
      <c r="C149" s="16">
        <f>'LED Cost Sheet'!T15</f>
        <v>103217.87000000001</v>
      </c>
      <c r="D149" s="16">
        <f>'LED Cost Sheet'!V15</f>
        <v>121432.79</v>
      </c>
      <c r="E149" s="16">
        <f>IFERROR(D149-C149,0)</f>
        <v>18214.92</v>
      </c>
      <c r="F149" s="17">
        <v>0.15</v>
      </c>
    </row>
    <row r="150" spans="2:6" x14ac:dyDescent="0.25" outlineLevel="1" collapsed="1">
      <c r="B150" s="15" t="s">
        <v>43</v>
      </c>
      <c r="C150" s="16">
        <f>'N.E. CORRIDOR (CEILING) - Insta'!I26</f>
        <v>3918.75</v>
      </c>
      <c r="D150" s="16">
        <f>IFERROR(C150/(1-F150),0)</f>
        <v>4610.29</v>
      </c>
      <c r="E150" s="16">
        <f>IFERROR(D150-C150,0)</f>
        <v>691.54</v>
      </c>
      <c r="F150" s="17">
        <v>0.15</v>
      </c>
    </row>
    <row r="151" spans="2:6" x14ac:dyDescent="0.25" outlineLevel="1" collapsed="1">
      <c r="B151" s="15" t="s">
        <v>44</v>
      </c>
      <c r="C151" s="16">
        <f>'N.E. CORRIDOR (CEILING) - Insta'!I35-'N.E. CORRIDOR (CEILING) - Insta'!I34</f>
        <v>16328.13</v>
      </c>
      <c r="D151" s="16">
        <f>IFERROR(C151/(1-F151),0)</f>
        <v>19209.56</v>
      </c>
      <c r="E151" s="16">
        <f>IFERROR(D151-C151,0)</f>
        <v>2881.43</v>
      </c>
      <c r="F151" s="17">
        <v>0.15</v>
      </c>
    </row>
    <row r="152" spans="2:6" x14ac:dyDescent="0.25" outlineLevel="1" collapsed="1">
      <c r="B152" s="15" t="s">
        <v>45</v>
      </c>
      <c r="C152" s="16">
        <f>'N.E. CORRIDOR (CEILING) - Insta'!I44</f>
        <v>16328.13</v>
      </c>
      <c r="D152" s="16">
        <f>IFERROR(C152/(1-F152),0)</f>
        <v>19209.56</v>
      </c>
      <c r="E152" s="16">
        <f>IFERROR(D152-C152,0)</f>
        <v>2881.43</v>
      </c>
      <c r="F152" s="17">
        <v>0.15</v>
      </c>
    </row>
    <row r="153" spans="2:6" x14ac:dyDescent="0.25" outlineLevel="1" collapsed="1">
      <c r="B153" s="15" t="s">
        <v>46</v>
      </c>
      <c r="C153" s="16">
        <f>'N.E. CORRIDOR (CEILING) - Insta'!I34</f>
        <v>20882.35</v>
      </c>
      <c r="D153" s="16">
        <f>IFERROR(C153/(1-F153),0)</f>
        <v>24567.47</v>
      </c>
      <c r="E153" s="16">
        <f>IFERROR(D153-C153,0)</f>
        <v>3685.12</v>
      </c>
      <c r="F153" s="17">
        <v>0.15</v>
      </c>
    </row>
    <row r="154" spans="2:6" x14ac:dyDescent="0.25" outlineLevel="1" collapsed="1">
      <c r="B154" s="15" t="s">
        <v>47</v>
      </c>
      <c r="C154" s="16">
        <f>'N.E. CORRIDOR (CEILING) - Insta'!I52</f>
        <v>4705.88</v>
      </c>
      <c r="D154" s="16">
        <f>IFERROR(C154/(1-F154),0)</f>
        <v>5536.33</v>
      </c>
      <c r="E154" s="16">
        <f>IFERROR(D154-C154,0)</f>
        <v>830.45</v>
      </c>
      <c r="F154" s="17">
        <v>0.15</v>
      </c>
    </row>
    <row r="155" spans="2:6" x14ac:dyDescent="0.25" outlineLevel="1" collapsed="1">
      <c r="B155" s="4" t="s">
        <v>48</v>
      </c>
      <c r="C155" s="18">
        <f>SUM(C149:C154)</f>
        <v>165381.11</v>
      </c>
      <c r="D155" s="18">
        <f>SUM(D149:D154)</f>
        <v>190566.01</v>
      </c>
      <c r="E155" s="18">
        <f>IFERROR(D155-C155,0)</f>
        <v>25184.9</v>
      </c>
      <c r="F155" s="19">
        <f>IFERROR(1-C155/D155,0)</f>
        <v>0.132158</v>
      </c>
    </row>
    <row r="156" spans="2:7" x14ac:dyDescent="0.25" outlineLevel="1" collapsed="1">
      <c r="B156" s="15" t="s">
        <v>49</v>
      </c>
      <c r="C156" s="20">
        <v>0</v>
      </c>
      <c r="D156" s="20">
        <v>0</v>
      </c>
      <c r="E156" s="20">
        <v>0</v>
      </c>
      <c r="G156" s="21">
        <v>0</v>
      </c>
    </row>
    <row r="157" spans="2:7" x14ac:dyDescent="0.25" outlineLevel="1" collapsed="1">
      <c r="B157" s="15" t="s">
        <v>50</v>
      </c>
      <c r="C157" s="20">
        <v>0</v>
      </c>
      <c r="D157" s="20">
        <v>0</v>
      </c>
      <c r="E157" s="20">
        <v>0</v>
      </c>
      <c r="G157" s="21">
        <v>0</v>
      </c>
    </row>
    <row r="158" spans="2:7" x14ac:dyDescent="0.25" outlineLevel="1" collapsed="1">
      <c r="B158" s="15" t="s">
        <v>51</v>
      </c>
      <c r="C158" s="20">
        <v>0</v>
      </c>
      <c r="D158" s="20">
        <v>0</v>
      </c>
      <c r="E158" s="20">
        <v>0</v>
      </c>
      <c r="G158" s="21">
        <v>0</v>
      </c>
    </row>
    <row r="159" spans="2:6" x14ac:dyDescent="0.25">
      <c r="B159" s="22" t="s">
        <v>52</v>
      </c>
      <c r="C159" s="23">
        <f>C155+C156+C157+C158</f>
        <v>165381.11</v>
      </c>
      <c r="D159" s="23">
        <f>D155+D156+D157+D158</f>
        <v>190566.01</v>
      </c>
      <c r="E159" s="23">
        <f>IFERROR(D159-C159,0)</f>
        <v>25184.900000000023</v>
      </c>
      <c r="F159" s="24">
        <f>IFERROR(1-C159/D159,0)</f>
        <v>0.13215840537355017</v>
      </c>
    </row>
    <row r="161" spans="2:4" s="13" customFormat="1" x14ac:dyDescent="0.25">
      <c r="B161" s="13" t="s">
        <v>62</v>
      </c>
      <c r="D161" s="14" t="s">
        <v>38</v>
      </c>
    </row>
    <row r="162" spans="2:6" x14ac:dyDescent="0.25" outlineLevel="1" collapsed="1">
      <c r="B162" s="15" t="s">
        <v>42</v>
      </c>
      <c r="C162" s="16">
        <f>'LED Cost Sheet'!T16</f>
        <v>103217.87000000001</v>
      </c>
      <c r="D162" s="16">
        <f>'LED Cost Sheet'!V16</f>
        <v>121432.79</v>
      </c>
      <c r="E162" s="16">
        <f>IFERROR(D162-C162,0)</f>
        <v>18214.92</v>
      </c>
      <c r="F162" s="17">
        <v>0.15</v>
      </c>
    </row>
    <row r="163" spans="2:6" x14ac:dyDescent="0.25" outlineLevel="1" collapsed="1">
      <c r="B163" s="15" t="s">
        <v>43</v>
      </c>
      <c r="C163" s="16">
        <f>'N.E. CORRIDOR (CEILING13 - Inst'!I26</f>
        <v>3918.75</v>
      </c>
      <c r="D163" s="16">
        <f>IFERROR(C163/(1-F163),0)</f>
        <v>4610.29</v>
      </c>
      <c r="E163" s="16">
        <f>IFERROR(D163-C163,0)</f>
        <v>691.54</v>
      </c>
      <c r="F163" s="17">
        <v>0.15</v>
      </c>
    </row>
    <row r="164" spans="2:6" x14ac:dyDescent="0.25" outlineLevel="1" collapsed="1">
      <c r="B164" s="15" t="s">
        <v>44</v>
      </c>
      <c r="C164" s="16">
        <f>'N.E. CORRIDOR (CEILING13 - Inst'!I35-'N.E. CORRIDOR (CEILING13 - Inst'!I34</f>
        <v>16328.13</v>
      </c>
      <c r="D164" s="16">
        <f>IFERROR(C164/(1-F164),0)</f>
        <v>19209.56</v>
      </c>
      <c r="E164" s="16">
        <f>IFERROR(D164-C164,0)</f>
        <v>2881.43</v>
      </c>
      <c r="F164" s="17">
        <v>0.15</v>
      </c>
    </row>
    <row r="165" spans="2:6" x14ac:dyDescent="0.25" outlineLevel="1" collapsed="1">
      <c r="B165" s="15" t="s">
        <v>45</v>
      </c>
      <c r="C165" s="16">
        <f>'N.E. CORRIDOR (CEILING13 - Inst'!I44</f>
        <v>16328.13</v>
      </c>
      <c r="D165" s="16">
        <f>IFERROR(C165/(1-F165),0)</f>
        <v>19209.56</v>
      </c>
      <c r="E165" s="16">
        <f>IFERROR(D165-C165,0)</f>
        <v>2881.43</v>
      </c>
      <c r="F165" s="17">
        <v>0.15</v>
      </c>
    </row>
    <row r="166" spans="2:6" x14ac:dyDescent="0.25" outlineLevel="1" collapsed="1">
      <c r="B166" s="15" t="s">
        <v>46</v>
      </c>
      <c r="C166" s="16">
        <f>'N.E. CORRIDOR (CEILING13 - Inst'!I34</f>
        <v>20882.35</v>
      </c>
      <c r="D166" s="16">
        <f>IFERROR(C166/(1-F166),0)</f>
        <v>24567.47</v>
      </c>
      <c r="E166" s="16">
        <f>IFERROR(D166-C166,0)</f>
        <v>3685.12</v>
      </c>
      <c r="F166" s="17">
        <v>0.15</v>
      </c>
    </row>
    <row r="167" spans="2:6" x14ac:dyDescent="0.25" outlineLevel="1" collapsed="1">
      <c r="B167" s="15" t="s">
        <v>47</v>
      </c>
      <c r="C167" s="16">
        <f>'N.E. CORRIDOR (CEILING13 - Inst'!I52</f>
        <v>4705.88</v>
      </c>
      <c r="D167" s="16">
        <f>IFERROR(C167/(1-F167),0)</f>
        <v>5536.33</v>
      </c>
      <c r="E167" s="16">
        <f>IFERROR(D167-C167,0)</f>
        <v>830.45</v>
      </c>
      <c r="F167" s="17">
        <v>0.15</v>
      </c>
    </row>
    <row r="168" spans="2:6" x14ac:dyDescent="0.25" outlineLevel="1" collapsed="1">
      <c r="B168" s="4" t="s">
        <v>48</v>
      </c>
      <c r="C168" s="18">
        <f>SUM(C162:C167)</f>
        <v>165381.11</v>
      </c>
      <c r="D168" s="18">
        <f>SUM(D162:D167)</f>
        <v>190566.01</v>
      </c>
      <c r="E168" s="18">
        <f>IFERROR(D168-C168,0)</f>
        <v>25184.9</v>
      </c>
      <c r="F168" s="19">
        <f>IFERROR(1-C168/D168,0)</f>
        <v>0.132158</v>
      </c>
    </row>
    <row r="169" spans="2:7" x14ac:dyDescent="0.25" outlineLevel="1" collapsed="1">
      <c r="B169" s="15" t="s">
        <v>49</v>
      </c>
      <c r="C169" s="20">
        <v>0</v>
      </c>
      <c r="D169" s="20">
        <v>0</v>
      </c>
      <c r="E169" s="20">
        <v>0</v>
      </c>
      <c r="G169" s="21">
        <v>0</v>
      </c>
    </row>
    <row r="170" spans="2:7" x14ac:dyDescent="0.25" outlineLevel="1" collapsed="1">
      <c r="B170" s="15" t="s">
        <v>50</v>
      </c>
      <c r="C170" s="20">
        <v>0</v>
      </c>
      <c r="D170" s="20">
        <v>0</v>
      </c>
      <c r="E170" s="20">
        <v>0</v>
      </c>
      <c r="G170" s="21">
        <v>0</v>
      </c>
    </row>
    <row r="171" spans="2:7" x14ac:dyDescent="0.25" outlineLevel="1" collapsed="1">
      <c r="B171" s="15" t="s">
        <v>51</v>
      </c>
      <c r="C171" s="20">
        <v>0</v>
      </c>
      <c r="D171" s="20">
        <v>0</v>
      </c>
      <c r="E171" s="20">
        <v>0</v>
      </c>
      <c r="G171" s="21">
        <v>0</v>
      </c>
    </row>
    <row r="172" spans="2:6" x14ac:dyDescent="0.25">
      <c r="B172" s="22" t="s">
        <v>52</v>
      </c>
      <c r="C172" s="23">
        <f>C168+C169+C170+C171</f>
        <v>165381.11</v>
      </c>
      <c r="D172" s="23">
        <f>D168+D169+D170+D171</f>
        <v>190566.01</v>
      </c>
      <c r="E172" s="23">
        <f>IFERROR(D172-C172,0)</f>
        <v>25184.900000000023</v>
      </c>
      <c r="F172" s="24">
        <f>IFERROR(1-C172/D172,0)</f>
        <v>0.13215840537355017</v>
      </c>
    </row>
    <row r="174" spans="2:4" s="13" customFormat="1" x14ac:dyDescent="0.25">
      <c r="B174" s="13" t="s">
        <v>63</v>
      </c>
      <c r="D174" s="14" t="s">
        <v>38</v>
      </c>
    </row>
    <row r="175" spans="2:6" x14ac:dyDescent="0.25" outlineLevel="1" collapsed="1">
      <c r="B175" s="15" t="s">
        <v>42</v>
      </c>
      <c r="C175" s="16">
        <f>'LED Cost Sheet'!T17</f>
        <v>60250.01</v>
      </c>
      <c r="D175" s="16">
        <f>'LED Cost Sheet'!V17</f>
        <v>70882.36</v>
      </c>
      <c r="E175" s="16">
        <f>IFERROR(D175-C175,0)</f>
        <v>10632.35</v>
      </c>
      <c r="F175" s="17">
        <v>0.15</v>
      </c>
    </row>
    <row r="176" spans="2:6" x14ac:dyDescent="0.25" outlineLevel="1" collapsed="1">
      <c r="B176" s="15" t="s">
        <v>43</v>
      </c>
      <c r="C176" s="16">
        <f>'LARGE ADMIN ROOM - Install'!I26</f>
        <v>2580</v>
      </c>
      <c r="D176" s="16">
        <f>IFERROR(C176/(1-F176),0)</f>
        <v>3035.29</v>
      </c>
      <c r="E176" s="16">
        <f>IFERROR(D176-C176,0)</f>
        <v>455.29</v>
      </c>
      <c r="F176" s="17">
        <v>0.15</v>
      </c>
    </row>
    <row r="177" spans="2:6" x14ac:dyDescent="0.25" outlineLevel="1" collapsed="1">
      <c r="B177" s="15" t="s">
        <v>44</v>
      </c>
      <c r="C177" s="16">
        <f>'LARGE ADMIN ROOM - Install'!I35-'LARGE ADMIN ROOM - Install'!I34</f>
        <v>10750</v>
      </c>
      <c r="D177" s="16">
        <f>IFERROR(C177/(1-F177),0)</f>
        <v>12647.06</v>
      </c>
      <c r="E177" s="16">
        <f>IFERROR(D177-C177,0)</f>
        <v>1897.06</v>
      </c>
      <c r="F177" s="17">
        <v>0.15</v>
      </c>
    </row>
    <row r="178" spans="2:6" x14ac:dyDescent="0.25" outlineLevel="1" collapsed="1">
      <c r="B178" s="15" t="s">
        <v>45</v>
      </c>
      <c r="C178" s="16">
        <f>'LARGE ADMIN ROOM - Install'!I44</f>
        <v>10750</v>
      </c>
      <c r="D178" s="16">
        <f>IFERROR(C178/(1-F178),0)</f>
        <v>12647.06</v>
      </c>
      <c r="E178" s="16">
        <f>IFERROR(D178-C178,0)</f>
        <v>1897.06</v>
      </c>
      <c r="F178" s="17">
        <v>0.15</v>
      </c>
    </row>
    <row r="179" spans="2:6" x14ac:dyDescent="0.25" outlineLevel="1" collapsed="1">
      <c r="B179" s="15" t="s">
        <v>46</v>
      </c>
      <c r="C179" s="16">
        <f>'LARGE ADMIN ROOM - Install'!I34</f>
        <v>20882.35</v>
      </c>
      <c r="D179" s="16">
        <f>IFERROR(C179/(1-F179),0)</f>
        <v>24567.47</v>
      </c>
      <c r="E179" s="16">
        <f>IFERROR(D179-C179,0)</f>
        <v>3685.12</v>
      </c>
      <c r="F179" s="17">
        <v>0.15</v>
      </c>
    </row>
    <row r="180" spans="2:6" x14ac:dyDescent="0.25" outlineLevel="1" collapsed="1">
      <c r="B180" s="15" t="s">
        <v>47</v>
      </c>
      <c r="C180" s="16">
        <f>'LARGE ADMIN ROOM - Install'!I52</f>
        <v>4705.88</v>
      </c>
      <c r="D180" s="16">
        <f>IFERROR(C180/(1-F180),0)</f>
        <v>5536.33</v>
      </c>
      <c r="E180" s="16">
        <f>IFERROR(D180-C180,0)</f>
        <v>830.45</v>
      </c>
      <c r="F180" s="17">
        <v>0.15</v>
      </c>
    </row>
    <row r="181" spans="2:6" x14ac:dyDescent="0.25" outlineLevel="1" collapsed="1">
      <c r="B181" s="4" t="s">
        <v>48</v>
      </c>
      <c r="C181" s="18">
        <f>SUM(C175:C180)</f>
        <v>109918.24</v>
      </c>
      <c r="D181" s="18">
        <f>SUM(D175:D180)</f>
        <v>126680.28</v>
      </c>
      <c r="E181" s="18">
        <f>IFERROR(D181-C181,0)</f>
        <v>16762.04</v>
      </c>
      <c r="F181" s="19">
        <f>IFERROR(1-C181/D181,0)</f>
        <v>0.13231800000000002</v>
      </c>
    </row>
    <row r="182" spans="2:7" x14ac:dyDescent="0.25" outlineLevel="1" collapsed="1">
      <c r="B182" s="15" t="s">
        <v>49</v>
      </c>
      <c r="C182" s="20">
        <v>0</v>
      </c>
      <c r="D182" s="20">
        <v>0</v>
      </c>
      <c r="E182" s="20">
        <v>0</v>
      </c>
      <c r="G182" s="21">
        <v>0</v>
      </c>
    </row>
    <row r="183" spans="2:7" x14ac:dyDescent="0.25" outlineLevel="1" collapsed="1">
      <c r="B183" s="15" t="s">
        <v>50</v>
      </c>
      <c r="C183" s="20">
        <v>0</v>
      </c>
      <c r="D183" s="20">
        <v>0</v>
      </c>
      <c r="E183" s="20">
        <v>0</v>
      </c>
      <c r="G183" s="21">
        <v>0</v>
      </c>
    </row>
    <row r="184" spans="2:7" x14ac:dyDescent="0.25" outlineLevel="1" collapsed="1">
      <c r="B184" s="15" t="s">
        <v>51</v>
      </c>
      <c r="C184" s="20">
        <v>0</v>
      </c>
      <c r="D184" s="20">
        <v>0</v>
      </c>
      <c r="E184" s="20">
        <v>0</v>
      </c>
      <c r="G184" s="21">
        <v>0</v>
      </c>
    </row>
    <row r="185" spans="2:6" x14ac:dyDescent="0.25">
      <c r="B185" s="22" t="s">
        <v>52</v>
      </c>
      <c r="C185" s="23">
        <f>C181+C182+C183+C184</f>
        <v>109918.24</v>
      </c>
      <c r="D185" s="23">
        <f>D181+D182+D183+D184</f>
        <v>126680.28</v>
      </c>
      <c r="E185" s="23">
        <f>IFERROR(D185-C185,0)</f>
        <v>16762.039999999994</v>
      </c>
      <c r="F185" s="24">
        <f>IFERROR(1-C185/D185,0)</f>
        <v>0.1323176740689237</v>
      </c>
    </row>
    <row r="187" spans="2:4" s="13" customFormat="1" x14ac:dyDescent="0.25">
      <c r="B187" s="13" t="s">
        <v>64</v>
      </c>
      <c r="D187" s="14" t="s">
        <v>38</v>
      </c>
    </row>
    <row r="188" spans="2:6" x14ac:dyDescent="0.25" outlineLevel="1" collapsed="1">
      <c r="B188" s="15" t="s">
        <v>42</v>
      </c>
      <c r="C188" s="16">
        <f>'LED Cost Sheet'!T18</f>
        <v>7117.15</v>
      </c>
      <c r="D188" s="16">
        <f>'LED Cost Sheet'!V18</f>
        <v>8373.12</v>
      </c>
      <c r="E188" s="16">
        <f>IFERROR(D188-C188,0)</f>
        <v>1255.97</v>
      </c>
      <c r="F188" s="17">
        <v>0.15</v>
      </c>
    </row>
    <row r="189" spans="2:6" x14ac:dyDescent="0.25" outlineLevel="1" collapsed="1">
      <c r="B189" s="15" t="s">
        <v>43</v>
      </c>
      <c r="C189" s="16">
        <f>'ELEV LOBBY - Install'!I26</f>
        <v>277.5</v>
      </c>
      <c r="D189" s="16">
        <f>IFERROR(C189/(1-F189),0)</f>
        <v>326.47</v>
      </c>
      <c r="E189" s="16">
        <f>IFERROR(D189-C189,0)</f>
        <v>48.97</v>
      </c>
      <c r="F189" s="17">
        <v>0.15</v>
      </c>
    </row>
    <row r="190" spans="2:6" x14ac:dyDescent="0.25" outlineLevel="1" collapsed="1">
      <c r="B190" s="15" t="s">
        <v>44</v>
      </c>
      <c r="C190" s="16">
        <f>'ELEV LOBBY - Install'!I35-'ELEV LOBBY - Install'!I34</f>
        <v>1156.25</v>
      </c>
      <c r="D190" s="16">
        <f>IFERROR(C190/(1-F190),0)</f>
        <v>1360.29</v>
      </c>
      <c r="E190" s="16">
        <f>IFERROR(D190-C190,0)</f>
        <v>204.04</v>
      </c>
      <c r="F190" s="17">
        <v>0.15</v>
      </c>
    </row>
    <row r="191" spans="2:6" x14ac:dyDescent="0.25" outlineLevel="1" collapsed="1">
      <c r="B191" s="15" t="s">
        <v>45</v>
      </c>
      <c r="C191" s="16">
        <f>'ELEV LOBBY - Install'!I44</f>
        <v>1156.25</v>
      </c>
      <c r="D191" s="16">
        <f>IFERROR(C191/(1-F191),0)</f>
        <v>1360.29</v>
      </c>
      <c r="E191" s="16">
        <f>IFERROR(D191-C191,0)</f>
        <v>204.04</v>
      </c>
      <c r="F191" s="17">
        <v>0.15</v>
      </c>
    </row>
    <row r="192" spans="2:6" x14ac:dyDescent="0.25" outlineLevel="1" collapsed="1">
      <c r="B192" s="15" t="s">
        <v>46</v>
      </c>
      <c r="C192" s="16">
        <f>'ELEV LOBBY - Install'!I34</f>
        <v>20882.35</v>
      </c>
      <c r="D192" s="16">
        <f>IFERROR(C192/(1-F192),0)</f>
        <v>24567.47</v>
      </c>
      <c r="E192" s="16">
        <f>IFERROR(D192-C192,0)</f>
        <v>3685.12</v>
      </c>
      <c r="F192" s="17">
        <v>0.15</v>
      </c>
    </row>
    <row r="193" spans="2:6" x14ac:dyDescent="0.25" outlineLevel="1" collapsed="1">
      <c r="B193" s="15" t="s">
        <v>47</v>
      </c>
      <c r="C193" s="16">
        <f>'ELEV LOBBY - Install'!I52</f>
        <v>4705.88</v>
      </c>
      <c r="D193" s="16">
        <f>IFERROR(C193/(1-F193),0)</f>
        <v>5536.33</v>
      </c>
      <c r="E193" s="16">
        <f>IFERROR(D193-C193,0)</f>
        <v>830.45</v>
      </c>
      <c r="F193" s="17">
        <v>0.15</v>
      </c>
    </row>
    <row r="194" spans="2:6" x14ac:dyDescent="0.25" outlineLevel="1" collapsed="1">
      <c r="B194" s="4" t="s">
        <v>48</v>
      </c>
      <c r="C194" s="18">
        <f>SUM(C188:C193)</f>
        <v>35295.38</v>
      </c>
      <c r="D194" s="18">
        <f>SUM(D188:D193)</f>
        <v>40935.74</v>
      </c>
      <c r="E194" s="18">
        <f>IFERROR(D194-C194,0)</f>
        <v>5640.36</v>
      </c>
      <c r="F194" s="19">
        <f>IFERROR(1-C194/D194,0)</f>
        <v>0.137786</v>
      </c>
    </row>
    <row r="195" spans="2:7" x14ac:dyDescent="0.25" outlineLevel="1" collapsed="1">
      <c r="B195" s="15" t="s">
        <v>49</v>
      </c>
      <c r="C195" s="20">
        <v>0</v>
      </c>
      <c r="D195" s="20">
        <v>0</v>
      </c>
      <c r="E195" s="20">
        <v>0</v>
      </c>
      <c r="G195" s="21">
        <v>0</v>
      </c>
    </row>
    <row r="196" spans="2:7" x14ac:dyDescent="0.25" outlineLevel="1" collapsed="1">
      <c r="B196" s="15" t="s">
        <v>50</v>
      </c>
      <c r="C196" s="20">
        <v>0</v>
      </c>
      <c r="D196" s="20">
        <v>0</v>
      </c>
      <c r="E196" s="20">
        <v>0</v>
      </c>
      <c r="G196" s="21">
        <v>0</v>
      </c>
    </row>
    <row r="197" spans="2:7" x14ac:dyDescent="0.25" outlineLevel="1" collapsed="1">
      <c r="B197" s="15" t="s">
        <v>51</v>
      </c>
      <c r="C197" s="20">
        <v>0</v>
      </c>
      <c r="D197" s="20">
        <v>0</v>
      </c>
      <c r="E197" s="20">
        <v>0</v>
      </c>
      <c r="G197" s="21">
        <v>0</v>
      </c>
    </row>
    <row r="198" spans="2:6" x14ac:dyDescent="0.25">
      <c r="B198" s="22" t="s">
        <v>52</v>
      </c>
      <c r="C198" s="23">
        <f>C194+C195+C196+C197</f>
        <v>35295.38</v>
      </c>
      <c r="D198" s="23">
        <f>D194+D195+D196+D197</f>
        <v>40935.74</v>
      </c>
      <c r="E198" s="23">
        <f>IFERROR(D198-C198,0)</f>
        <v>5640.360000000001</v>
      </c>
      <c r="F198" s="24">
        <f>IFERROR(1-C198/D198,0)</f>
        <v>0.13778570999327244</v>
      </c>
    </row>
    <row r="200" spans="2:4" s="13" customFormat="1" x14ac:dyDescent="0.25">
      <c r="B200" s="13" t="s">
        <v>65</v>
      </c>
      <c r="D200" s="14" t="s">
        <v>38</v>
      </c>
    </row>
    <row r="201" spans="2:6" x14ac:dyDescent="0.25" outlineLevel="1" collapsed="1">
      <c r="B201" s="15" t="s">
        <v>42</v>
      </c>
      <c r="C201" s="16">
        <f>'LED Cost Sheet'!T19</f>
        <v>38892.87</v>
      </c>
      <c r="D201" s="16">
        <f>'LED Cost Sheet'!V19</f>
        <v>45756.32</v>
      </c>
      <c r="E201" s="16">
        <f>IFERROR(D201-C201,0)</f>
        <v>6863.45</v>
      </c>
      <c r="F201" s="17">
        <v>0.15</v>
      </c>
    </row>
    <row r="202" spans="2:6" x14ac:dyDescent="0.25" outlineLevel="1" collapsed="1">
      <c r="B202" s="15" t="s">
        <v>43</v>
      </c>
      <c r="C202" s="16">
        <f>'NORTH CLUB - Install'!I26</f>
        <v>1657.5</v>
      </c>
      <c r="D202" s="16">
        <f>IFERROR(C202/(1-F202),0)</f>
        <v>1950</v>
      </c>
      <c r="E202" s="16">
        <f>IFERROR(D202-C202,0)</f>
        <v>292.5</v>
      </c>
      <c r="F202" s="17">
        <v>0.15</v>
      </c>
    </row>
    <row r="203" spans="2:6" x14ac:dyDescent="0.25" outlineLevel="1" collapsed="1">
      <c r="B203" s="15" t="s">
        <v>44</v>
      </c>
      <c r="C203" s="16">
        <f>'NORTH CLUB - Install'!I35-'NORTH CLUB - Install'!I34</f>
        <v>6906.25</v>
      </c>
      <c r="D203" s="16">
        <f>IFERROR(C203/(1-F203),0)</f>
        <v>8125</v>
      </c>
      <c r="E203" s="16">
        <f>IFERROR(D203-C203,0)</f>
        <v>1218.75</v>
      </c>
      <c r="F203" s="17">
        <v>0.15</v>
      </c>
    </row>
    <row r="204" spans="2:6" x14ac:dyDescent="0.25" outlineLevel="1" collapsed="1">
      <c r="B204" s="15" t="s">
        <v>45</v>
      </c>
      <c r="C204" s="16">
        <f>'NORTH CLUB - Install'!I44</f>
        <v>6906.25</v>
      </c>
      <c r="D204" s="16">
        <f>IFERROR(C204/(1-F204),0)</f>
        <v>8125</v>
      </c>
      <c r="E204" s="16">
        <f>IFERROR(D204-C204,0)</f>
        <v>1218.75</v>
      </c>
      <c r="F204" s="17">
        <v>0.15</v>
      </c>
    </row>
    <row r="205" spans="2:6" x14ac:dyDescent="0.25" outlineLevel="1" collapsed="1">
      <c r="B205" s="15" t="s">
        <v>46</v>
      </c>
      <c r="C205" s="16">
        <f>'NORTH CLUB - Install'!I34</f>
        <v>20882.35</v>
      </c>
      <c r="D205" s="16">
        <f>IFERROR(C205/(1-F205),0)</f>
        <v>24567.47</v>
      </c>
      <c r="E205" s="16">
        <f>IFERROR(D205-C205,0)</f>
        <v>3685.12</v>
      </c>
      <c r="F205" s="17">
        <v>0.15</v>
      </c>
    </row>
    <row r="206" spans="2:6" x14ac:dyDescent="0.25" outlineLevel="1" collapsed="1">
      <c r="B206" s="15" t="s">
        <v>47</v>
      </c>
      <c r="C206" s="16">
        <f>'NORTH CLUB - Install'!I52</f>
        <v>4705.88</v>
      </c>
      <c r="D206" s="16">
        <f>IFERROR(C206/(1-F206),0)</f>
        <v>5536.33</v>
      </c>
      <c r="E206" s="16">
        <f>IFERROR(D206-C206,0)</f>
        <v>830.45</v>
      </c>
      <c r="F206" s="17">
        <v>0.15</v>
      </c>
    </row>
    <row r="207" spans="2:6" x14ac:dyDescent="0.25" outlineLevel="1" collapsed="1">
      <c r="B207" s="4" t="s">
        <v>48</v>
      </c>
      <c r="C207" s="18">
        <f>SUM(C201:C206)</f>
        <v>79951.1</v>
      </c>
      <c r="D207" s="18">
        <f>SUM(D201:D206)</f>
        <v>92366</v>
      </c>
      <c r="E207" s="18">
        <f>IFERROR(D207-C207,0)</f>
        <v>12414.9</v>
      </c>
      <c r="F207" s="19">
        <f>IFERROR(1-C207/D207,0)</f>
        <v>0.13441</v>
      </c>
    </row>
    <row r="208" spans="2:7" x14ac:dyDescent="0.25" outlineLevel="1" collapsed="1">
      <c r="B208" s="15" t="s">
        <v>49</v>
      </c>
      <c r="C208" s="20">
        <v>0</v>
      </c>
      <c r="D208" s="20">
        <v>0</v>
      </c>
      <c r="E208" s="20">
        <v>0</v>
      </c>
      <c r="G208" s="21">
        <v>0</v>
      </c>
    </row>
    <row r="209" spans="2:7" x14ac:dyDescent="0.25" outlineLevel="1" collapsed="1">
      <c r="B209" s="15" t="s">
        <v>50</v>
      </c>
      <c r="C209" s="20">
        <v>0</v>
      </c>
      <c r="D209" s="20">
        <v>0</v>
      </c>
      <c r="E209" s="20">
        <v>0</v>
      </c>
      <c r="G209" s="21">
        <v>0</v>
      </c>
    </row>
    <row r="210" spans="2:7" x14ac:dyDescent="0.25" outlineLevel="1" collapsed="1">
      <c r="B210" s="15" t="s">
        <v>51</v>
      </c>
      <c r="C210" s="20">
        <v>0</v>
      </c>
      <c r="D210" s="20">
        <v>0</v>
      </c>
      <c r="E210" s="20">
        <v>0</v>
      </c>
      <c r="G210" s="21">
        <v>0</v>
      </c>
    </row>
    <row r="211" spans="2:6" x14ac:dyDescent="0.25">
      <c r="B211" s="22" t="s">
        <v>52</v>
      </c>
      <c r="C211" s="23">
        <f>C207+C208+C209+C210</f>
        <v>79951.1</v>
      </c>
      <c r="D211" s="23">
        <f>D207+D208+D209+D210</f>
        <v>92366</v>
      </c>
      <c r="E211" s="23">
        <f>IFERROR(D211-C211,0)</f>
        <v>12414.899999999994</v>
      </c>
      <c r="F211" s="24">
        <f>IFERROR(1-C211/D211,0)</f>
        <v>0.13440984777948595</v>
      </c>
    </row>
    <row r="213" spans="2:4" s="13" customFormat="1" x14ac:dyDescent="0.25">
      <c r="B213" s="13" t="s">
        <v>66</v>
      </c>
      <c r="D213" s="14" t="s">
        <v>38</v>
      </c>
    </row>
    <row r="214" spans="2:6" x14ac:dyDescent="0.25" outlineLevel="1" collapsed="1">
      <c r="B214" s="15" t="s">
        <v>42</v>
      </c>
      <c r="C214" s="16">
        <f>'LED Cost Sheet'!T20</f>
        <v>18069.649999999998</v>
      </c>
      <c r="D214" s="16">
        <f>'LED Cost Sheet'!V20</f>
        <v>21258.41</v>
      </c>
      <c r="E214" s="16">
        <f>IFERROR(D214-C214,0)</f>
        <v>3188.76</v>
      </c>
      <c r="F214" s="17">
        <v>0.15</v>
      </c>
    </row>
    <row r="215" spans="2:6" x14ac:dyDescent="0.25" outlineLevel="1" collapsed="1">
      <c r="B215" s="15" t="s">
        <v>43</v>
      </c>
      <c r="C215" s="16">
        <f>'PANTHERS DEN - Install'!I26</f>
        <v>757.5</v>
      </c>
      <c r="D215" s="16">
        <f>IFERROR(C215/(1-F215),0)</f>
        <v>891.18</v>
      </c>
      <c r="E215" s="16">
        <f>IFERROR(D215-C215,0)</f>
        <v>133.68</v>
      </c>
      <c r="F215" s="17">
        <v>0.15</v>
      </c>
    </row>
    <row r="216" spans="2:6" x14ac:dyDescent="0.25" outlineLevel="1" collapsed="1">
      <c r="B216" s="15" t="s">
        <v>44</v>
      </c>
      <c r="C216" s="16">
        <f>'PANTHERS DEN - Install'!I35-'PANTHERS DEN - Install'!I34</f>
        <v>3156.25</v>
      </c>
      <c r="D216" s="16">
        <f>IFERROR(C216/(1-F216),0)</f>
        <v>3713.24</v>
      </c>
      <c r="E216" s="16">
        <f>IFERROR(D216-C216,0)</f>
        <v>556.99</v>
      </c>
      <c r="F216" s="17">
        <v>0.15</v>
      </c>
    </row>
    <row r="217" spans="2:6" x14ac:dyDescent="0.25" outlineLevel="1" collapsed="1">
      <c r="B217" s="15" t="s">
        <v>45</v>
      </c>
      <c r="C217" s="16">
        <f>'PANTHERS DEN - Install'!I44</f>
        <v>3156.25</v>
      </c>
      <c r="D217" s="16">
        <f>IFERROR(C217/(1-F217),0)</f>
        <v>3713.24</v>
      </c>
      <c r="E217" s="16">
        <f>IFERROR(D217-C217,0)</f>
        <v>556.99</v>
      </c>
      <c r="F217" s="17">
        <v>0.15</v>
      </c>
    </row>
    <row r="218" spans="2:6" x14ac:dyDescent="0.25" outlineLevel="1" collapsed="1">
      <c r="B218" s="15" t="s">
        <v>46</v>
      </c>
      <c r="C218" s="16">
        <f>'PANTHERS DEN - Install'!I34</f>
        <v>20882.35</v>
      </c>
      <c r="D218" s="16">
        <f>IFERROR(C218/(1-F218),0)</f>
        <v>24567.47</v>
      </c>
      <c r="E218" s="16">
        <f>IFERROR(D218-C218,0)</f>
        <v>3685.12</v>
      </c>
      <c r="F218" s="17">
        <v>0.15</v>
      </c>
    </row>
    <row r="219" spans="2:6" x14ac:dyDescent="0.25" outlineLevel="1" collapsed="1">
      <c r="B219" s="15" t="s">
        <v>47</v>
      </c>
      <c r="C219" s="16">
        <f>'PANTHERS DEN - Install'!I52</f>
        <v>4705.88</v>
      </c>
      <c r="D219" s="16">
        <f>IFERROR(C219/(1-F219),0)</f>
        <v>5536.33</v>
      </c>
      <c r="E219" s="16">
        <f>IFERROR(D219-C219,0)</f>
        <v>830.45</v>
      </c>
      <c r="F219" s="17">
        <v>0.15</v>
      </c>
    </row>
    <row r="220" spans="2:6" x14ac:dyDescent="0.25" outlineLevel="1" collapsed="1">
      <c r="B220" s="4" t="s">
        <v>48</v>
      </c>
      <c r="C220" s="18">
        <f>SUM(C214:C219)</f>
        <v>50727.88</v>
      </c>
      <c r="D220" s="18">
        <f>SUM(D214:D219)</f>
        <v>58903.39</v>
      </c>
      <c r="E220" s="18">
        <f>IFERROR(D220-C220,0)</f>
        <v>8175.51</v>
      </c>
      <c r="F220" s="19">
        <f>IFERROR(1-C220/D220,0)</f>
        <v>0.138795</v>
      </c>
    </row>
    <row r="221" spans="2:7" x14ac:dyDescent="0.25" outlineLevel="1" collapsed="1">
      <c r="B221" s="15" t="s">
        <v>49</v>
      </c>
      <c r="C221" s="20">
        <v>0</v>
      </c>
      <c r="D221" s="20">
        <v>0</v>
      </c>
      <c r="E221" s="20">
        <v>0</v>
      </c>
      <c r="G221" s="21">
        <v>0</v>
      </c>
    </row>
    <row r="222" spans="2:7" x14ac:dyDescent="0.25" outlineLevel="1" collapsed="1">
      <c r="B222" s="15" t="s">
        <v>50</v>
      </c>
      <c r="C222" s="20">
        <v>0</v>
      </c>
      <c r="D222" s="20">
        <v>0</v>
      </c>
      <c r="E222" s="20">
        <v>0</v>
      </c>
      <c r="G222" s="21">
        <v>0</v>
      </c>
    </row>
    <row r="223" spans="2:7" x14ac:dyDescent="0.25" outlineLevel="1" collapsed="1">
      <c r="B223" s="15" t="s">
        <v>51</v>
      </c>
      <c r="C223" s="20">
        <v>0</v>
      </c>
      <c r="D223" s="20">
        <v>0</v>
      </c>
      <c r="E223" s="20">
        <v>0</v>
      </c>
      <c r="G223" s="21">
        <v>0</v>
      </c>
    </row>
    <row r="224" spans="2:6" x14ac:dyDescent="0.25">
      <c r="B224" s="22" t="s">
        <v>52</v>
      </c>
      <c r="C224" s="23">
        <f>C220+C221+C222+C223</f>
        <v>50727.88</v>
      </c>
      <c r="D224" s="23">
        <f>D220+D221+D222+D223</f>
        <v>58903.39</v>
      </c>
      <c r="E224" s="23">
        <f>IFERROR(D224-C224,0)</f>
        <v>8175.510000000002</v>
      </c>
      <c r="F224" s="24">
        <f>IFERROR(1-C224/D224,0)</f>
        <v>0.1387952374218191</v>
      </c>
    </row>
    <row r="226" spans="2:4" s="13" customFormat="1" x14ac:dyDescent="0.25">
      <c r="B226" s="13" t="s">
        <v>66</v>
      </c>
      <c r="D226" s="14" t="s">
        <v>38</v>
      </c>
    </row>
    <row r="227" spans="2:6" x14ac:dyDescent="0.25" outlineLevel="1" collapsed="1">
      <c r="B227" s="15" t="s">
        <v>42</v>
      </c>
      <c r="C227" s="16">
        <f>'LED Cost Sheet'!T21</f>
        <v>15666.970000000001</v>
      </c>
      <c r="D227" s="16">
        <f>'LED Cost Sheet'!V21</f>
        <v>18431.73</v>
      </c>
      <c r="E227" s="16">
        <f>IFERROR(D227-C227,0)</f>
        <v>2764.76</v>
      </c>
      <c r="F227" s="17">
        <v>0.15</v>
      </c>
    </row>
    <row r="228" spans="2:6" x14ac:dyDescent="0.25" outlineLevel="1" collapsed="1">
      <c r="B228" s="15" t="s">
        <v>43</v>
      </c>
      <c r="C228" s="16">
        <f>'PANTHERS DEN18 - Install'!I26</f>
        <v>656.25</v>
      </c>
      <c r="D228" s="16">
        <f>IFERROR(C228/(1-F228),0)</f>
        <v>772.06</v>
      </c>
      <c r="E228" s="16">
        <f>IFERROR(D228-C228,0)</f>
        <v>115.81</v>
      </c>
      <c r="F228" s="17">
        <v>0.15</v>
      </c>
    </row>
    <row r="229" spans="2:6" x14ac:dyDescent="0.25" outlineLevel="1" collapsed="1">
      <c r="B229" s="15" t="s">
        <v>44</v>
      </c>
      <c r="C229" s="16">
        <f>'PANTHERS DEN18 - Install'!I35-'PANTHERS DEN18 - Install'!I34</f>
        <v>2734.38</v>
      </c>
      <c r="D229" s="16">
        <f>IFERROR(C229/(1-F229),0)</f>
        <v>3216.92</v>
      </c>
      <c r="E229" s="16">
        <f>IFERROR(D229-C229,0)</f>
        <v>482.54</v>
      </c>
      <c r="F229" s="17">
        <v>0.15</v>
      </c>
    </row>
    <row r="230" spans="2:6" x14ac:dyDescent="0.25" outlineLevel="1" collapsed="1">
      <c r="B230" s="15" t="s">
        <v>45</v>
      </c>
      <c r="C230" s="16">
        <f>'PANTHERS DEN18 - Install'!I44</f>
        <v>2734.38</v>
      </c>
      <c r="D230" s="16">
        <f>IFERROR(C230/(1-F230),0)</f>
        <v>3216.92</v>
      </c>
      <c r="E230" s="16">
        <f>IFERROR(D230-C230,0)</f>
        <v>482.54</v>
      </c>
      <c r="F230" s="17">
        <v>0.15</v>
      </c>
    </row>
    <row r="231" spans="2:6" x14ac:dyDescent="0.25" outlineLevel="1" collapsed="1">
      <c r="B231" s="15" t="s">
        <v>46</v>
      </c>
      <c r="C231" s="16">
        <f>'PANTHERS DEN18 - Install'!I34</f>
        <v>20882.35</v>
      </c>
      <c r="D231" s="16">
        <f>IFERROR(C231/(1-F231),0)</f>
        <v>24567.47</v>
      </c>
      <c r="E231" s="16">
        <f>IFERROR(D231-C231,0)</f>
        <v>3685.12</v>
      </c>
      <c r="F231" s="17">
        <v>0.15</v>
      </c>
    </row>
    <row r="232" spans="2:6" x14ac:dyDescent="0.25" outlineLevel="1" collapsed="1">
      <c r="B232" s="15" t="s">
        <v>47</v>
      </c>
      <c r="C232" s="16">
        <f>'PANTHERS DEN18 - Install'!I52</f>
        <v>4705.88</v>
      </c>
      <c r="D232" s="16">
        <f>IFERROR(C232/(1-F232),0)</f>
        <v>5536.33</v>
      </c>
      <c r="E232" s="16">
        <f>IFERROR(D232-C232,0)</f>
        <v>830.45</v>
      </c>
      <c r="F232" s="17">
        <v>0.15</v>
      </c>
    </row>
    <row r="233" spans="2:6" x14ac:dyDescent="0.25" outlineLevel="1" collapsed="1">
      <c r="B233" s="4" t="s">
        <v>48</v>
      </c>
      <c r="C233" s="18">
        <f>SUM(C227:C232)</f>
        <v>47380.21</v>
      </c>
      <c r="D233" s="18">
        <f>SUM(D227:D232)</f>
        <v>55070.83</v>
      </c>
      <c r="E233" s="18">
        <f>IFERROR(D233-C233,0)</f>
        <v>7690.62</v>
      </c>
      <c r="F233" s="19">
        <f>IFERROR(1-C233/D233,0)</f>
        <v>0.13965</v>
      </c>
    </row>
    <row r="234" spans="2:7" x14ac:dyDescent="0.25" outlineLevel="1" collapsed="1">
      <c r="B234" s="15" t="s">
        <v>49</v>
      </c>
      <c r="C234" s="20">
        <v>0</v>
      </c>
      <c r="D234" s="20">
        <v>0</v>
      </c>
      <c r="E234" s="20">
        <v>0</v>
      </c>
      <c r="G234" s="21">
        <v>0</v>
      </c>
    </row>
    <row r="235" spans="2:7" x14ac:dyDescent="0.25" outlineLevel="1" collapsed="1">
      <c r="B235" s="15" t="s">
        <v>50</v>
      </c>
      <c r="C235" s="20">
        <v>0</v>
      </c>
      <c r="D235" s="20">
        <v>0</v>
      </c>
      <c r="E235" s="20">
        <v>0</v>
      </c>
      <c r="G235" s="21">
        <v>0</v>
      </c>
    </row>
    <row r="236" spans="2:7" x14ac:dyDescent="0.25" outlineLevel="1" collapsed="1">
      <c r="B236" s="15" t="s">
        <v>51</v>
      </c>
      <c r="C236" s="20">
        <v>0</v>
      </c>
      <c r="D236" s="20">
        <v>0</v>
      </c>
      <c r="E236" s="20">
        <v>0</v>
      </c>
      <c r="G236" s="21">
        <v>0</v>
      </c>
    </row>
    <row r="237" spans="2:6" x14ac:dyDescent="0.25">
      <c r="B237" s="22" t="s">
        <v>52</v>
      </c>
      <c r="C237" s="23">
        <f>C233+C234+C235+C236</f>
        <v>47380.21</v>
      </c>
      <c r="D237" s="23">
        <f>D233+D234+D235+D236</f>
        <v>55070.83</v>
      </c>
      <c r="E237" s="23">
        <f>IFERROR(D237-C237,0)</f>
        <v>7690.620000000003</v>
      </c>
      <c r="F237" s="24">
        <f>IFERROR(1-C237/D237,0)</f>
        <v>0.1396496112370197</v>
      </c>
    </row>
    <row r="239" spans="2:4" s="13" customFormat="1" x14ac:dyDescent="0.25">
      <c r="B239" s="13" t="s">
        <v>66</v>
      </c>
      <c r="D239" s="14" t="s">
        <v>38</v>
      </c>
    </row>
    <row r="240" spans="2:6" x14ac:dyDescent="0.25" outlineLevel="1" collapsed="1">
      <c r="B240" s="15" t="s">
        <v>42</v>
      </c>
      <c r="C240" s="16">
        <f>'LED Cost Sheet'!T22</f>
        <v>19068.08</v>
      </c>
      <c r="D240" s="16">
        <f>'LED Cost Sheet'!V22</f>
        <v>22433.04</v>
      </c>
      <c r="E240" s="16">
        <f>IFERROR(D240-C240,0)</f>
        <v>3364.96</v>
      </c>
      <c r="F240" s="17">
        <v>0.15</v>
      </c>
    </row>
    <row r="241" spans="2:6" x14ac:dyDescent="0.25" outlineLevel="1" collapsed="1">
      <c r="B241" s="15" t="s">
        <v>43</v>
      </c>
      <c r="C241" s="16">
        <f>'PANTHERS DEN19 - Install'!I26</f>
        <v>802.5</v>
      </c>
      <c r="D241" s="16">
        <f>IFERROR(C241/(1-F241),0)</f>
        <v>944.12</v>
      </c>
      <c r="E241" s="16">
        <f>IFERROR(D241-C241,0)</f>
        <v>141.62</v>
      </c>
      <c r="F241" s="17">
        <v>0.15</v>
      </c>
    </row>
    <row r="242" spans="2:6" x14ac:dyDescent="0.25" outlineLevel="1" collapsed="1">
      <c r="B242" s="15" t="s">
        <v>44</v>
      </c>
      <c r="C242" s="16">
        <f>'PANTHERS DEN19 - Install'!I35-'PANTHERS DEN19 - Install'!I34</f>
        <v>3343.75</v>
      </c>
      <c r="D242" s="16">
        <f>IFERROR(C242/(1-F242),0)</f>
        <v>3933.82</v>
      </c>
      <c r="E242" s="16">
        <f>IFERROR(D242-C242,0)</f>
        <v>590.07</v>
      </c>
      <c r="F242" s="17">
        <v>0.15</v>
      </c>
    </row>
    <row r="243" spans="2:6" x14ac:dyDescent="0.25" outlineLevel="1" collapsed="1">
      <c r="B243" s="15" t="s">
        <v>45</v>
      </c>
      <c r="C243" s="16">
        <f>'PANTHERS DEN19 - Install'!I44</f>
        <v>3343.75</v>
      </c>
      <c r="D243" s="16">
        <f>IFERROR(C243/(1-F243),0)</f>
        <v>3933.82</v>
      </c>
      <c r="E243" s="16">
        <f>IFERROR(D243-C243,0)</f>
        <v>590.07</v>
      </c>
      <c r="F243" s="17">
        <v>0.15</v>
      </c>
    </row>
    <row r="244" spans="2:6" x14ac:dyDescent="0.25" outlineLevel="1" collapsed="1">
      <c r="B244" s="15" t="s">
        <v>46</v>
      </c>
      <c r="C244" s="16">
        <f>'PANTHERS DEN19 - Install'!I34</f>
        <v>20882.35</v>
      </c>
      <c r="D244" s="16">
        <f>IFERROR(C244/(1-F244),0)</f>
        <v>24567.47</v>
      </c>
      <c r="E244" s="16">
        <f>IFERROR(D244-C244,0)</f>
        <v>3685.12</v>
      </c>
      <c r="F244" s="17">
        <v>0.15</v>
      </c>
    </row>
    <row r="245" spans="2:6" x14ac:dyDescent="0.25" outlineLevel="1" collapsed="1">
      <c r="B245" s="15" t="s">
        <v>47</v>
      </c>
      <c r="C245" s="16">
        <f>'PANTHERS DEN19 - Install'!I52</f>
        <v>4705.88</v>
      </c>
      <c r="D245" s="16">
        <f>IFERROR(C245/(1-F245),0)</f>
        <v>5536.33</v>
      </c>
      <c r="E245" s="16">
        <f>IFERROR(D245-C245,0)</f>
        <v>830.45</v>
      </c>
      <c r="F245" s="17">
        <v>0.15</v>
      </c>
    </row>
    <row r="246" spans="2:6" x14ac:dyDescent="0.25" outlineLevel="1" collapsed="1">
      <c r="B246" s="4" t="s">
        <v>48</v>
      </c>
      <c r="C246" s="18">
        <f>SUM(C240:C245)</f>
        <v>52146.31</v>
      </c>
      <c r="D246" s="18">
        <f>SUM(D240:D245)</f>
        <v>60528.13</v>
      </c>
      <c r="E246" s="18">
        <f>IFERROR(D246-C246,0)</f>
        <v>8381.82</v>
      </c>
      <c r="F246" s="19">
        <f>IFERROR(1-C246/D246,0)</f>
        <v>0.138478</v>
      </c>
    </row>
    <row r="247" spans="2:7" x14ac:dyDescent="0.25" outlineLevel="1" collapsed="1">
      <c r="B247" s="15" t="s">
        <v>49</v>
      </c>
      <c r="C247" s="20">
        <v>0</v>
      </c>
      <c r="D247" s="20">
        <v>0</v>
      </c>
      <c r="E247" s="20">
        <v>0</v>
      </c>
      <c r="G247" s="21">
        <v>0</v>
      </c>
    </row>
    <row r="248" spans="2:7" x14ac:dyDescent="0.25" outlineLevel="1" collapsed="1">
      <c r="B248" s="15" t="s">
        <v>50</v>
      </c>
      <c r="C248" s="20">
        <v>0</v>
      </c>
      <c r="D248" s="20">
        <v>0</v>
      </c>
      <c r="E248" s="20">
        <v>0</v>
      </c>
      <c r="G248" s="21">
        <v>0</v>
      </c>
    </row>
    <row r="249" spans="2:7" x14ac:dyDescent="0.25" outlineLevel="1" collapsed="1">
      <c r="B249" s="15" t="s">
        <v>51</v>
      </c>
      <c r="C249" s="20">
        <v>0</v>
      </c>
      <c r="D249" s="20">
        <v>0</v>
      </c>
      <c r="E249" s="20">
        <v>0</v>
      </c>
      <c r="G249" s="21">
        <v>0</v>
      </c>
    </row>
    <row r="250" spans="2:6" x14ac:dyDescent="0.25">
      <c r="B250" s="22" t="s">
        <v>52</v>
      </c>
      <c r="C250" s="23">
        <f>C246+C247+C248+C249</f>
        <v>52146.31</v>
      </c>
      <c r="D250" s="23">
        <f>D246+D247+D248+D249</f>
        <v>60528.13</v>
      </c>
      <c r="E250" s="23">
        <f>IFERROR(D250-C250,0)</f>
        <v>8381.82</v>
      </c>
      <c r="F250" s="24">
        <f>IFERROR(1-C250/D250,0)</f>
        <v>0.13847809274795042</v>
      </c>
    </row>
    <row r="252" spans="2:4" s="13" customFormat="1" x14ac:dyDescent="0.25">
      <c r="B252" s="13" t="s">
        <v>66</v>
      </c>
      <c r="D252" s="14" t="s">
        <v>38</v>
      </c>
    </row>
    <row r="253" spans="2:6" x14ac:dyDescent="0.25" outlineLevel="1" collapsed="1">
      <c r="B253" s="15" t="s">
        <v>42</v>
      </c>
      <c r="C253" s="16">
        <f>'LED Cost Sheet'!T23</f>
        <v>18069.649999999998</v>
      </c>
      <c r="D253" s="16">
        <f>'LED Cost Sheet'!V23</f>
        <v>21258.41</v>
      </c>
      <c r="E253" s="16">
        <f>IFERROR(D253-C253,0)</f>
        <v>3188.76</v>
      </c>
      <c r="F253" s="17">
        <v>0.15</v>
      </c>
    </row>
    <row r="254" spans="2:6" x14ac:dyDescent="0.25" outlineLevel="1" collapsed="1">
      <c r="B254" s="15" t="s">
        <v>43</v>
      </c>
      <c r="C254" s="16">
        <f>'PANTHERS DEN20 - Install'!I26</f>
        <v>757.5</v>
      </c>
      <c r="D254" s="16">
        <f>IFERROR(C254/(1-F254),0)</f>
        <v>891.18</v>
      </c>
      <c r="E254" s="16">
        <f>IFERROR(D254-C254,0)</f>
        <v>133.68</v>
      </c>
      <c r="F254" s="17">
        <v>0.15</v>
      </c>
    </row>
    <row r="255" spans="2:6" x14ac:dyDescent="0.25" outlineLevel="1" collapsed="1">
      <c r="B255" s="15" t="s">
        <v>44</v>
      </c>
      <c r="C255" s="16">
        <f>'PANTHERS DEN20 - Install'!I35-'PANTHERS DEN20 - Install'!I34</f>
        <v>3156.25</v>
      </c>
      <c r="D255" s="16">
        <f>IFERROR(C255/(1-F255),0)</f>
        <v>3713.24</v>
      </c>
      <c r="E255" s="16">
        <f>IFERROR(D255-C255,0)</f>
        <v>556.99</v>
      </c>
      <c r="F255" s="17">
        <v>0.15</v>
      </c>
    </row>
    <row r="256" spans="2:6" x14ac:dyDescent="0.25" outlineLevel="1" collapsed="1">
      <c r="B256" s="15" t="s">
        <v>45</v>
      </c>
      <c r="C256" s="16">
        <f>'PANTHERS DEN20 - Install'!I44</f>
        <v>3156.25</v>
      </c>
      <c r="D256" s="16">
        <f>IFERROR(C256/(1-F256),0)</f>
        <v>3713.24</v>
      </c>
      <c r="E256" s="16">
        <f>IFERROR(D256-C256,0)</f>
        <v>556.99</v>
      </c>
      <c r="F256" s="17">
        <v>0.15</v>
      </c>
    </row>
    <row r="257" spans="2:6" x14ac:dyDescent="0.25" outlineLevel="1" collapsed="1">
      <c r="B257" s="15" t="s">
        <v>46</v>
      </c>
      <c r="C257" s="16">
        <f>'PANTHERS DEN20 - Install'!I34</f>
        <v>20882.35</v>
      </c>
      <c r="D257" s="16">
        <f>IFERROR(C257/(1-F257),0)</f>
        <v>24567.47</v>
      </c>
      <c r="E257" s="16">
        <f>IFERROR(D257-C257,0)</f>
        <v>3685.12</v>
      </c>
      <c r="F257" s="17">
        <v>0.15</v>
      </c>
    </row>
    <row r="258" spans="2:6" x14ac:dyDescent="0.25" outlineLevel="1" collapsed="1">
      <c r="B258" s="15" t="s">
        <v>47</v>
      </c>
      <c r="C258" s="16">
        <f>'PANTHERS DEN20 - Install'!I52</f>
        <v>4705.88</v>
      </c>
      <c r="D258" s="16">
        <f>IFERROR(C258/(1-F258),0)</f>
        <v>5536.33</v>
      </c>
      <c r="E258" s="16">
        <f>IFERROR(D258-C258,0)</f>
        <v>830.45</v>
      </c>
      <c r="F258" s="17">
        <v>0.15</v>
      </c>
    </row>
    <row r="259" spans="2:6" x14ac:dyDescent="0.25" outlineLevel="1" collapsed="1">
      <c r="B259" s="4" t="s">
        <v>48</v>
      </c>
      <c r="C259" s="18">
        <f>SUM(C253:C258)</f>
        <v>50727.88</v>
      </c>
      <c r="D259" s="18">
        <f>SUM(D253:D258)</f>
        <v>58903.39</v>
      </c>
      <c r="E259" s="18">
        <f>IFERROR(D259-C259,0)</f>
        <v>8175.51</v>
      </c>
      <c r="F259" s="19">
        <f>IFERROR(1-C259/D259,0)</f>
        <v>0.138795</v>
      </c>
    </row>
    <row r="260" spans="2:7" x14ac:dyDescent="0.25" outlineLevel="1" collapsed="1">
      <c r="B260" s="15" t="s">
        <v>49</v>
      </c>
      <c r="C260" s="20">
        <v>0</v>
      </c>
      <c r="D260" s="20">
        <v>0</v>
      </c>
      <c r="E260" s="20">
        <v>0</v>
      </c>
      <c r="G260" s="21">
        <v>0</v>
      </c>
    </row>
    <row r="261" spans="2:7" x14ac:dyDescent="0.25" outlineLevel="1" collapsed="1">
      <c r="B261" s="15" t="s">
        <v>50</v>
      </c>
      <c r="C261" s="20">
        <v>0</v>
      </c>
      <c r="D261" s="20">
        <v>0</v>
      </c>
      <c r="E261" s="20">
        <v>0</v>
      </c>
      <c r="G261" s="21">
        <v>0</v>
      </c>
    </row>
    <row r="262" spans="2:7" x14ac:dyDescent="0.25" outlineLevel="1" collapsed="1">
      <c r="B262" s="15" t="s">
        <v>51</v>
      </c>
      <c r="C262" s="20">
        <v>0</v>
      </c>
      <c r="D262" s="20">
        <v>0</v>
      </c>
      <c r="E262" s="20">
        <v>0</v>
      </c>
      <c r="G262" s="21">
        <v>0</v>
      </c>
    </row>
    <row r="263" spans="2:6" x14ac:dyDescent="0.25">
      <c r="B263" s="22" t="s">
        <v>52</v>
      </c>
      <c r="C263" s="23">
        <f>C259+C260+C261+C262</f>
        <v>50727.88</v>
      </c>
      <c r="D263" s="23">
        <f>D259+D260+D261+D262</f>
        <v>58903.39</v>
      </c>
      <c r="E263" s="23">
        <f>IFERROR(D263-C263,0)</f>
        <v>8175.510000000002</v>
      </c>
      <c r="F263" s="24">
        <f>IFERROR(1-C263/D263,0)</f>
        <v>0.1387952374218191</v>
      </c>
    </row>
    <row r="265" spans="2:4" s="13" customFormat="1" x14ac:dyDescent="0.25">
      <c r="B265" s="13" t="s">
        <v>66</v>
      </c>
      <c r="D265" s="14" t="s">
        <v>38</v>
      </c>
    </row>
    <row r="266" spans="2:6" x14ac:dyDescent="0.25" outlineLevel="1" collapsed="1">
      <c r="B266" s="15" t="s">
        <v>42</v>
      </c>
      <c r="C266" s="16">
        <f>'LED Cost Sheet'!T24</f>
        <v>18069.649999999998</v>
      </c>
      <c r="D266" s="16">
        <f>'LED Cost Sheet'!V24</f>
        <v>21258.41</v>
      </c>
      <c r="E266" s="16">
        <f>IFERROR(D266-C266,0)</f>
        <v>3188.76</v>
      </c>
      <c r="F266" s="17">
        <v>0.15</v>
      </c>
    </row>
    <row r="267" spans="2:6" x14ac:dyDescent="0.25" outlineLevel="1" collapsed="1">
      <c r="B267" s="15" t="s">
        <v>43</v>
      </c>
      <c r="C267" s="16">
        <f>'PANTHERS DEN21 - Install'!I26</f>
        <v>757.5</v>
      </c>
      <c r="D267" s="16">
        <f>IFERROR(C267/(1-F267),0)</f>
        <v>891.18</v>
      </c>
      <c r="E267" s="16">
        <f>IFERROR(D267-C267,0)</f>
        <v>133.68</v>
      </c>
      <c r="F267" s="17">
        <v>0.15</v>
      </c>
    </row>
    <row r="268" spans="2:6" x14ac:dyDescent="0.25" outlineLevel="1" collapsed="1">
      <c r="B268" s="15" t="s">
        <v>44</v>
      </c>
      <c r="C268" s="16">
        <f>'PANTHERS DEN21 - Install'!I35-'PANTHERS DEN21 - Install'!I34</f>
        <v>3156.25</v>
      </c>
      <c r="D268" s="16">
        <f>IFERROR(C268/(1-F268),0)</f>
        <v>3713.24</v>
      </c>
      <c r="E268" s="16">
        <f>IFERROR(D268-C268,0)</f>
        <v>556.99</v>
      </c>
      <c r="F268" s="17">
        <v>0.15</v>
      </c>
    </row>
    <row r="269" spans="2:6" x14ac:dyDescent="0.25" outlineLevel="1" collapsed="1">
      <c r="B269" s="15" t="s">
        <v>45</v>
      </c>
      <c r="C269" s="16">
        <f>'PANTHERS DEN21 - Install'!I44</f>
        <v>3156.25</v>
      </c>
      <c r="D269" s="16">
        <f>IFERROR(C269/(1-F269),0)</f>
        <v>3713.24</v>
      </c>
      <c r="E269" s="16">
        <f>IFERROR(D269-C269,0)</f>
        <v>556.99</v>
      </c>
      <c r="F269" s="17">
        <v>0.15</v>
      </c>
    </row>
    <row r="270" spans="2:6" x14ac:dyDescent="0.25" outlineLevel="1" collapsed="1">
      <c r="B270" s="15" t="s">
        <v>46</v>
      </c>
      <c r="C270" s="16">
        <f>'PANTHERS DEN21 - Install'!I34</f>
        <v>20882.35</v>
      </c>
      <c r="D270" s="16">
        <f>IFERROR(C270/(1-F270),0)</f>
        <v>24567.47</v>
      </c>
      <c r="E270" s="16">
        <f>IFERROR(D270-C270,0)</f>
        <v>3685.12</v>
      </c>
      <c r="F270" s="17">
        <v>0.15</v>
      </c>
    </row>
    <row r="271" spans="2:6" x14ac:dyDescent="0.25" outlineLevel="1" collapsed="1">
      <c r="B271" s="15" t="s">
        <v>47</v>
      </c>
      <c r="C271" s="16">
        <f>'PANTHERS DEN21 - Install'!I52</f>
        <v>4705.88</v>
      </c>
      <c r="D271" s="16">
        <f>IFERROR(C271/(1-F271),0)</f>
        <v>5536.33</v>
      </c>
      <c r="E271" s="16">
        <f>IFERROR(D271-C271,0)</f>
        <v>830.45</v>
      </c>
      <c r="F271" s="17">
        <v>0.15</v>
      </c>
    </row>
    <row r="272" spans="2:6" x14ac:dyDescent="0.25" outlineLevel="1" collapsed="1">
      <c r="B272" s="4" t="s">
        <v>48</v>
      </c>
      <c r="C272" s="18">
        <f>SUM(C266:C271)</f>
        <v>50727.88</v>
      </c>
      <c r="D272" s="18">
        <f>SUM(D266:D271)</f>
        <v>58903.39</v>
      </c>
      <c r="E272" s="18">
        <f>IFERROR(D272-C272,0)</f>
        <v>8175.51</v>
      </c>
      <c r="F272" s="19">
        <f>IFERROR(1-C272/D272,0)</f>
        <v>0.138795</v>
      </c>
    </row>
    <row r="273" spans="2:7" x14ac:dyDescent="0.25" outlineLevel="1" collapsed="1">
      <c r="B273" s="15" t="s">
        <v>49</v>
      </c>
      <c r="C273" s="20">
        <v>0</v>
      </c>
      <c r="D273" s="20">
        <v>0</v>
      </c>
      <c r="E273" s="20">
        <v>0</v>
      </c>
      <c r="G273" s="21">
        <v>0</v>
      </c>
    </row>
    <row r="274" spans="2:7" x14ac:dyDescent="0.25" outlineLevel="1" collapsed="1">
      <c r="B274" s="15" t="s">
        <v>50</v>
      </c>
      <c r="C274" s="20">
        <v>0</v>
      </c>
      <c r="D274" s="20">
        <v>0</v>
      </c>
      <c r="E274" s="20">
        <v>0</v>
      </c>
      <c r="G274" s="21">
        <v>0</v>
      </c>
    </row>
    <row r="275" spans="2:7" x14ac:dyDescent="0.25" outlineLevel="1" collapsed="1">
      <c r="B275" s="15" t="s">
        <v>51</v>
      </c>
      <c r="C275" s="20">
        <v>0</v>
      </c>
      <c r="D275" s="20">
        <v>0</v>
      </c>
      <c r="E275" s="20">
        <v>0</v>
      </c>
      <c r="G275" s="21">
        <v>0</v>
      </c>
    </row>
    <row r="276" spans="2:6" x14ac:dyDescent="0.25">
      <c r="B276" s="22" t="s">
        <v>52</v>
      </c>
      <c r="C276" s="23">
        <f>C272+C273+C274+C275</f>
        <v>50727.88</v>
      </c>
      <c r="D276" s="23">
        <f>D272+D273+D274+D275</f>
        <v>58903.39</v>
      </c>
      <c r="E276" s="23">
        <f>IFERROR(D276-C276,0)</f>
        <v>8175.510000000002</v>
      </c>
      <c r="F276" s="24">
        <f>IFERROR(1-C276/D276,0)</f>
        <v>0.1387952374218191</v>
      </c>
    </row>
    <row r="278" spans="2:4" s="13" customFormat="1" x14ac:dyDescent="0.25">
      <c r="B278" s="13" t="s">
        <v>66</v>
      </c>
      <c r="D278" s="14" t="s">
        <v>38</v>
      </c>
    </row>
    <row r="279" spans="2:6" x14ac:dyDescent="0.25" outlineLevel="1" collapsed="1">
      <c r="B279" s="15" t="s">
        <v>42</v>
      </c>
      <c r="C279" s="16">
        <f>'LED Cost Sheet'!T25</f>
        <v>62385.729999999996</v>
      </c>
      <c r="D279" s="16">
        <f>'LED Cost Sheet'!V25</f>
        <v>73394.98</v>
      </c>
      <c r="E279" s="16">
        <f>IFERROR(D279-C279,0)</f>
        <v>11009.25</v>
      </c>
      <c r="F279" s="17">
        <v>0.15</v>
      </c>
    </row>
    <row r="280" spans="2:6" x14ac:dyDescent="0.25" outlineLevel="1" collapsed="1">
      <c r="B280" s="15" t="s">
        <v>43</v>
      </c>
      <c r="C280" s="16">
        <f>'PANTHERS DEN22 - Install'!I26</f>
        <v>2670</v>
      </c>
      <c r="D280" s="16">
        <f>IFERROR(C280/(1-F280),0)</f>
        <v>3141.18</v>
      </c>
      <c r="E280" s="16">
        <f>IFERROR(D280-C280,0)</f>
        <v>471.18</v>
      </c>
      <c r="F280" s="17">
        <v>0.15</v>
      </c>
    </row>
    <row r="281" spans="2:6" x14ac:dyDescent="0.25" outlineLevel="1" collapsed="1">
      <c r="B281" s="15" t="s">
        <v>44</v>
      </c>
      <c r="C281" s="16">
        <f>'PANTHERS DEN22 - Install'!I35-'PANTHERS DEN22 - Install'!I34</f>
        <v>11125</v>
      </c>
      <c r="D281" s="16">
        <f>IFERROR(C281/(1-F281),0)</f>
        <v>13088.24</v>
      </c>
      <c r="E281" s="16">
        <f>IFERROR(D281-C281,0)</f>
        <v>1963.24</v>
      </c>
      <c r="F281" s="17">
        <v>0.15</v>
      </c>
    </row>
    <row r="282" spans="2:6" x14ac:dyDescent="0.25" outlineLevel="1" collapsed="1">
      <c r="B282" s="15" t="s">
        <v>45</v>
      </c>
      <c r="C282" s="16">
        <f>'PANTHERS DEN22 - Install'!I44</f>
        <v>11125</v>
      </c>
      <c r="D282" s="16">
        <f>IFERROR(C282/(1-F282),0)</f>
        <v>13088.24</v>
      </c>
      <c r="E282" s="16">
        <f>IFERROR(D282-C282,0)</f>
        <v>1963.24</v>
      </c>
      <c r="F282" s="17">
        <v>0.15</v>
      </c>
    </row>
    <row r="283" spans="2:6" x14ac:dyDescent="0.25" outlineLevel="1" collapsed="1">
      <c r="B283" s="15" t="s">
        <v>46</v>
      </c>
      <c r="C283" s="16">
        <f>'PANTHERS DEN22 - Install'!I34</f>
        <v>20882.35</v>
      </c>
      <c r="D283" s="16">
        <f>IFERROR(C283/(1-F283),0)</f>
        <v>24567.47</v>
      </c>
      <c r="E283" s="16">
        <f>IFERROR(D283-C283,0)</f>
        <v>3685.12</v>
      </c>
      <c r="F283" s="17">
        <v>0.15</v>
      </c>
    </row>
    <row r="284" spans="2:6" x14ac:dyDescent="0.25" outlineLevel="1" collapsed="1">
      <c r="B284" s="15" t="s">
        <v>47</v>
      </c>
      <c r="C284" s="16">
        <f>'PANTHERS DEN22 - Install'!I52</f>
        <v>4705.88</v>
      </c>
      <c r="D284" s="16">
        <f>IFERROR(C284/(1-F284),0)</f>
        <v>5536.33</v>
      </c>
      <c r="E284" s="16">
        <f>IFERROR(D284-C284,0)</f>
        <v>830.45</v>
      </c>
      <c r="F284" s="17">
        <v>0.15</v>
      </c>
    </row>
    <row r="285" spans="2:6" x14ac:dyDescent="0.25" outlineLevel="1" collapsed="1">
      <c r="B285" s="4" t="s">
        <v>48</v>
      </c>
      <c r="C285" s="18">
        <f>SUM(C279:C284)</f>
        <v>112893.96</v>
      </c>
      <c r="D285" s="18">
        <f>SUM(D279:D284)</f>
        <v>130087.02</v>
      </c>
      <c r="E285" s="18">
        <f>IFERROR(D285-C285,0)</f>
        <v>17193.06</v>
      </c>
      <c r="F285" s="19">
        <f>IFERROR(1-C285/D285,0)</f>
        <v>0.132166</v>
      </c>
    </row>
    <row r="286" spans="2:7" x14ac:dyDescent="0.25" outlineLevel="1" collapsed="1">
      <c r="B286" s="15" t="s">
        <v>49</v>
      </c>
      <c r="C286" s="20">
        <v>0</v>
      </c>
      <c r="D286" s="20">
        <v>0</v>
      </c>
      <c r="E286" s="20">
        <v>0</v>
      </c>
      <c r="G286" s="21">
        <v>0</v>
      </c>
    </row>
    <row r="287" spans="2:7" x14ac:dyDescent="0.25" outlineLevel="1" collapsed="1">
      <c r="B287" s="15" t="s">
        <v>50</v>
      </c>
      <c r="C287" s="20">
        <v>0</v>
      </c>
      <c r="D287" s="20">
        <v>0</v>
      </c>
      <c r="E287" s="20">
        <v>0</v>
      </c>
      <c r="G287" s="21">
        <v>0</v>
      </c>
    </row>
    <row r="288" spans="2:7" x14ac:dyDescent="0.25" outlineLevel="1" collapsed="1">
      <c r="B288" s="15" t="s">
        <v>51</v>
      </c>
      <c r="C288" s="20">
        <v>0</v>
      </c>
      <c r="D288" s="20">
        <v>0</v>
      </c>
      <c r="E288" s="20">
        <v>0</v>
      </c>
      <c r="G288" s="21">
        <v>0</v>
      </c>
    </row>
    <row r="289" spans="2:6" x14ac:dyDescent="0.25">
      <c r="B289" s="22" t="s">
        <v>52</v>
      </c>
      <c r="C289" s="23">
        <f>C285+C286+C287+C288</f>
        <v>112893.96</v>
      </c>
      <c r="D289" s="23">
        <f>D285+D286+D287+D288</f>
        <v>130087.02</v>
      </c>
      <c r="E289" s="23">
        <f>IFERROR(D289-C289,0)</f>
        <v>17193.059999999998</v>
      </c>
      <c r="F289" s="24">
        <f>IFERROR(1-C289/D289,0)</f>
        <v>0.13216583791372882</v>
      </c>
    </row>
    <row r="291" spans="2:4" s="13" customFormat="1" x14ac:dyDescent="0.25">
      <c r="B291" s="13" t="s">
        <v>66</v>
      </c>
      <c r="D291" s="14" t="s">
        <v>38</v>
      </c>
    </row>
    <row r="292" spans="2:6" x14ac:dyDescent="0.25" outlineLevel="1" collapsed="1">
      <c r="B292" s="15" t="s">
        <v>42</v>
      </c>
      <c r="C292" s="16">
        <f>'LED Cost Sheet'!T26</f>
        <v>41023.25000000001</v>
      </c>
      <c r="D292" s="16">
        <f>'LED Cost Sheet'!V26</f>
        <v>48262.65</v>
      </c>
      <c r="E292" s="16">
        <f>IFERROR(D292-C292,0)</f>
        <v>7239.4</v>
      </c>
      <c r="F292" s="17">
        <v>0.15</v>
      </c>
    </row>
    <row r="293" spans="2:6" x14ac:dyDescent="0.25" outlineLevel="1" collapsed="1">
      <c r="B293" s="15" t="s">
        <v>43</v>
      </c>
      <c r="C293" s="16">
        <f>'PANTHERS DEN23 - Install'!I26</f>
        <v>1751.25</v>
      </c>
      <c r="D293" s="16">
        <f>IFERROR(C293/(1-F293),0)</f>
        <v>2060.29</v>
      </c>
      <c r="E293" s="16">
        <f>IFERROR(D293-C293,0)</f>
        <v>309.04</v>
      </c>
      <c r="F293" s="17">
        <v>0.15</v>
      </c>
    </row>
    <row r="294" spans="2:6" x14ac:dyDescent="0.25" outlineLevel="1" collapsed="1">
      <c r="B294" s="15" t="s">
        <v>44</v>
      </c>
      <c r="C294" s="16">
        <f>'PANTHERS DEN23 - Install'!I35-'PANTHERS DEN23 - Install'!I34</f>
        <v>7296.88</v>
      </c>
      <c r="D294" s="16">
        <f>IFERROR(C294/(1-F294),0)</f>
        <v>8584.56</v>
      </c>
      <c r="E294" s="16">
        <f>IFERROR(D294-C294,0)</f>
        <v>1287.68</v>
      </c>
      <c r="F294" s="17">
        <v>0.15</v>
      </c>
    </row>
    <row r="295" spans="2:6" x14ac:dyDescent="0.25" outlineLevel="1" collapsed="1">
      <c r="B295" s="15" t="s">
        <v>45</v>
      </c>
      <c r="C295" s="16">
        <f>'PANTHERS DEN23 - Install'!I44</f>
        <v>7296.88</v>
      </c>
      <c r="D295" s="16">
        <f>IFERROR(C295/(1-F295),0)</f>
        <v>8584.56</v>
      </c>
      <c r="E295" s="16">
        <f>IFERROR(D295-C295,0)</f>
        <v>1287.68</v>
      </c>
      <c r="F295" s="17">
        <v>0.15</v>
      </c>
    </row>
    <row r="296" spans="2:6" x14ac:dyDescent="0.25" outlineLevel="1" collapsed="1">
      <c r="B296" s="15" t="s">
        <v>46</v>
      </c>
      <c r="C296" s="16">
        <f>'PANTHERS DEN23 - Install'!I34</f>
        <v>20882.35</v>
      </c>
      <c r="D296" s="16">
        <f>IFERROR(C296/(1-F296),0)</f>
        <v>24567.47</v>
      </c>
      <c r="E296" s="16">
        <f>IFERROR(D296-C296,0)</f>
        <v>3685.12</v>
      </c>
      <c r="F296" s="17">
        <v>0.15</v>
      </c>
    </row>
    <row r="297" spans="2:6" x14ac:dyDescent="0.25" outlineLevel="1" collapsed="1">
      <c r="B297" s="15" t="s">
        <v>47</v>
      </c>
      <c r="C297" s="16">
        <f>'PANTHERS DEN23 - Install'!I52</f>
        <v>4705.88</v>
      </c>
      <c r="D297" s="16">
        <f>IFERROR(C297/(1-F297),0)</f>
        <v>5536.33</v>
      </c>
      <c r="E297" s="16">
        <f>IFERROR(D297-C297,0)</f>
        <v>830.45</v>
      </c>
      <c r="F297" s="17">
        <v>0.15</v>
      </c>
    </row>
    <row r="298" spans="2:6" x14ac:dyDescent="0.25" outlineLevel="1" collapsed="1">
      <c r="B298" s="4" t="s">
        <v>48</v>
      </c>
      <c r="C298" s="18">
        <f>SUM(C292:C297)</f>
        <v>82956.49</v>
      </c>
      <c r="D298" s="18">
        <f>SUM(D292:D297)</f>
        <v>95807.86</v>
      </c>
      <c r="E298" s="18">
        <f>IFERROR(D298-C298,0)</f>
        <v>12851.37</v>
      </c>
      <c r="F298" s="19">
        <f>IFERROR(1-C298/D298,0)</f>
        <v>0.13413699999999998</v>
      </c>
    </row>
    <row r="299" spans="2:7" x14ac:dyDescent="0.25" outlineLevel="1" collapsed="1">
      <c r="B299" s="15" t="s">
        <v>49</v>
      </c>
      <c r="C299" s="20">
        <v>0</v>
      </c>
      <c r="D299" s="20">
        <v>0</v>
      </c>
      <c r="E299" s="20">
        <v>0</v>
      </c>
      <c r="G299" s="21">
        <v>0</v>
      </c>
    </row>
    <row r="300" spans="2:7" x14ac:dyDescent="0.25" outlineLevel="1" collapsed="1">
      <c r="B300" s="15" t="s">
        <v>50</v>
      </c>
      <c r="C300" s="20">
        <v>0</v>
      </c>
      <c r="D300" s="20">
        <v>0</v>
      </c>
      <c r="E300" s="20">
        <v>0</v>
      </c>
      <c r="G300" s="21">
        <v>0</v>
      </c>
    </row>
    <row r="301" spans="2:7" x14ac:dyDescent="0.25" outlineLevel="1" collapsed="1">
      <c r="B301" s="15" t="s">
        <v>51</v>
      </c>
      <c r="C301" s="20">
        <v>0</v>
      </c>
      <c r="D301" s="20">
        <v>0</v>
      </c>
      <c r="E301" s="20">
        <v>0</v>
      </c>
      <c r="G301" s="21">
        <v>0</v>
      </c>
    </row>
    <row r="302" spans="2:6" x14ac:dyDescent="0.25">
      <c r="B302" s="22" t="s">
        <v>52</v>
      </c>
      <c r="C302" s="23">
        <f>C298+C299+C300+C301</f>
        <v>82956.49</v>
      </c>
      <c r="D302" s="23">
        <f>D298+D299+D300+D301</f>
        <v>95807.86</v>
      </c>
      <c r="E302" s="23">
        <f>IFERROR(D302-C302,0)</f>
        <v>12851.369999999995</v>
      </c>
      <c r="F302" s="24">
        <f>IFERROR(1-C302/D302,0)</f>
        <v>0.13413690693018288</v>
      </c>
    </row>
    <row r="304" spans="2:4" s="13" customFormat="1" x14ac:dyDescent="0.25">
      <c r="B304" s="13" t="s">
        <v>67</v>
      </c>
      <c r="D304" s="14" t="s">
        <v>38</v>
      </c>
    </row>
    <row r="305" spans="2:6" x14ac:dyDescent="0.25" outlineLevel="1" collapsed="1">
      <c r="B305" s="15" t="s">
        <v>42</v>
      </c>
      <c r="C305" s="16">
        <f>'LED Cost Sheet'!T27</f>
        <v>101949.78</v>
      </c>
      <c r="D305" s="16">
        <f>'LED Cost Sheet'!V27</f>
        <v>119940.92</v>
      </c>
      <c r="E305" s="16">
        <f>IFERROR(D305-C305,0)</f>
        <v>17991.14</v>
      </c>
      <c r="F305" s="17">
        <v>0.15</v>
      </c>
    </row>
    <row r="306" spans="2:6" x14ac:dyDescent="0.25" outlineLevel="1" collapsed="1">
      <c r="B306" s="15" t="s">
        <v>43</v>
      </c>
      <c r="C306" s="16">
        <f>'SOUTH CLUB - Install'!I26</f>
        <v>3858.75</v>
      </c>
      <c r="D306" s="16">
        <f>IFERROR(C306/(1-F306),0)</f>
        <v>4539.71</v>
      </c>
      <c r="E306" s="16">
        <f>IFERROR(D306-C306,0)</f>
        <v>680.96</v>
      </c>
      <c r="F306" s="17">
        <v>0.15</v>
      </c>
    </row>
    <row r="307" spans="2:6" x14ac:dyDescent="0.25" outlineLevel="1" collapsed="1">
      <c r="B307" s="15" t="s">
        <v>44</v>
      </c>
      <c r="C307" s="16">
        <f>'SOUTH CLUB - Install'!I35-'SOUTH CLUB - Install'!I34</f>
        <v>16078.13</v>
      </c>
      <c r="D307" s="16">
        <f>IFERROR(C307/(1-F307),0)</f>
        <v>18915.45</v>
      </c>
      <c r="E307" s="16">
        <f>IFERROR(D307-C307,0)</f>
        <v>2837.32</v>
      </c>
      <c r="F307" s="17">
        <v>0.15</v>
      </c>
    </row>
    <row r="308" spans="2:6" x14ac:dyDescent="0.25" outlineLevel="1" collapsed="1">
      <c r="B308" s="15" t="s">
        <v>45</v>
      </c>
      <c r="C308" s="16">
        <f>'SOUTH CLUB - Install'!I44</f>
        <v>16078.13</v>
      </c>
      <c r="D308" s="16">
        <f>IFERROR(C308/(1-F308),0)</f>
        <v>18915.45</v>
      </c>
      <c r="E308" s="16">
        <f>IFERROR(D308-C308,0)</f>
        <v>2837.32</v>
      </c>
      <c r="F308" s="17">
        <v>0.15</v>
      </c>
    </row>
    <row r="309" spans="2:6" x14ac:dyDescent="0.25" outlineLevel="1" collapsed="1">
      <c r="B309" s="15" t="s">
        <v>46</v>
      </c>
      <c r="C309" s="16">
        <f>'SOUTH CLUB - Install'!I34</f>
        <v>20882.35</v>
      </c>
      <c r="D309" s="16">
        <f>IFERROR(C309/(1-F309),0)</f>
        <v>24567.47</v>
      </c>
      <c r="E309" s="16">
        <f>IFERROR(D309-C309,0)</f>
        <v>3685.12</v>
      </c>
      <c r="F309" s="17">
        <v>0.15</v>
      </c>
    </row>
    <row r="310" spans="2:6" x14ac:dyDescent="0.25" outlineLevel="1" collapsed="1">
      <c r="B310" s="15" t="s">
        <v>47</v>
      </c>
      <c r="C310" s="16">
        <f>'SOUTH CLUB - Install'!I52</f>
        <v>4705.88</v>
      </c>
      <c r="D310" s="16">
        <f>IFERROR(C310/(1-F310),0)</f>
        <v>5536.33</v>
      </c>
      <c r="E310" s="16">
        <f>IFERROR(D310-C310,0)</f>
        <v>830.45</v>
      </c>
      <c r="F310" s="17">
        <v>0.15</v>
      </c>
    </row>
    <row r="311" spans="2:6" x14ac:dyDescent="0.25" outlineLevel="1" collapsed="1">
      <c r="B311" s="4" t="s">
        <v>48</v>
      </c>
      <c r="C311" s="18">
        <f>SUM(C305:C310)</f>
        <v>163553.02</v>
      </c>
      <c r="D311" s="18">
        <f>SUM(D305:D310)</f>
        <v>188471.2</v>
      </c>
      <c r="E311" s="18">
        <f>IFERROR(D311-C311,0)</f>
        <v>24918.18</v>
      </c>
      <c r="F311" s="19">
        <f>IFERROR(1-C311/D311,0)</f>
        <v>0.132212</v>
      </c>
    </row>
    <row r="312" spans="2:7" x14ac:dyDescent="0.25" outlineLevel="1" collapsed="1">
      <c r="B312" s="15" t="s">
        <v>49</v>
      </c>
      <c r="C312" s="20">
        <v>0</v>
      </c>
      <c r="D312" s="20">
        <v>0</v>
      </c>
      <c r="E312" s="20">
        <v>0</v>
      </c>
      <c r="G312" s="21">
        <v>0</v>
      </c>
    </row>
    <row r="313" spans="2:7" x14ac:dyDescent="0.25" outlineLevel="1" collapsed="1">
      <c r="B313" s="15" t="s">
        <v>50</v>
      </c>
      <c r="C313" s="20">
        <v>0</v>
      </c>
      <c r="D313" s="20">
        <v>0</v>
      </c>
      <c r="E313" s="20">
        <v>0</v>
      </c>
      <c r="G313" s="21">
        <v>0</v>
      </c>
    </row>
    <row r="314" spans="2:7" x14ac:dyDescent="0.25" outlineLevel="1" collapsed="1">
      <c r="B314" s="15" t="s">
        <v>51</v>
      </c>
      <c r="C314" s="20">
        <v>0</v>
      </c>
      <c r="D314" s="20">
        <v>0</v>
      </c>
      <c r="E314" s="20">
        <v>0</v>
      </c>
      <c r="G314" s="21">
        <v>0</v>
      </c>
    </row>
    <row r="315" spans="2:6" x14ac:dyDescent="0.25">
      <c r="B315" s="22" t="s">
        <v>52</v>
      </c>
      <c r="C315" s="23">
        <f>C311+C312+C313+C314</f>
        <v>163553.02</v>
      </c>
      <c r="D315" s="23">
        <f>D311+D312+D313+D314</f>
        <v>188471.2</v>
      </c>
      <c r="E315" s="23">
        <f>IFERROR(D315-C315,0)</f>
        <v>24918.180000000022</v>
      </c>
      <c r="F315" s="24">
        <f>IFERROR(1-C315/D315,0)</f>
        <v>0.13221213639006923</v>
      </c>
    </row>
    <row r="317" spans="2:4" s="13" customFormat="1" x14ac:dyDescent="0.25">
      <c r="B317" s="13" t="s">
        <v>64</v>
      </c>
      <c r="D317" s="14" t="s">
        <v>38</v>
      </c>
    </row>
    <row r="318" spans="2:6" x14ac:dyDescent="0.25" outlineLevel="1" collapsed="1">
      <c r="B318" s="15" t="s">
        <v>42</v>
      </c>
      <c r="C318" s="16">
        <f>'LED Cost Sheet'!T28</f>
        <v>7117.15</v>
      </c>
      <c r="D318" s="16">
        <f>'LED Cost Sheet'!V28</f>
        <v>8373.12</v>
      </c>
      <c r="E318" s="16">
        <f>IFERROR(D318-C318,0)</f>
        <v>1255.97</v>
      </c>
      <c r="F318" s="17">
        <v>0.15</v>
      </c>
    </row>
    <row r="319" spans="2:6" x14ac:dyDescent="0.25" outlineLevel="1" collapsed="1">
      <c r="B319" s="15" t="s">
        <v>43</v>
      </c>
      <c r="C319" s="16">
        <f>'ELEV LOBBY25 - Install'!I26</f>
        <v>277.5</v>
      </c>
      <c r="D319" s="16">
        <f>IFERROR(C319/(1-F319),0)</f>
        <v>326.47</v>
      </c>
      <c r="E319" s="16">
        <f>IFERROR(D319-C319,0)</f>
        <v>48.97</v>
      </c>
      <c r="F319" s="17">
        <v>0.15</v>
      </c>
    </row>
    <row r="320" spans="2:6" x14ac:dyDescent="0.25" outlineLevel="1" collapsed="1">
      <c r="B320" s="15" t="s">
        <v>44</v>
      </c>
      <c r="C320" s="16">
        <f>'ELEV LOBBY25 - Install'!I35-'ELEV LOBBY25 - Install'!I34</f>
        <v>1156.25</v>
      </c>
      <c r="D320" s="16">
        <f>IFERROR(C320/(1-F320),0)</f>
        <v>1360.29</v>
      </c>
      <c r="E320" s="16">
        <f>IFERROR(D320-C320,0)</f>
        <v>204.04</v>
      </c>
      <c r="F320" s="17">
        <v>0.15</v>
      </c>
    </row>
    <row r="321" spans="2:6" x14ac:dyDescent="0.25" outlineLevel="1" collapsed="1">
      <c r="B321" s="15" t="s">
        <v>45</v>
      </c>
      <c r="C321" s="16">
        <f>'ELEV LOBBY25 - Install'!I44</f>
        <v>1156.25</v>
      </c>
      <c r="D321" s="16">
        <f>IFERROR(C321/(1-F321),0)</f>
        <v>1360.29</v>
      </c>
      <c r="E321" s="16">
        <f>IFERROR(D321-C321,0)</f>
        <v>204.04</v>
      </c>
      <c r="F321" s="17">
        <v>0.15</v>
      </c>
    </row>
    <row r="322" spans="2:6" x14ac:dyDescent="0.25" outlineLevel="1" collapsed="1">
      <c r="B322" s="15" t="s">
        <v>46</v>
      </c>
      <c r="C322" s="16">
        <f>'ELEV LOBBY25 - Install'!I34</f>
        <v>20882.35</v>
      </c>
      <c r="D322" s="16">
        <f>IFERROR(C322/(1-F322),0)</f>
        <v>24567.47</v>
      </c>
      <c r="E322" s="16">
        <f>IFERROR(D322-C322,0)</f>
        <v>3685.12</v>
      </c>
      <c r="F322" s="17">
        <v>0.15</v>
      </c>
    </row>
    <row r="323" spans="2:6" x14ac:dyDescent="0.25" outlineLevel="1" collapsed="1">
      <c r="B323" s="15" t="s">
        <v>47</v>
      </c>
      <c r="C323" s="16">
        <f>'ELEV LOBBY25 - Install'!I52</f>
        <v>4705.88</v>
      </c>
      <c r="D323" s="16">
        <f>IFERROR(C323/(1-F323),0)</f>
        <v>5536.33</v>
      </c>
      <c r="E323" s="16">
        <f>IFERROR(D323-C323,0)</f>
        <v>830.45</v>
      </c>
      <c r="F323" s="17">
        <v>0.15</v>
      </c>
    </row>
    <row r="324" spans="2:6" x14ac:dyDescent="0.25" outlineLevel="1" collapsed="1">
      <c r="B324" s="4" t="s">
        <v>48</v>
      </c>
      <c r="C324" s="18">
        <f>SUM(C318:C323)</f>
        <v>35295.38</v>
      </c>
      <c r="D324" s="18">
        <f>SUM(D318:D323)</f>
        <v>40935.74</v>
      </c>
      <c r="E324" s="18">
        <f>IFERROR(D324-C324,0)</f>
        <v>5640.36</v>
      </c>
      <c r="F324" s="19">
        <f>IFERROR(1-C324/D324,0)</f>
        <v>0.137786</v>
      </c>
    </row>
    <row r="325" spans="2:7" x14ac:dyDescent="0.25" outlineLevel="1" collapsed="1">
      <c r="B325" s="15" t="s">
        <v>49</v>
      </c>
      <c r="C325" s="20">
        <v>0</v>
      </c>
      <c r="D325" s="20">
        <v>0</v>
      </c>
      <c r="E325" s="20">
        <v>0</v>
      </c>
      <c r="G325" s="21">
        <v>0</v>
      </c>
    </row>
    <row r="326" spans="2:7" x14ac:dyDescent="0.25" outlineLevel="1" collapsed="1">
      <c r="B326" s="15" t="s">
        <v>50</v>
      </c>
      <c r="C326" s="20">
        <v>0</v>
      </c>
      <c r="D326" s="20">
        <v>0</v>
      </c>
      <c r="E326" s="20">
        <v>0</v>
      </c>
      <c r="G326" s="21">
        <v>0</v>
      </c>
    </row>
    <row r="327" spans="2:7" x14ac:dyDescent="0.25" outlineLevel="1" collapsed="1">
      <c r="B327" s="15" t="s">
        <v>51</v>
      </c>
      <c r="C327" s="20">
        <v>0</v>
      </c>
      <c r="D327" s="20">
        <v>0</v>
      </c>
      <c r="E327" s="20">
        <v>0</v>
      </c>
      <c r="G327" s="21">
        <v>0</v>
      </c>
    </row>
    <row r="328" spans="2:6" x14ac:dyDescent="0.25">
      <c r="B328" s="22" t="s">
        <v>52</v>
      </c>
      <c r="C328" s="23">
        <f>C324+C325+C326+C327</f>
        <v>35295.38</v>
      </c>
      <c r="D328" s="23">
        <f>D324+D325+D326+D327</f>
        <v>40935.74</v>
      </c>
      <c r="E328" s="23">
        <f>IFERROR(D328-C328,0)</f>
        <v>5640.360000000001</v>
      </c>
      <c r="F328" s="24">
        <f>IFERROR(1-C328/D328,0)</f>
        <v>0.13778570999327244</v>
      </c>
    </row>
    <row r="330" spans="2:4" s="13" customFormat="1" x14ac:dyDescent="0.25">
      <c r="B330" s="13" t="s">
        <v>67</v>
      </c>
      <c r="D330" s="14" t="s">
        <v>38</v>
      </c>
    </row>
    <row r="331" spans="2:6" x14ac:dyDescent="0.25" outlineLevel="1" collapsed="1">
      <c r="B331" s="15" t="s">
        <v>42</v>
      </c>
      <c r="C331" s="16">
        <f>'LED Cost Sheet'!T29</f>
        <v>38892.87</v>
      </c>
      <c r="D331" s="16">
        <f>'LED Cost Sheet'!V29</f>
        <v>45756.32</v>
      </c>
      <c r="E331" s="16">
        <f>IFERROR(D331-C331,0)</f>
        <v>6863.45</v>
      </c>
      <c r="F331" s="17">
        <v>0.15</v>
      </c>
    </row>
    <row r="332" spans="2:6" x14ac:dyDescent="0.25" outlineLevel="1" collapsed="1">
      <c r="B332" s="15" t="s">
        <v>43</v>
      </c>
      <c r="C332" s="16">
        <f>'SOUTH CLUB26 - Install'!I26</f>
        <v>1657.5</v>
      </c>
      <c r="D332" s="16">
        <f>IFERROR(C332/(1-F332),0)</f>
        <v>1950</v>
      </c>
      <c r="E332" s="16">
        <f>IFERROR(D332-C332,0)</f>
        <v>292.5</v>
      </c>
      <c r="F332" s="17">
        <v>0.15</v>
      </c>
    </row>
    <row r="333" spans="2:6" x14ac:dyDescent="0.25" outlineLevel="1" collapsed="1">
      <c r="B333" s="15" t="s">
        <v>44</v>
      </c>
      <c r="C333" s="16">
        <f>'SOUTH CLUB26 - Install'!I35-'SOUTH CLUB26 - Install'!I34</f>
        <v>6906.25</v>
      </c>
      <c r="D333" s="16">
        <f>IFERROR(C333/(1-F333),0)</f>
        <v>8125</v>
      </c>
      <c r="E333" s="16">
        <f>IFERROR(D333-C333,0)</f>
        <v>1218.75</v>
      </c>
      <c r="F333" s="17">
        <v>0.15</v>
      </c>
    </row>
    <row r="334" spans="2:6" x14ac:dyDescent="0.25" outlineLevel="1" collapsed="1">
      <c r="B334" s="15" t="s">
        <v>45</v>
      </c>
      <c r="C334" s="16">
        <f>'SOUTH CLUB26 - Install'!I44</f>
        <v>6906.25</v>
      </c>
      <c r="D334" s="16">
        <f>IFERROR(C334/(1-F334),0)</f>
        <v>8125</v>
      </c>
      <c r="E334" s="16">
        <f>IFERROR(D334-C334,0)</f>
        <v>1218.75</v>
      </c>
      <c r="F334" s="17">
        <v>0.15</v>
      </c>
    </row>
    <row r="335" spans="2:6" x14ac:dyDescent="0.25" outlineLevel="1" collapsed="1">
      <c r="B335" s="15" t="s">
        <v>46</v>
      </c>
      <c r="C335" s="16">
        <f>'SOUTH CLUB26 - Install'!I34</f>
        <v>20882.35</v>
      </c>
      <c r="D335" s="16">
        <f>IFERROR(C335/(1-F335),0)</f>
        <v>24567.47</v>
      </c>
      <c r="E335" s="16">
        <f>IFERROR(D335-C335,0)</f>
        <v>3685.12</v>
      </c>
      <c r="F335" s="17">
        <v>0.15</v>
      </c>
    </row>
    <row r="336" spans="2:6" x14ac:dyDescent="0.25" outlineLevel="1" collapsed="1">
      <c r="B336" s="15" t="s">
        <v>47</v>
      </c>
      <c r="C336" s="16">
        <f>'SOUTH CLUB26 - Install'!I52</f>
        <v>4705.88</v>
      </c>
      <c r="D336" s="16">
        <f>IFERROR(C336/(1-F336),0)</f>
        <v>5536.33</v>
      </c>
      <c r="E336" s="16">
        <f>IFERROR(D336-C336,0)</f>
        <v>830.45</v>
      </c>
      <c r="F336" s="17">
        <v>0.15</v>
      </c>
    </row>
    <row r="337" spans="2:6" x14ac:dyDescent="0.25" outlineLevel="1" collapsed="1">
      <c r="B337" s="4" t="s">
        <v>48</v>
      </c>
      <c r="C337" s="18">
        <f>SUM(C331:C336)</f>
        <v>79951.1</v>
      </c>
      <c r="D337" s="18">
        <f>SUM(D331:D336)</f>
        <v>92366</v>
      </c>
      <c r="E337" s="18">
        <f>IFERROR(D337-C337,0)</f>
        <v>12414.9</v>
      </c>
      <c r="F337" s="19">
        <f>IFERROR(1-C337/D337,0)</f>
        <v>0.13441</v>
      </c>
    </row>
    <row r="338" spans="2:7" x14ac:dyDescent="0.25" outlineLevel="1" collapsed="1">
      <c r="B338" s="15" t="s">
        <v>49</v>
      </c>
      <c r="C338" s="20">
        <v>0</v>
      </c>
      <c r="D338" s="20">
        <v>0</v>
      </c>
      <c r="E338" s="20">
        <v>0</v>
      </c>
      <c r="G338" s="21">
        <v>0</v>
      </c>
    </row>
    <row r="339" spans="2:7" x14ac:dyDescent="0.25" outlineLevel="1" collapsed="1">
      <c r="B339" s="15" t="s">
        <v>50</v>
      </c>
      <c r="C339" s="20">
        <v>0</v>
      </c>
      <c r="D339" s="20">
        <v>0</v>
      </c>
      <c r="E339" s="20">
        <v>0</v>
      </c>
      <c r="G339" s="21">
        <v>0</v>
      </c>
    </row>
    <row r="340" spans="2:7" x14ac:dyDescent="0.25" outlineLevel="1" collapsed="1">
      <c r="B340" s="15" t="s">
        <v>51</v>
      </c>
      <c r="C340" s="20">
        <v>0</v>
      </c>
      <c r="D340" s="20">
        <v>0</v>
      </c>
      <c r="E340" s="20">
        <v>0</v>
      </c>
      <c r="G340" s="21">
        <v>0</v>
      </c>
    </row>
    <row r="341" spans="2:6" x14ac:dyDescent="0.25">
      <c r="B341" s="22" t="s">
        <v>52</v>
      </c>
      <c r="C341" s="23">
        <f>C337+C338+C339+C340</f>
        <v>79951.1</v>
      </c>
      <c r="D341" s="23">
        <f>D337+D338+D339+D340</f>
        <v>92366</v>
      </c>
      <c r="E341" s="23">
        <f>IFERROR(D341-C341,0)</f>
        <v>12414.899999999994</v>
      </c>
      <c r="F341" s="24">
        <f>IFERROR(1-C341/D341,0)</f>
        <v>0.13440984777948595</v>
      </c>
    </row>
    <row r="343" spans="2:4" s="13" customFormat="1" x14ac:dyDescent="0.25">
      <c r="B343" s="13" t="s">
        <v>64</v>
      </c>
      <c r="D343" s="14" t="s">
        <v>38</v>
      </c>
    </row>
    <row r="344" spans="2:6" x14ac:dyDescent="0.25" outlineLevel="1" collapsed="1">
      <c r="B344" s="15" t="s">
        <v>42</v>
      </c>
      <c r="C344" s="16">
        <f>'LED Cost Sheet'!T30</f>
        <v>7117.15</v>
      </c>
      <c r="D344" s="16">
        <f>'LED Cost Sheet'!V30</f>
        <v>8373.12</v>
      </c>
      <c r="E344" s="16">
        <f>IFERROR(D344-C344,0)</f>
        <v>1255.97</v>
      </c>
      <c r="F344" s="17">
        <v>0.15</v>
      </c>
    </row>
    <row r="345" spans="2:6" x14ac:dyDescent="0.25" outlineLevel="1" collapsed="1">
      <c r="B345" s="15" t="s">
        <v>43</v>
      </c>
      <c r="C345" s="16">
        <f>'ELEV LOBBY27 - Install'!I26</f>
        <v>277.5</v>
      </c>
      <c r="D345" s="16">
        <f>IFERROR(C345/(1-F345),0)</f>
        <v>326.47</v>
      </c>
      <c r="E345" s="16">
        <f>IFERROR(D345-C345,0)</f>
        <v>48.97</v>
      </c>
      <c r="F345" s="17">
        <v>0.15</v>
      </c>
    </row>
    <row r="346" spans="2:6" x14ac:dyDescent="0.25" outlineLevel="1" collapsed="1">
      <c r="B346" s="15" t="s">
        <v>44</v>
      </c>
      <c r="C346" s="16">
        <f>'ELEV LOBBY27 - Install'!I35-'ELEV LOBBY27 - Install'!I34</f>
        <v>1156.25</v>
      </c>
      <c r="D346" s="16">
        <f>IFERROR(C346/(1-F346),0)</f>
        <v>1360.29</v>
      </c>
      <c r="E346" s="16">
        <f>IFERROR(D346-C346,0)</f>
        <v>204.04</v>
      </c>
      <c r="F346" s="17">
        <v>0.15</v>
      </c>
    </row>
    <row r="347" spans="2:6" x14ac:dyDescent="0.25" outlineLevel="1" collapsed="1">
      <c r="B347" s="15" t="s">
        <v>45</v>
      </c>
      <c r="C347" s="16">
        <f>'ELEV LOBBY27 - Install'!I44</f>
        <v>1156.25</v>
      </c>
      <c r="D347" s="16">
        <f>IFERROR(C347/(1-F347),0)</f>
        <v>1360.29</v>
      </c>
      <c r="E347" s="16">
        <f>IFERROR(D347-C347,0)</f>
        <v>204.04</v>
      </c>
      <c r="F347" s="17">
        <v>0.15</v>
      </c>
    </row>
    <row r="348" spans="2:6" x14ac:dyDescent="0.25" outlineLevel="1" collapsed="1">
      <c r="B348" s="15" t="s">
        <v>46</v>
      </c>
      <c r="C348" s="16">
        <f>'ELEV LOBBY27 - Install'!I34</f>
        <v>20882.35</v>
      </c>
      <c r="D348" s="16">
        <f>IFERROR(C348/(1-F348),0)</f>
        <v>24567.47</v>
      </c>
      <c r="E348" s="16">
        <f>IFERROR(D348-C348,0)</f>
        <v>3685.12</v>
      </c>
      <c r="F348" s="17">
        <v>0.15</v>
      </c>
    </row>
    <row r="349" spans="2:6" x14ac:dyDescent="0.25" outlineLevel="1" collapsed="1">
      <c r="B349" s="15" t="s">
        <v>47</v>
      </c>
      <c r="C349" s="16">
        <f>'ELEV LOBBY27 - Install'!I52</f>
        <v>4705.88</v>
      </c>
      <c r="D349" s="16">
        <f>IFERROR(C349/(1-F349),0)</f>
        <v>5536.33</v>
      </c>
      <c r="E349" s="16">
        <f>IFERROR(D349-C349,0)</f>
        <v>830.45</v>
      </c>
      <c r="F349" s="17">
        <v>0.15</v>
      </c>
    </row>
    <row r="350" spans="2:6" x14ac:dyDescent="0.25" outlineLevel="1" collapsed="1">
      <c r="B350" s="4" t="s">
        <v>48</v>
      </c>
      <c r="C350" s="18">
        <f>SUM(C344:C349)</f>
        <v>35295.38</v>
      </c>
      <c r="D350" s="18">
        <f>SUM(D344:D349)</f>
        <v>40935.74</v>
      </c>
      <c r="E350" s="18">
        <f>IFERROR(D350-C350,0)</f>
        <v>5640.36</v>
      </c>
      <c r="F350" s="19">
        <f>IFERROR(1-C350/D350,0)</f>
        <v>0.137786</v>
      </c>
    </row>
    <row r="351" spans="2:7" x14ac:dyDescent="0.25" outlineLevel="1" collapsed="1">
      <c r="B351" s="15" t="s">
        <v>49</v>
      </c>
      <c r="C351" s="20">
        <v>0</v>
      </c>
      <c r="D351" s="20">
        <v>0</v>
      </c>
      <c r="E351" s="20">
        <v>0</v>
      </c>
      <c r="G351" s="21">
        <v>0</v>
      </c>
    </row>
    <row r="352" spans="2:7" x14ac:dyDescent="0.25" outlineLevel="1" collapsed="1">
      <c r="B352" s="15" t="s">
        <v>50</v>
      </c>
      <c r="C352" s="20">
        <v>0</v>
      </c>
      <c r="D352" s="20">
        <v>0</v>
      </c>
      <c r="E352" s="20">
        <v>0</v>
      </c>
      <c r="G352" s="21">
        <v>0</v>
      </c>
    </row>
    <row r="353" spans="2:7" x14ac:dyDescent="0.25" outlineLevel="1" collapsed="1">
      <c r="B353" s="15" t="s">
        <v>51</v>
      </c>
      <c r="C353" s="20">
        <v>0</v>
      </c>
      <c r="D353" s="20">
        <v>0</v>
      </c>
      <c r="E353" s="20">
        <v>0</v>
      </c>
      <c r="G353" s="21">
        <v>0</v>
      </c>
    </row>
    <row r="354" spans="2:6" x14ac:dyDescent="0.25">
      <c r="B354" s="22" t="s">
        <v>52</v>
      </c>
      <c r="C354" s="23">
        <f>C350+C351+C352+C353</f>
        <v>35295.38</v>
      </c>
      <c r="D354" s="23">
        <f>D350+D351+D352+D353</f>
        <v>40935.74</v>
      </c>
      <c r="E354" s="23">
        <f>IFERROR(D354-C354,0)</f>
        <v>5640.360000000001</v>
      </c>
      <c r="F354" s="24">
        <f>IFERROR(1-C354/D354,0)</f>
        <v>0.13778570999327244</v>
      </c>
    </row>
    <row r="356" spans="2:4" s="13" customFormat="1" x14ac:dyDescent="0.25">
      <c r="B356" s="13" t="s">
        <v>64</v>
      </c>
      <c r="D356" s="14" t="s">
        <v>38</v>
      </c>
    </row>
    <row r="357" spans="2:6" x14ac:dyDescent="0.25" outlineLevel="1" collapsed="1">
      <c r="B357" s="15" t="s">
        <v>42</v>
      </c>
      <c r="C357" s="16">
        <f>'LED Cost Sheet'!T31</f>
        <v>7117.15</v>
      </c>
      <c r="D357" s="16">
        <f>'LED Cost Sheet'!V31</f>
        <v>8373.12</v>
      </c>
      <c r="E357" s="16">
        <f>IFERROR(D357-C357,0)</f>
        <v>1255.97</v>
      </c>
      <c r="F357" s="17">
        <v>0.15</v>
      </c>
    </row>
    <row r="358" spans="2:6" x14ac:dyDescent="0.25" outlineLevel="1" collapsed="1">
      <c r="B358" s="15" t="s">
        <v>43</v>
      </c>
      <c r="C358" s="16">
        <f>'ELEV LOBBY28 - Install'!I26</f>
        <v>277.5</v>
      </c>
      <c r="D358" s="16">
        <f>IFERROR(C358/(1-F358),0)</f>
        <v>326.47</v>
      </c>
      <c r="E358" s="16">
        <f>IFERROR(D358-C358,0)</f>
        <v>48.97</v>
      </c>
      <c r="F358" s="17">
        <v>0.15</v>
      </c>
    </row>
    <row r="359" spans="2:6" x14ac:dyDescent="0.25" outlineLevel="1" collapsed="1">
      <c r="B359" s="15" t="s">
        <v>44</v>
      </c>
      <c r="C359" s="16">
        <f>'ELEV LOBBY28 - Install'!I35-'ELEV LOBBY28 - Install'!I34</f>
        <v>1156.25</v>
      </c>
      <c r="D359" s="16">
        <f>IFERROR(C359/(1-F359),0)</f>
        <v>1360.29</v>
      </c>
      <c r="E359" s="16">
        <f>IFERROR(D359-C359,0)</f>
        <v>204.04</v>
      </c>
      <c r="F359" s="17">
        <v>0.15</v>
      </c>
    </row>
    <row r="360" spans="2:6" x14ac:dyDescent="0.25" outlineLevel="1" collapsed="1">
      <c r="B360" s="15" t="s">
        <v>45</v>
      </c>
      <c r="C360" s="16">
        <f>'ELEV LOBBY28 - Install'!I44</f>
        <v>1156.25</v>
      </c>
      <c r="D360" s="16">
        <f>IFERROR(C360/(1-F360),0)</f>
        <v>1360.29</v>
      </c>
      <c r="E360" s="16">
        <f>IFERROR(D360-C360,0)</f>
        <v>204.04</v>
      </c>
      <c r="F360" s="17">
        <v>0.15</v>
      </c>
    </row>
    <row r="361" spans="2:6" x14ac:dyDescent="0.25" outlineLevel="1" collapsed="1">
      <c r="B361" s="15" t="s">
        <v>46</v>
      </c>
      <c r="C361" s="16">
        <f>'ELEV LOBBY28 - Install'!I34</f>
        <v>20882.35</v>
      </c>
      <c r="D361" s="16">
        <f>IFERROR(C361/(1-F361),0)</f>
        <v>24567.47</v>
      </c>
      <c r="E361" s="16">
        <f>IFERROR(D361-C361,0)</f>
        <v>3685.12</v>
      </c>
      <c r="F361" s="17">
        <v>0.15</v>
      </c>
    </row>
    <row r="362" spans="2:6" x14ac:dyDescent="0.25" outlineLevel="1" collapsed="1">
      <c r="B362" s="15" t="s">
        <v>47</v>
      </c>
      <c r="C362" s="16">
        <f>'ELEV LOBBY28 - Install'!I52</f>
        <v>4705.88</v>
      </c>
      <c r="D362" s="16">
        <f>IFERROR(C362/(1-F362),0)</f>
        <v>5536.33</v>
      </c>
      <c r="E362" s="16">
        <f>IFERROR(D362-C362,0)</f>
        <v>830.45</v>
      </c>
      <c r="F362" s="17">
        <v>0.15</v>
      </c>
    </row>
    <row r="363" spans="2:6" x14ac:dyDescent="0.25" outlineLevel="1" collapsed="1">
      <c r="B363" s="4" t="s">
        <v>48</v>
      </c>
      <c r="C363" s="18">
        <f>SUM(C357:C362)</f>
        <v>35295.38</v>
      </c>
      <c r="D363" s="18">
        <f>SUM(D357:D362)</f>
        <v>40935.74</v>
      </c>
      <c r="E363" s="18">
        <f>IFERROR(D363-C363,0)</f>
        <v>5640.36</v>
      </c>
      <c r="F363" s="19">
        <f>IFERROR(1-C363/D363,0)</f>
        <v>0.137786</v>
      </c>
    </row>
    <row r="364" spans="2:7" x14ac:dyDescent="0.25" outlineLevel="1" collapsed="1">
      <c r="B364" s="15" t="s">
        <v>49</v>
      </c>
      <c r="C364" s="20">
        <v>0</v>
      </c>
      <c r="D364" s="20">
        <v>0</v>
      </c>
      <c r="E364" s="20">
        <v>0</v>
      </c>
      <c r="G364" s="21">
        <v>0</v>
      </c>
    </row>
    <row r="365" spans="2:7" x14ac:dyDescent="0.25" outlineLevel="1" collapsed="1">
      <c r="B365" s="15" t="s">
        <v>50</v>
      </c>
      <c r="C365" s="20">
        <v>0</v>
      </c>
      <c r="D365" s="20">
        <v>0</v>
      </c>
      <c r="E365" s="20">
        <v>0</v>
      </c>
      <c r="G365" s="21">
        <v>0</v>
      </c>
    </row>
    <row r="366" spans="2:7" x14ac:dyDescent="0.25" outlineLevel="1" collapsed="1">
      <c r="B366" s="15" t="s">
        <v>51</v>
      </c>
      <c r="C366" s="20">
        <v>0</v>
      </c>
      <c r="D366" s="20">
        <v>0</v>
      </c>
      <c r="E366" s="20">
        <v>0</v>
      </c>
      <c r="G366" s="21">
        <v>0</v>
      </c>
    </row>
    <row r="367" spans="2:6" x14ac:dyDescent="0.25">
      <c r="B367" s="22" t="s">
        <v>52</v>
      </c>
      <c r="C367" s="23">
        <f>C363+C364+C365+C366</f>
        <v>35295.38</v>
      </c>
      <c r="D367" s="23">
        <f>D363+D364+D365+D366</f>
        <v>40935.74</v>
      </c>
      <c r="E367" s="23">
        <f>IFERROR(D367-C367,0)</f>
        <v>5640.360000000001</v>
      </c>
      <c r="F367" s="24">
        <f>IFERROR(1-C367/D367,0)</f>
        <v>0.13778570999327244</v>
      </c>
    </row>
    <row r="369" spans="2:4" s="13" customFormat="1" x14ac:dyDescent="0.25">
      <c r="B369" s="13" t="s">
        <v>65</v>
      </c>
      <c r="D369" s="14" t="s">
        <v>38</v>
      </c>
    </row>
    <row r="370" spans="2:6" x14ac:dyDescent="0.25" outlineLevel="1" collapsed="1">
      <c r="B370" s="15" t="s">
        <v>42</v>
      </c>
      <c r="C370" s="16">
        <f>'LED Cost Sheet'!T32</f>
        <v>38892.87</v>
      </c>
      <c r="D370" s="16">
        <f>'LED Cost Sheet'!V32</f>
        <v>45756.32</v>
      </c>
      <c r="E370" s="16">
        <f>IFERROR(D370-C370,0)</f>
        <v>6863.45</v>
      </c>
      <c r="F370" s="17">
        <v>0.15</v>
      </c>
    </row>
    <row r="371" spans="2:6" x14ac:dyDescent="0.25" outlineLevel="1" collapsed="1">
      <c r="B371" s="15" t="s">
        <v>43</v>
      </c>
      <c r="C371" s="16">
        <f>'NORTH CLUB29 - Install'!I26</f>
        <v>1657.5</v>
      </c>
      <c r="D371" s="16">
        <f>IFERROR(C371/(1-F371),0)</f>
        <v>1950</v>
      </c>
      <c r="E371" s="16">
        <f>IFERROR(D371-C371,0)</f>
        <v>292.5</v>
      </c>
      <c r="F371" s="17">
        <v>0.15</v>
      </c>
    </row>
    <row r="372" spans="2:6" x14ac:dyDescent="0.25" outlineLevel="1" collapsed="1">
      <c r="B372" s="15" t="s">
        <v>44</v>
      </c>
      <c r="C372" s="16">
        <f>'NORTH CLUB29 - Install'!I35-'NORTH CLUB29 - Install'!I34</f>
        <v>6906.25</v>
      </c>
      <c r="D372" s="16">
        <f>IFERROR(C372/(1-F372),0)</f>
        <v>8125</v>
      </c>
      <c r="E372" s="16">
        <f>IFERROR(D372-C372,0)</f>
        <v>1218.75</v>
      </c>
      <c r="F372" s="17">
        <v>0.15</v>
      </c>
    </row>
    <row r="373" spans="2:6" x14ac:dyDescent="0.25" outlineLevel="1" collapsed="1">
      <c r="B373" s="15" t="s">
        <v>45</v>
      </c>
      <c r="C373" s="16">
        <f>'NORTH CLUB29 - Install'!I44</f>
        <v>6906.25</v>
      </c>
      <c r="D373" s="16">
        <f>IFERROR(C373/(1-F373),0)</f>
        <v>8125</v>
      </c>
      <c r="E373" s="16">
        <f>IFERROR(D373-C373,0)</f>
        <v>1218.75</v>
      </c>
      <c r="F373" s="17">
        <v>0.15</v>
      </c>
    </row>
    <row r="374" spans="2:6" x14ac:dyDescent="0.25" outlineLevel="1" collapsed="1">
      <c r="B374" s="15" t="s">
        <v>46</v>
      </c>
      <c r="C374" s="16">
        <f>'NORTH CLUB29 - Install'!I34</f>
        <v>20882.35</v>
      </c>
      <c r="D374" s="16">
        <f>IFERROR(C374/(1-F374),0)</f>
        <v>24567.47</v>
      </c>
      <c r="E374" s="16">
        <f>IFERROR(D374-C374,0)</f>
        <v>3685.12</v>
      </c>
      <c r="F374" s="17">
        <v>0.15</v>
      </c>
    </row>
    <row r="375" spans="2:6" x14ac:dyDescent="0.25" outlineLevel="1" collapsed="1">
      <c r="B375" s="15" t="s">
        <v>47</v>
      </c>
      <c r="C375" s="16">
        <f>'NORTH CLUB29 - Install'!I52</f>
        <v>4705.88</v>
      </c>
      <c r="D375" s="16">
        <f>IFERROR(C375/(1-F375),0)</f>
        <v>5536.33</v>
      </c>
      <c r="E375" s="16">
        <f>IFERROR(D375-C375,0)</f>
        <v>830.45</v>
      </c>
      <c r="F375" s="17">
        <v>0.15</v>
      </c>
    </row>
    <row r="376" spans="2:6" x14ac:dyDescent="0.25" outlineLevel="1" collapsed="1">
      <c r="B376" s="4" t="s">
        <v>48</v>
      </c>
      <c r="C376" s="18">
        <f>SUM(C370:C375)</f>
        <v>79951.1</v>
      </c>
      <c r="D376" s="18">
        <f>SUM(D370:D375)</f>
        <v>92366</v>
      </c>
      <c r="E376" s="18">
        <f>IFERROR(D376-C376,0)</f>
        <v>12414.9</v>
      </c>
      <c r="F376" s="19">
        <f>IFERROR(1-C376/D376,0)</f>
        <v>0.13441</v>
      </c>
    </row>
    <row r="377" spans="2:7" x14ac:dyDescent="0.25" outlineLevel="1" collapsed="1">
      <c r="B377" s="15" t="s">
        <v>49</v>
      </c>
      <c r="C377" s="20">
        <v>0</v>
      </c>
      <c r="D377" s="20">
        <v>0</v>
      </c>
      <c r="E377" s="20">
        <v>0</v>
      </c>
      <c r="G377" s="21">
        <v>0</v>
      </c>
    </row>
    <row r="378" spans="2:7" x14ac:dyDescent="0.25" outlineLevel="1" collapsed="1">
      <c r="B378" s="15" t="s">
        <v>50</v>
      </c>
      <c r="C378" s="20">
        <v>0</v>
      </c>
      <c r="D378" s="20">
        <v>0</v>
      </c>
      <c r="E378" s="20">
        <v>0</v>
      </c>
      <c r="G378" s="21">
        <v>0</v>
      </c>
    </row>
    <row r="379" spans="2:7" x14ac:dyDescent="0.25" outlineLevel="1" collapsed="1">
      <c r="B379" s="15" t="s">
        <v>51</v>
      </c>
      <c r="C379" s="20">
        <v>0</v>
      </c>
      <c r="D379" s="20">
        <v>0</v>
      </c>
      <c r="E379" s="20">
        <v>0</v>
      </c>
      <c r="G379" s="21">
        <v>0</v>
      </c>
    </row>
    <row r="380" spans="2:6" x14ac:dyDescent="0.25">
      <c r="B380" s="22" t="s">
        <v>52</v>
      </c>
      <c r="C380" s="23">
        <f>C376+C377+C378+C379</f>
        <v>79951.1</v>
      </c>
      <c r="D380" s="23">
        <f>D376+D377+D378+D379</f>
        <v>92366</v>
      </c>
      <c r="E380" s="23">
        <f>IFERROR(D380-C380,0)</f>
        <v>12414.899999999994</v>
      </c>
      <c r="F380" s="24">
        <f>IFERROR(1-C380/D380,0)</f>
        <v>0.13440984777948595</v>
      </c>
    </row>
    <row r="382" spans="2:4" s="13" customFormat="1" x14ac:dyDescent="0.25">
      <c r="B382" s="13" t="s">
        <v>68</v>
      </c>
      <c r="D382" s="14" t="s">
        <v>38</v>
      </c>
    </row>
    <row r="383" spans="2:6" x14ac:dyDescent="0.25" outlineLevel="1" collapsed="1">
      <c r="B383" s="15" t="s">
        <v>42</v>
      </c>
      <c r="C383" s="16">
        <f>'LED Cost Sheet'!T33</f>
        <v>11729.349999999999</v>
      </c>
      <c r="D383" s="16">
        <f>'LED Cost Sheet'!V33</f>
        <v>13799.24</v>
      </c>
      <c r="E383" s="16">
        <f>IFERROR(D383-C383,0)</f>
        <v>2069.89</v>
      </c>
      <c r="F383" s="17">
        <v>0.15</v>
      </c>
    </row>
    <row r="384" spans="2:6" x14ac:dyDescent="0.25" outlineLevel="1" collapsed="1">
      <c r="B384" s="15" t="s">
        <v>43</v>
      </c>
      <c r="C384" s="16">
        <f>'RIBBON NW - Install'!I26</f>
        <v>1619.77</v>
      </c>
      <c r="D384" s="16">
        <f>IFERROR(C384/(1-F384),0)</f>
        <v>1905.61</v>
      </c>
      <c r="E384" s="16">
        <f>IFERROR(D384-C384,0)</f>
        <v>285.84</v>
      </c>
      <c r="F384" s="17">
        <v>0.15</v>
      </c>
    </row>
    <row r="385" spans="2:6" x14ac:dyDescent="0.25" outlineLevel="1" collapsed="1">
      <c r="B385" s="15" t="s">
        <v>44</v>
      </c>
      <c r="C385" s="16">
        <f>'RIBBON NW - Install'!I35-'RIBBON NW - Install'!I34</f>
        <v>11043.92</v>
      </c>
      <c r="D385" s="16">
        <f>IFERROR(C385/(1-F385),0)</f>
        <v>12992.85</v>
      </c>
      <c r="E385" s="16">
        <f>IFERROR(D385-C385,0)</f>
        <v>1948.93</v>
      </c>
      <c r="F385" s="17">
        <v>0.15</v>
      </c>
    </row>
    <row r="386" spans="2:6" x14ac:dyDescent="0.25" outlineLevel="1" collapsed="1">
      <c r="B386" s="15" t="s">
        <v>45</v>
      </c>
      <c r="C386" s="16">
        <f>'RIBBON NW - Install'!I44</f>
        <v>3681.31</v>
      </c>
      <c r="D386" s="16">
        <f>IFERROR(C386/(1-F386),0)</f>
        <v>4330.95</v>
      </c>
      <c r="E386" s="16">
        <f>IFERROR(D386-C386,0)</f>
        <v>649.64</v>
      </c>
      <c r="F386" s="17">
        <v>0.15</v>
      </c>
    </row>
    <row r="387" spans="2:6" x14ac:dyDescent="0.25" outlineLevel="1" collapsed="1">
      <c r="B387" s="15" t="s">
        <v>46</v>
      </c>
      <c r="C387" s="16">
        <f>'RIBBON NW - Install'!I34</f>
        <v>20882.35</v>
      </c>
      <c r="D387" s="16">
        <f>IFERROR(C387/(1-F387),0)</f>
        <v>24567.47</v>
      </c>
      <c r="E387" s="16">
        <f>IFERROR(D387-C387,0)</f>
        <v>3685.12</v>
      </c>
      <c r="F387" s="17">
        <v>0.15</v>
      </c>
    </row>
    <row r="388" spans="2:6" x14ac:dyDescent="0.25" outlineLevel="1" collapsed="1">
      <c r="B388" s="15" t="s">
        <v>47</v>
      </c>
      <c r="C388" s="16">
        <f>'RIBBON NW - Install'!I52</f>
        <v>4705.88</v>
      </c>
      <c r="D388" s="16">
        <f>IFERROR(C388/(1-F388),0)</f>
        <v>5536.33</v>
      </c>
      <c r="E388" s="16">
        <f>IFERROR(D388-C388,0)</f>
        <v>830.45</v>
      </c>
      <c r="F388" s="17">
        <v>0.15</v>
      </c>
    </row>
    <row r="389" spans="2:6" x14ac:dyDescent="0.25" outlineLevel="1" collapsed="1">
      <c r="B389" s="4" t="s">
        <v>48</v>
      </c>
      <c r="C389" s="18">
        <f>SUM(C383:C388)</f>
        <v>53662.58</v>
      </c>
      <c r="D389" s="18">
        <f>SUM(D383:D388)</f>
        <v>62426.56</v>
      </c>
      <c r="E389" s="18">
        <f>IFERROR(D389-C389,0)</f>
        <v>8763.98</v>
      </c>
      <c r="F389" s="19">
        <f>IFERROR(1-C389/D389,0)</f>
        <v>0.140389</v>
      </c>
    </row>
    <row r="390" spans="2:7" x14ac:dyDescent="0.25" outlineLevel="1" collapsed="1">
      <c r="B390" s="15" t="s">
        <v>49</v>
      </c>
      <c r="C390" s="20">
        <v>0</v>
      </c>
      <c r="D390" s="20">
        <v>0</v>
      </c>
      <c r="E390" s="20">
        <v>0</v>
      </c>
      <c r="G390" s="21">
        <v>0</v>
      </c>
    </row>
    <row r="391" spans="2:7" x14ac:dyDescent="0.25" outlineLevel="1" collapsed="1">
      <c r="B391" s="15" t="s">
        <v>50</v>
      </c>
      <c r="C391" s="20">
        <v>0</v>
      </c>
      <c r="D391" s="20">
        <v>0</v>
      </c>
      <c r="E391" s="20">
        <v>0</v>
      </c>
      <c r="G391" s="21">
        <v>0</v>
      </c>
    </row>
    <row r="392" spans="2:7" x14ac:dyDescent="0.25" outlineLevel="1" collapsed="1">
      <c r="B392" s="15" t="s">
        <v>51</v>
      </c>
      <c r="C392" s="20">
        <v>0</v>
      </c>
      <c r="D392" s="20">
        <v>0</v>
      </c>
      <c r="E392" s="20">
        <v>0</v>
      </c>
      <c r="G392" s="21">
        <v>0</v>
      </c>
    </row>
    <row r="393" spans="2:6" x14ac:dyDescent="0.25">
      <c r="B393" s="22" t="s">
        <v>52</v>
      </c>
      <c r="C393" s="23">
        <f>C389+C390+C391+C392</f>
        <v>53662.58</v>
      </c>
      <c r="D393" s="23">
        <f>D389+D390+D391+D392</f>
        <v>62426.56</v>
      </c>
      <c r="E393" s="23">
        <f>IFERROR(D393-C393,0)</f>
        <v>8763.979999999996</v>
      </c>
      <c r="F393" s="24">
        <f>IFERROR(1-C393/D393,0)</f>
        <v>0.14038864227021308</v>
      </c>
    </row>
    <row r="395" spans="2:4" s="13" customFormat="1" x14ac:dyDescent="0.25">
      <c r="B395" s="13" t="s">
        <v>68</v>
      </c>
      <c r="D395" s="14" t="s">
        <v>38</v>
      </c>
    </row>
    <row r="396" spans="2:6" x14ac:dyDescent="0.25" outlineLevel="1" collapsed="1">
      <c r="B396" s="15" t="s">
        <v>42</v>
      </c>
      <c r="C396" s="16">
        <f>'LED Cost Sheet'!T34</f>
        <v>11944.439999999999</v>
      </c>
      <c r="D396" s="16">
        <f>'LED Cost Sheet'!V34</f>
        <v>14052.28</v>
      </c>
      <c r="E396" s="16">
        <f>IFERROR(D396-C396,0)</f>
        <v>2107.84</v>
      </c>
      <c r="F396" s="17">
        <v>0.15</v>
      </c>
    </row>
    <row r="397" spans="2:6" x14ac:dyDescent="0.25" outlineLevel="1" collapsed="1">
      <c r="B397" s="15" t="s">
        <v>43</v>
      </c>
      <c r="C397" s="16">
        <f>'RIBBON NW31 - Install'!I26</f>
        <v>2794.17</v>
      </c>
      <c r="D397" s="16">
        <f>IFERROR(C397/(1-F397),0)</f>
        <v>3287.26</v>
      </c>
      <c r="E397" s="16">
        <f>IFERROR(D397-C397,0)</f>
        <v>493.09</v>
      </c>
      <c r="F397" s="17">
        <v>0.15</v>
      </c>
    </row>
    <row r="398" spans="2:6" x14ac:dyDescent="0.25" outlineLevel="1" collapsed="1">
      <c r="B398" s="15" t="s">
        <v>44</v>
      </c>
      <c r="C398" s="16">
        <f>'RIBBON NW31 - Install'!I35-'RIBBON NW31 - Install'!I34</f>
        <v>7620.45</v>
      </c>
      <c r="D398" s="16">
        <f>IFERROR(C398/(1-F398),0)</f>
        <v>8965.24</v>
      </c>
      <c r="E398" s="16">
        <f>IFERROR(D398-C398,0)</f>
        <v>1344.79</v>
      </c>
      <c r="F398" s="17">
        <v>0.15</v>
      </c>
    </row>
    <row r="399" spans="2:6" x14ac:dyDescent="0.25" outlineLevel="1" collapsed="1">
      <c r="B399" s="15" t="s">
        <v>45</v>
      </c>
      <c r="C399" s="16">
        <f>'RIBBON NW31 - Install'!I44</f>
        <v>6350.38</v>
      </c>
      <c r="D399" s="16">
        <f>IFERROR(C399/(1-F399),0)</f>
        <v>7471.04</v>
      </c>
      <c r="E399" s="16">
        <f>IFERROR(D399-C399,0)</f>
        <v>1120.66</v>
      </c>
      <c r="F399" s="17">
        <v>0.15</v>
      </c>
    </row>
    <row r="400" spans="2:6" x14ac:dyDescent="0.25" outlineLevel="1" collapsed="1">
      <c r="B400" s="15" t="s">
        <v>46</v>
      </c>
      <c r="C400" s="16">
        <f>'RIBBON NW31 - Install'!I34</f>
        <v>20882.35</v>
      </c>
      <c r="D400" s="16">
        <f>IFERROR(C400/(1-F400),0)</f>
        <v>24567.47</v>
      </c>
      <c r="E400" s="16">
        <f>IFERROR(D400-C400,0)</f>
        <v>3685.12</v>
      </c>
      <c r="F400" s="17">
        <v>0.15</v>
      </c>
    </row>
    <row r="401" spans="2:6" x14ac:dyDescent="0.25" outlineLevel="1" collapsed="1">
      <c r="B401" s="15" t="s">
        <v>47</v>
      </c>
      <c r="C401" s="16">
        <f>'RIBBON NW31 - Install'!I52</f>
        <v>4705.88</v>
      </c>
      <c r="D401" s="16">
        <f>IFERROR(C401/(1-F401),0)</f>
        <v>5536.33</v>
      </c>
      <c r="E401" s="16">
        <f>IFERROR(D401-C401,0)</f>
        <v>830.45</v>
      </c>
      <c r="F401" s="17">
        <v>0.15</v>
      </c>
    </row>
    <row r="402" spans="2:6" x14ac:dyDescent="0.25" outlineLevel="1" collapsed="1">
      <c r="B402" s="4" t="s">
        <v>48</v>
      </c>
      <c r="C402" s="18">
        <f>SUM(C396:C401)</f>
        <v>54297.67</v>
      </c>
      <c r="D402" s="18">
        <f>SUM(D396:D401)</f>
        <v>63156.44</v>
      </c>
      <c r="E402" s="18">
        <f>IFERROR(D402-C402,0)</f>
        <v>8858.77</v>
      </c>
      <c r="F402" s="19">
        <f>IFERROR(1-C402/D402,0)</f>
        <v>0.140267</v>
      </c>
    </row>
    <row r="403" spans="2:7" x14ac:dyDescent="0.25" outlineLevel="1" collapsed="1">
      <c r="B403" s="15" t="s">
        <v>49</v>
      </c>
      <c r="C403" s="20">
        <v>0</v>
      </c>
      <c r="D403" s="20">
        <v>0</v>
      </c>
      <c r="E403" s="20">
        <v>0</v>
      </c>
      <c r="G403" s="21">
        <v>0</v>
      </c>
    </row>
    <row r="404" spans="2:7" x14ac:dyDescent="0.25" outlineLevel="1" collapsed="1">
      <c r="B404" s="15" t="s">
        <v>50</v>
      </c>
      <c r="C404" s="20">
        <v>0</v>
      </c>
      <c r="D404" s="20">
        <v>0</v>
      </c>
      <c r="E404" s="20">
        <v>0</v>
      </c>
      <c r="G404" s="21">
        <v>0</v>
      </c>
    </row>
    <row r="405" spans="2:7" x14ac:dyDescent="0.25" outlineLevel="1" collapsed="1">
      <c r="B405" s="15" t="s">
        <v>51</v>
      </c>
      <c r="C405" s="20">
        <v>0</v>
      </c>
      <c r="D405" s="20">
        <v>0</v>
      </c>
      <c r="E405" s="20">
        <v>0</v>
      </c>
      <c r="G405" s="21">
        <v>0</v>
      </c>
    </row>
    <row r="406" spans="2:6" x14ac:dyDescent="0.25">
      <c r="B406" s="22" t="s">
        <v>52</v>
      </c>
      <c r="C406" s="23">
        <f>C402+C403+C404+C405</f>
        <v>54297.67</v>
      </c>
      <c r="D406" s="23">
        <f>D402+D403+D404+D405</f>
        <v>63156.44</v>
      </c>
      <c r="E406" s="23">
        <f>IFERROR(D406-C406,0)</f>
        <v>8858.770000000004</v>
      </c>
      <c r="F406" s="24">
        <f>IFERROR(1-C406/D406,0)</f>
        <v>0.14026708915195352</v>
      </c>
    </row>
    <row r="408" spans="2:4" s="13" customFormat="1" x14ac:dyDescent="0.25">
      <c r="B408" s="13" t="s">
        <v>68</v>
      </c>
      <c r="D408" s="14" t="s">
        <v>38</v>
      </c>
    </row>
    <row r="409" spans="2:6" x14ac:dyDescent="0.25" outlineLevel="1" collapsed="1">
      <c r="B409" s="15" t="s">
        <v>42</v>
      </c>
      <c r="C409" s="16">
        <f>'LED Cost Sheet'!T35</f>
        <v>18406.05</v>
      </c>
      <c r="D409" s="16">
        <f>'LED Cost Sheet'!V35</f>
        <v>21654.18</v>
      </c>
      <c r="E409" s="16">
        <f>IFERROR(D409-C409,0)</f>
        <v>3248.13</v>
      </c>
      <c r="F409" s="17">
        <v>0.15</v>
      </c>
    </row>
    <row r="410" spans="2:6" x14ac:dyDescent="0.25" outlineLevel="1" collapsed="1">
      <c r="B410" s="15" t="s">
        <v>43</v>
      </c>
      <c r="C410" s="16">
        <f>'RIBBON NW32 - Install'!I26</f>
        <v>4795</v>
      </c>
      <c r="D410" s="16">
        <f>IFERROR(C410/(1-F410),0)</f>
        <v>5641.18</v>
      </c>
      <c r="E410" s="16">
        <f>IFERROR(D410-C410,0)</f>
        <v>846.18</v>
      </c>
      <c r="F410" s="17">
        <v>0.15</v>
      </c>
    </row>
    <row r="411" spans="2:6" x14ac:dyDescent="0.25" outlineLevel="1" collapsed="1">
      <c r="B411" s="15" t="s">
        <v>44</v>
      </c>
      <c r="C411" s="16">
        <f>'RIBBON NW32 - Install'!I35-'RIBBON NW32 - Install'!I34</f>
        <v>13077.27</v>
      </c>
      <c r="D411" s="16">
        <f>IFERROR(C411/(1-F411),0)</f>
        <v>15385.02</v>
      </c>
      <c r="E411" s="16">
        <f>IFERROR(D411-C411,0)</f>
        <v>2307.75</v>
      </c>
      <c r="F411" s="17">
        <v>0.15</v>
      </c>
    </row>
    <row r="412" spans="2:6" x14ac:dyDescent="0.25" outlineLevel="1" collapsed="1">
      <c r="B412" s="15" t="s">
        <v>45</v>
      </c>
      <c r="C412" s="16">
        <f>'RIBBON NW32 - Install'!I44</f>
        <v>10897.73</v>
      </c>
      <c r="D412" s="16">
        <f>IFERROR(C412/(1-F412),0)</f>
        <v>12820.86</v>
      </c>
      <c r="E412" s="16">
        <f>IFERROR(D412-C412,0)</f>
        <v>1923.13</v>
      </c>
      <c r="F412" s="17">
        <v>0.15</v>
      </c>
    </row>
    <row r="413" spans="2:6" x14ac:dyDescent="0.25" outlineLevel="1" collapsed="1">
      <c r="B413" s="15" t="s">
        <v>46</v>
      </c>
      <c r="C413" s="16">
        <f>'RIBBON NW32 - Install'!I34</f>
        <v>20882.35</v>
      </c>
      <c r="D413" s="16">
        <f>IFERROR(C413/(1-F413),0)</f>
        <v>24567.47</v>
      </c>
      <c r="E413" s="16">
        <f>IFERROR(D413-C413,0)</f>
        <v>3685.12</v>
      </c>
      <c r="F413" s="17">
        <v>0.15</v>
      </c>
    </row>
    <row r="414" spans="2:6" x14ac:dyDescent="0.25" outlineLevel="1" collapsed="1">
      <c r="B414" s="15" t="s">
        <v>47</v>
      </c>
      <c r="C414" s="16">
        <f>'RIBBON NW32 - Install'!I52</f>
        <v>4705.88</v>
      </c>
      <c r="D414" s="16">
        <f>IFERROR(C414/(1-F414),0)</f>
        <v>5536.33</v>
      </c>
      <c r="E414" s="16">
        <f>IFERROR(D414-C414,0)</f>
        <v>830.45</v>
      </c>
      <c r="F414" s="17">
        <v>0.15</v>
      </c>
    </row>
    <row r="415" spans="2:6" x14ac:dyDescent="0.25" outlineLevel="1" collapsed="1">
      <c r="B415" s="4" t="s">
        <v>48</v>
      </c>
      <c r="C415" s="18">
        <f>SUM(C409:C414)</f>
        <v>72764.28</v>
      </c>
      <c r="D415" s="18">
        <f>SUM(D409:D414)</f>
        <v>84362.33</v>
      </c>
      <c r="E415" s="18">
        <f>IFERROR(D415-C415,0)</f>
        <v>11598.05</v>
      </c>
      <c r="F415" s="19">
        <f>IFERROR(1-C415/D415,0)</f>
        <v>0.137479</v>
      </c>
    </row>
    <row r="416" spans="2:7" x14ac:dyDescent="0.25" outlineLevel="1" collapsed="1">
      <c r="B416" s="15" t="s">
        <v>49</v>
      </c>
      <c r="C416" s="20">
        <v>0</v>
      </c>
      <c r="D416" s="20">
        <v>0</v>
      </c>
      <c r="E416" s="20">
        <v>0</v>
      </c>
      <c r="G416" s="21">
        <v>0</v>
      </c>
    </row>
    <row r="417" spans="2:7" x14ac:dyDescent="0.25" outlineLevel="1" collapsed="1">
      <c r="B417" s="15" t="s">
        <v>50</v>
      </c>
      <c r="C417" s="20">
        <v>0</v>
      </c>
      <c r="D417" s="20">
        <v>0</v>
      </c>
      <c r="E417" s="20">
        <v>0</v>
      </c>
      <c r="G417" s="21">
        <v>0</v>
      </c>
    </row>
    <row r="418" spans="2:7" x14ac:dyDescent="0.25" outlineLevel="1" collapsed="1">
      <c r="B418" s="15" t="s">
        <v>51</v>
      </c>
      <c r="C418" s="20">
        <v>0</v>
      </c>
      <c r="D418" s="20">
        <v>0</v>
      </c>
      <c r="E418" s="20">
        <v>0</v>
      </c>
      <c r="G418" s="21">
        <v>0</v>
      </c>
    </row>
    <row r="419" spans="2:6" x14ac:dyDescent="0.25">
      <c r="B419" s="22" t="s">
        <v>52</v>
      </c>
      <c r="C419" s="23">
        <f>C415+C416+C417+C418</f>
        <v>72764.28</v>
      </c>
      <c r="D419" s="23">
        <f>D415+D416+D417+D418</f>
        <v>84362.33</v>
      </c>
      <c r="E419" s="23">
        <f>IFERROR(D419-C419,0)</f>
        <v>11598.050000000003</v>
      </c>
      <c r="F419" s="24">
        <f>IFERROR(1-C419/D419,0)</f>
        <v>0.137479014626552</v>
      </c>
    </row>
    <row r="421" spans="2:4" s="13" customFormat="1" x14ac:dyDescent="0.25">
      <c r="B421" s="13" t="s">
        <v>68</v>
      </c>
      <c r="D421" s="14" t="s">
        <v>38</v>
      </c>
    </row>
    <row r="422" spans="2:6" x14ac:dyDescent="0.25" outlineLevel="1" collapsed="1">
      <c r="B422" s="15" t="s">
        <v>42</v>
      </c>
      <c r="C422" s="16">
        <f>'LED Cost Sheet'!T36</f>
        <v>18449.94</v>
      </c>
      <c r="D422" s="16">
        <f>'LED Cost Sheet'!V36</f>
        <v>21705.81</v>
      </c>
      <c r="E422" s="16">
        <f>IFERROR(D422-C422,0)</f>
        <v>3255.87</v>
      </c>
      <c r="F422" s="17">
        <v>0.15</v>
      </c>
    </row>
    <row r="423" spans="2:6" x14ac:dyDescent="0.25" outlineLevel="1" collapsed="1">
      <c r="B423" s="15" t="s">
        <v>43</v>
      </c>
      <c r="C423" s="16">
        <f>'RIBBON NW33 - Install'!I26</f>
        <v>4806.67</v>
      </c>
      <c r="D423" s="16">
        <f>IFERROR(C423/(1-F423),0)</f>
        <v>5654.91</v>
      </c>
      <c r="E423" s="16">
        <f>IFERROR(D423-C423,0)</f>
        <v>848.24</v>
      </c>
      <c r="F423" s="17">
        <v>0.15</v>
      </c>
    </row>
    <row r="424" spans="2:6" x14ac:dyDescent="0.25" outlineLevel="1" collapsed="1">
      <c r="B424" s="15" t="s">
        <v>44</v>
      </c>
      <c r="C424" s="16">
        <f>'RIBBON NW33 - Install'!I35-'RIBBON NW33 - Install'!I34</f>
        <v>13109.09</v>
      </c>
      <c r="D424" s="16">
        <f>IFERROR(C424/(1-F424),0)</f>
        <v>15422.46</v>
      </c>
      <c r="E424" s="16">
        <f>IFERROR(D424-C424,0)</f>
        <v>2313.37</v>
      </c>
      <c r="F424" s="17">
        <v>0.15</v>
      </c>
    </row>
    <row r="425" spans="2:6" x14ac:dyDescent="0.25" outlineLevel="1" collapsed="1">
      <c r="B425" s="15" t="s">
        <v>45</v>
      </c>
      <c r="C425" s="16">
        <f>'RIBBON NW33 - Install'!I44</f>
        <v>10924.24</v>
      </c>
      <c r="D425" s="16">
        <f>IFERROR(C425/(1-F425),0)</f>
        <v>12852.05</v>
      </c>
      <c r="E425" s="16">
        <f>IFERROR(D425-C425,0)</f>
        <v>1927.81</v>
      </c>
      <c r="F425" s="17">
        <v>0.15</v>
      </c>
    </row>
    <row r="426" spans="2:6" x14ac:dyDescent="0.25" outlineLevel="1" collapsed="1">
      <c r="B426" s="15" t="s">
        <v>46</v>
      </c>
      <c r="C426" s="16">
        <f>'RIBBON NW33 - Install'!I34</f>
        <v>20882.35</v>
      </c>
      <c r="D426" s="16">
        <f>IFERROR(C426/(1-F426),0)</f>
        <v>24567.47</v>
      </c>
      <c r="E426" s="16">
        <f>IFERROR(D426-C426,0)</f>
        <v>3685.12</v>
      </c>
      <c r="F426" s="17">
        <v>0.15</v>
      </c>
    </row>
    <row r="427" spans="2:6" x14ac:dyDescent="0.25" outlineLevel="1" collapsed="1">
      <c r="B427" s="15" t="s">
        <v>47</v>
      </c>
      <c r="C427" s="16">
        <f>'RIBBON NW33 - Install'!I52</f>
        <v>4705.88</v>
      </c>
      <c r="D427" s="16">
        <f>IFERROR(C427/(1-F427),0)</f>
        <v>5536.33</v>
      </c>
      <c r="E427" s="16">
        <f>IFERROR(D427-C427,0)</f>
        <v>830.45</v>
      </c>
      <c r="F427" s="17">
        <v>0.15</v>
      </c>
    </row>
    <row r="428" spans="2:6" x14ac:dyDescent="0.25" outlineLevel="1" collapsed="1">
      <c r="B428" s="4" t="s">
        <v>48</v>
      </c>
      <c r="C428" s="18">
        <f>SUM(C422:C427)</f>
        <v>72878.17</v>
      </c>
      <c r="D428" s="18">
        <f>SUM(D422:D427)</f>
        <v>84492.79</v>
      </c>
      <c r="E428" s="18">
        <f>IFERROR(D428-C428,0)</f>
        <v>11614.62</v>
      </c>
      <c r="F428" s="19">
        <f>IFERROR(1-C428/D428,0)</f>
        <v>0.137463</v>
      </c>
    </row>
    <row r="429" spans="2:7" x14ac:dyDescent="0.25" outlineLevel="1" collapsed="1">
      <c r="B429" s="15" t="s">
        <v>49</v>
      </c>
      <c r="C429" s="20">
        <v>0</v>
      </c>
      <c r="D429" s="20">
        <v>0</v>
      </c>
      <c r="E429" s="20">
        <v>0</v>
      </c>
      <c r="G429" s="21">
        <v>0</v>
      </c>
    </row>
    <row r="430" spans="2:7" x14ac:dyDescent="0.25" outlineLevel="1" collapsed="1">
      <c r="B430" s="15" t="s">
        <v>50</v>
      </c>
      <c r="C430" s="20">
        <v>0</v>
      </c>
      <c r="D430" s="20">
        <v>0</v>
      </c>
      <c r="E430" s="20">
        <v>0</v>
      </c>
      <c r="G430" s="21">
        <v>0</v>
      </c>
    </row>
    <row r="431" spans="2:7" x14ac:dyDescent="0.25" outlineLevel="1" collapsed="1">
      <c r="B431" s="15" t="s">
        <v>51</v>
      </c>
      <c r="C431" s="20">
        <v>0</v>
      </c>
      <c r="D431" s="20">
        <v>0</v>
      </c>
      <c r="E431" s="20">
        <v>0</v>
      </c>
      <c r="G431" s="21">
        <v>0</v>
      </c>
    </row>
    <row r="432" spans="2:6" x14ac:dyDescent="0.25">
      <c r="B432" s="22" t="s">
        <v>52</v>
      </c>
      <c r="C432" s="23">
        <f>C428+C429+C430+C431</f>
        <v>72878.17</v>
      </c>
      <c r="D432" s="23">
        <f>D428+D429+D430+D431</f>
        <v>84492.79</v>
      </c>
      <c r="E432" s="23">
        <f>IFERROR(D432-C432,0)</f>
        <v>11614.619999999995</v>
      </c>
      <c r="F432" s="24">
        <f>IFERROR(1-C432/D432,0)</f>
        <v>0.1374628533393204</v>
      </c>
    </row>
    <row r="434" spans="2:4" s="13" customFormat="1" x14ac:dyDescent="0.25">
      <c r="B434" s="13" t="s">
        <v>69</v>
      </c>
      <c r="D434" s="14" t="s">
        <v>38</v>
      </c>
    </row>
    <row r="435" spans="2:6" x14ac:dyDescent="0.25" outlineLevel="1" collapsed="1">
      <c r="B435" s="15" t="s">
        <v>42</v>
      </c>
      <c r="C435" s="16">
        <f>'LED Cost Sheet'!T37</f>
        <v>23675.120000000003</v>
      </c>
      <c r="D435" s="16">
        <f>'LED Cost Sheet'!V37</f>
        <v>27853.08</v>
      </c>
      <c r="E435" s="16">
        <f>IFERROR(D435-C435,0)</f>
        <v>4177.96</v>
      </c>
      <c r="F435" s="17">
        <v>0.15</v>
      </c>
    </row>
    <row r="436" spans="2:6" x14ac:dyDescent="0.25" outlineLevel="1" collapsed="1">
      <c r="B436" s="15" t="s">
        <v>43</v>
      </c>
      <c r="C436" s="16">
        <f>'RIBBON SW - Install'!I26</f>
        <v>3843.06</v>
      </c>
      <c r="D436" s="16">
        <f>IFERROR(C436/(1-F436),0)</f>
        <v>4521.25</v>
      </c>
      <c r="E436" s="16">
        <f>IFERROR(D436-C436,0)</f>
        <v>678.19</v>
      </c>
      <c r="F436" s="17">
        <v>0.15</v>
      </c>
    </row>
    <row r="437" spans="2:6" x14ac:dyDescent="0.25" outlineLevel="1" collapsed="1">
      <c r="B437" s="15" t="s">
        <v>44</v>
      </c>
      <c r="C437" s="16">
        <f>'RIBBON SW - Install'!I35-'RIBBON SW - Install'!I34</f>
        <v>26202.7</v>
      </c>
      <c r="D437" s="16">
        <f>IFERROR(C437/(1-F437),0)</f>
        <v>30826.71</v>
      </c>
      <c r="E437" s="16">
        <f>IFERROR(D437-C437,0)</f>
        <v>4624.01</v>
      </c>
      <c r="F437" s="17">
        <v>0.15</v>
      </c>
    </row>
    <row r="438" spans="2:6" x14ac:dyDescent="0.25" outlineLevel="1" collapsed="1">
      <c r="B438" s="15" t="s">
        <v>45</v>
      </c>
      <c r="C438" s="16">
        <f>'RIBBON SW - Install'!I44</f>
        <v>8734.23</v>
      </c>
      <c r="D438" s="16">
        <f>IFERROR(C438/(1-F438),0)</f>
        <v>10275.56</v>
      </c>
      <c r="E438" s="16">
        <f>IFERROR(D438-C438,0)</f>
        <v>1541.33</v>
      </c>
      <c r="F438" s="17">
        <v>0.15</v>
      </c>
    </row>
    <row r="439" spans="2:6" x14ac:dyDescent="0.25" outlineLevel="1" collapsed="1">
      <c r="B439" s="15" t="s">
        <v>46</v>
      </c>
      <c r="C439" s="16">
        <f>'RIBBON SW - Install'!I34</f>
        <v>20882.35</v>
      </c>
      <c r="D439" s="16">
        <f>IFERROR(C439/(1-F439),0)</f>
        <v>24567.47</v>
      </c>
      <c r="E439" s="16">
        <f>IFERROR(D439-C439,0)</f>
        <v>3685.12</v>
      </c>
      <c r="F439" s="17">
        <v>0.15</v>
      </c>
    </row>
    <row r="440" spans="2:6" x14ac:dyDescent="0.25" outlineLevel="1" collapsed="1">
      <c r="B440" s="15" t="s">
        <v>47</v>
      </c>
      <c r="C440" s="16">
        <f>'RIBBON SW - Install'!I52</f>
        <v>4705.88</v>
      </c>
      <c r="D440" s="16">
        <f>IFERROR(C440/(1-F440),0)</f>
        <v>5536.33</v>
      </c>
      <c r="E440" s="16">
        <f>IFERROR(D440-C440,0)</f>
        <v>830.45</v>
      </c>
      <c r="F440" s="17">
        <v>0.15</v>
      </c>
    </row>
    <row r="441" spans="2:6" x14ac:dyDescent="0.25" outlineLevel="1" collapsed="1">
      <c r="B441" s="4" t="s">
        <v>48</v>
      </c>
      <c r="C441" s="18">
        <f>SUM(C435:C440)</f>
        <v>88043.34</v>
      </c>
      <c r="D441" s="18">
        <f>SUM(D435:D440)</f>
        <v>101914.05</v>
      </c>
      <c r="E441" s="18">
        <f>IFERROR(D441-C441,0)</f>
        <v>13870.71</v>
      </c>
      <c r="F441" s="19">
        <f>IFERROR(1-C441/D441,0)</f>
        <v>0.136102</v>
      </c>
    </row>
    <row r="442" spans="2:7" x14ac:dyDescent="0.25" outlineLevel="1" collapsed="1">
      <c r="B442" s="15" t="s">
        <v>49</v>
      </c>
      <c r="C442" s="20">
        <v>0</v>
      </c>
      <c r="D442" s="20">
        <v>0</v>
      </c>
      <c r="E442" s="20">
        <v>0</v>
      </c>
      <c r="G442" s="21">
        <v>0</v>
      </c>
    </row>
    <row r="443" spans="2:7" x14ac:dyDescent="0.25" outlineLevel="1" collapsed="1">
      <c r="B443" s="15" t="s">
        <v>50</v>
      </c>
      <c r="C443" s="20">
        <v>0</v>
      </c>
      <c r="D443" s="20">
        <v>0</v>
      </c>
      <c r="E443" s="20">
        <v>0</v>
      </c>
      <c r="G443" s="21">
        <v>0</v>
      </c>
    </row>
    <row r="444" spans="2:7" x14ac:dyDescent="0.25" outlineLevel="1" collapsed="1">
      <c r="B444" s="15" t="s">
        <v>51</v>
      </c>
      <c r="C444" s="20">
        <v>0</v>
      </c>
      <c r="D444" s="20">
        <v>0</v>
      </c>
      <c r="E444" s="20">
        <v>0</v>
      </c>
      <c r="G444" s="21">
        <v>0</v>
      </c>
    </row>
    <row r="445" spans="2:6" x14ac:dyDescent="0.25">
      <c r="B445" s="22" t="s">
        <v>52</v>
      </c>
      <c r="C445" s="23">
        <f>C441+C442+C443+C444</f>
        <v>88043.34</v>
      </c>
      <c r="D445" s="23">
        <f>D441+D442+D443+D444</f>
        <v>101914.05</v>
      </c>
      <c r="E445" s="23">
        <f>IFERROR(D445-C445,0)</f>
        <v>13870.710000000006</v>
      </c>
      <c r="F445" s="24">
        <f>IFERROR(1-C445/D445,0)</f>
        <v>0.13610203892397565</v>
      </c>
    </row>
    <row r="447" spans="2:4" s="13" customFormat="1" x14ac:dyDescent="0.25">
      <c r="B447" s="13" t="s">
        <v>69</v>
      </c>
      <c r="D447" s="14" t="s">
        <v>38</v>
      </c>
    </row>
    <row r="448" spans="2:6" x14ac:dyDescent="0.25" outlineLevel="1" collapsed="1">
      <c r="B448" s="15" t="s">
        <v>42</v>
      </c>
      <c r="C448" s="16">
        <f>'LED Cost Sheet'!T38</f>
        <v>14942.600000000002</v>
      </c>
      <c r="D448" s="16">
        <f>'LED Cost Sheet'!V38</f>
        <v>17579.53</v>
      </c>
      <c r="E448" s="16">
        <f>IFERROR(D448-C448,0)</f>
        <v>2636.93</v>
      </c>
      <c r="F448" s="17">
        <v>0.15</v>
      </c>
    </row>
    <row r="449" spans="2:6" x14ac:dyDescent="0.25" outlineLevel="1" collapsed="1">
      <c r="B449" s="15" t="s">
        <v>43</v>
      </c>
      <c r="C449" s="16">
        <f>'RIBBON SW35 - Install'!I26</f>
        <v>3745</v>
      </c>
      <c r="D449" s="16">
        <f>IFERROR(C449/(1-F449),0)</f>
        <v>4405.88</v>
      </c>
      <c r="E449" s="16">
        <f>IFERROR(D449-C449,0)</f>
        <v>660.88</v>
      </c>
      <c r="F449" s="17">
        <v>0.15</v>
      </c>
    </row>
    <row r="450" spans="2:6" x14ac:dyDescent="0.25" outlineLevel="1" collapsed="1">
      <c r="B450" s="15" t="s">
        <v>44</v>
      </c>
      <c r="C450" s="16">
        <f>'RIBBON SW35 - Install'!I35-'RIBBON SW35 - Install'!I34</f>
        <v>10213.64</v>
      </c>
      <c r="D450" s="16">
        <f>IFERROR(C450/(1-F450),0)</f>
        <v>12016.05</v>
      </c>
      <c r="E450" s="16">
        <f>IFERROR(D450-C450,0)</f>
        <v>1802.41</v>
      </c>
      <c r="F450" s="17">
        <v>0.15</v>
      </c>
    </row>
    <row r="451" spans="2:6" x14ac:dyDescent="0.25" outlineLevel="1" collapsed="1">
      <c r="B451" s="15" t="s">
        <v>45</v>
      </c>
      <c r="C451" s="16">
        <f>'RIBBON SW35 - Install'!I44</f>
        <v>8511.36</v>
      </c>
      <c r="D451" s="16">
        <f>IFERROR(C451/(1-F451),0)</f>
        <v>10013.36</v>
      </c>
      <c r="E451" s="16">
        <f>IFERROR(D451-C451,0)</f>
        <v>1502</v>
      </c>
      <c r="F451" s="17">
        <v>0.15</v>
      </c>
    </row>
    <row r="452" spans="2:6" x14ac:dyDescent="0.25" outlineLevel="1" collapsed="1">
      <c r="B452" s="15" t="s">
        <v>46</v>
      </c>
      <c r="C452" s="16">
        <f>'RIBBON SW35 - Install'!I34</f>
        <v>20882.35</v>
      </c>
      <c r="D452" s="16">
        <f>IFERROR(C452/(1-F452),0)</f>
        <v>24567.47</v>
      </c>
      <c r="E452" s="16">
        <f>IFERROR(D452-C452,0)</f>
        <v>3685.12</v>
      </c>
      <c r="F452" s="17">
        <v>0.15</v>
      </c>
    </row>
    <row r="453" spans="2:6" x14ac:dyDescent="0.25" outlineLevel="1" collapsed="1">
      <c r="B453" s="15" t="s">
        <v>47</v>
      </c>
      <c r="C453" s="16">
        <f>'RIBBON SW35 - Install'!I52</f>
        <v>4705.88</v>
      </c>
      <c r="D453" s="16">
        <f>IFERROR(C453/(1-F453),0)</f>
        <v>5536.33</v>
      </c>
      <c r="E453" s="16">
        <f>IFERROR(D453-C453,0)</f>
        <v>830.45</v>
      </c>
      <c r="F453" s="17">
        <v>0.15</v>
      </c>
    </row>
    <row r="454" spans="2:6" x14ac:dyDescent="0.25" outlineLevel="1" collapsed="1">
      <c r="B454" s="4" t="s">
        <v>48</v>
      </c>
      <c r="C454" s="18">
        <f>SUM(C448:C453)</f>
        <v>63000.83</v>
      </c>
      <c r="D454" s="18">
        <f>SUM(D448:D453)</f>
        <v>73154.38</v>
      </c>
      <c r="E454" s="18">
        <f>IFERROR(D454-C454,0)</f>
        <v>10153.55</v>
      </c>
      <c r="F454" s="19">
        <f>IFERROR(1-C454/D454,0)</f>
        <v>0.138796</v>
      </c>
    </row>
    <row r="455" spans="2:7" x14ac:dyDescent="0.25" outlineLevel="1" collapsed="1">
      <c r="B455" s="15" t="s">
        <v>49</v>
      </c>
      <c r="C455" s="20">
        <v>0</v>
      </c>
      <c r="D455" s="20">
        <v>0</v>
      </c>
      <c r="E455" s="20">
        <v>0</v>
      </c>
      <c r="G455" s="21">
        <v>0</v>
      </c>
    </row>
    <row r="456" spans="2:7" x14ac:dyDescent="0.25" outlineLevel="1" collapsed="1">
      <c r="B456" s="15" t="s">
        <v>50</v>
      </c>
      <c r="C456" s="20">
        <v>0</v>
      </c>
      <c r="D456" s="20">
        <v>0</v>
      </c>
      <c r="E456" s="20">
        <v>0</v>
      </c>
      <c r="G456" s="21">
        <v>0</v>
      </c>
    </row>
    <row r="457" spans="2:7" x14ac:dyDescent="0.25" outlineLevel="1" collapsed="1">
      <c r="B457" s="15" t="s">
        <v>51</v>
      </c>
      <c r="C457" s="20">
        <v>0</v>
      </c>
      <c r="D457" s="20">
        <v>0</v>
      </c>
      <c r="E457" s="20">
        <v>0</v>
      </c>
      <c r="G457" s="21">
        <v>0</v>
      </c>
    </row>
    <row r="458" spans="2:6" x14ac:dyDescent="0.25">
      <c r="B458" s="22" t="s">
        <v>52</v>
      </c>
      <c r="C458" s="23">
        <f>C454+C455+C456+C457</f>
        <v>63000.83</v>
      </c>
      <c r="D458" s="23">
        <f>D454+D455+D456+D457</f>
        <v>73154.38</v>
      </c>
      <c r="E458" s="23">
        <f>IFERROR(D458-C458,0)</f>
        <v>10153.550000000003</v>
      </c>
      <c r="F458" s="24">
        <f>IFERROR(1-C458/D458,0)</f>
        <v>0.13879620058293163</v>
      </c>
    </row>
    <row r="460" spans="2:4" s="13" customFormat="1" x14ac:dyDescent="0.25">
      <c r="B460" s="13" t="s">
        <v>69</v>
      </c>
      <c r="D460" s="14" t="s">
        <v>38</v>
      </c>
    </row>
    <row r="461" spans="2:6" x14ac:dyDescent="0.25" outlineLevel="1" collapsed="1">
      <c r="B461" s="15" t="s">
        <v>42</v>
      </c>
      <c r="C461" s="16">
        <f>'LED Cost Sheet'!T39</f>
        <v>23558.060000000005</v>
      </c>
      <c r="D461" s="16">
        <f>'LED Cost Sheet'!V39</f>
        <v>27715.36</v>
      </c>
      <c r="E461" s="16">
        <f>IFERROR(D461-C461,0)</f>
        <v>4157.3</v>
      </c>
      <c r="F461" s="17">
        <v>0.15</v>
      </c>
    </row>
    <row r="462" spans="2:6" x14ac:dyDescent="0.25" outlineLevel="1" collapsed="1">
      <c r="B462" s="15" t="s">
        <v>43</v>
      </c>
      <c r="C462" s="16">
        <f>'RIBBON SW36 - Install'!I26</f>
        <v>6428.33</v>
      </c>
      <c r="D462" s="16">
        <f>IFERROR(C462/(1-F462),0)</f>
        <v>7562.74</v>
      </c>
      <c r="E462" s="16">
        <f>IFERROR(D462-C462,0)</f>
        <v>1134.41</v>
      </c>
      <c r="F462" s="17">
        <v>0.15</v>
      </c>
    </row>
    <row r="463" spans="2:6" x14ac:dyDescent="0.25" outlineLevel="1" collapsed="1">
      <c r="B463" s="15" t="s">
        <v>44</v>
      </c>
      <c r="C463" s="16">
        <f>'RIBBON SW36 - Install'!I35-'RIBBON SW36 - Install'!I34</f>
        <v>17531.82</v>
      </c>
      <c r="D463" s="16">
        <f>IFERROR(C463/(1-F463),0)</f>
        <v>20625.67</v>
      </c>
      <c r="E463" s="16">
        <f>IFERROR(D463-C463,0)</f>
        <v>3093.85</v>
      </c>
      <c r="F463" s="17">
        <v>0.15</v>
      </c>
    </row>
    <row r="464" spans="2:6" x14ac:dyDescent="0.25" outlineLevel="1" collapsed="1">
      <c r="B464" s="15" t="s">
        <v>45</v>
      </c>
      <c r="C464" s="16">
        <f>'RIBBON SW36 - Install'!I44</f>
        <v>14609.85</v>
      </c>
      <c r="D464" s="16">
        <f>IFERROR(C464/(1-F464),0)</f>
        <v>17188.06</v>
      </c>
      <c r="E464" s="16">
        <f>IFERROR(D464-C464,0)</f>
        <v>2578.21</v>
      </c>
      <c r="F464" s="17">
        <v>0.15</v>
      </c>
    </row>
    <row r="465" spans="2:6" x14ac:dyDescent="0.25" outlineLevel="1" collapsed="1">
      <c r="B465" s="15" t="s">
        <v>46</v>
      </c>
      <c r="C465" s="16">
        <f>'RIBBON SW36 - Install'!I34</f>
        <v>20882.35</v>
      </c>
      <c r="D465" s="16">
        <f>IFERROR(C465/(1-F465),0)</f>
        <v>24567.47</v>
      </c>
      <c r="E465" s="16">
        <f>IFERROR(D465-C465,0)</f>
        <v>3685.12</v>
      </c>
      <c r="F465" s="17">
        <v>0.15</v>
      </c>
    </row>
    <row r="466" spans="2:6" x14ac:dyDescent="0.25" outlineLevel="1" collapsed="1">
      <c r="B466" s="15" t="s">
        <v>47</v>
      </c>
      <c r="C466" s="16">
        <f>'RIBBON SW36 - Install'!I52</f>
        <v>4705.88</v>
      </c>
      <c r="D466" s="16">
        <f>IFERROR(C466/(1-F466),0)</f>
        <v>5536.33</v>
      </c>
      <c r="E466" s="16">
        <f>IFERROR(D466-C466,0)</f>
        <v>830.45</v>
      </c>
      <c r="F466" s="17">
        <v>0.15</v>
      </c>
    </row>
    <row r="467" spans="2:6" x14ac:dyDescent="0.25" outlineLevel="1" collapsed="1">
      <c r="B467" s="4" t="s">
        <v>48</v>
      </c>
      <c r="C467" s="18">
        <f>SUM(C461:C466)</f>
        <v>87716.29</v>
      </c>
      <c r="D467" s="18">
        <f>SUM(D461:D466)</f>
        <v>101538.69</v>
      </c>
      <c r="E467" s="18">
        <f>IFERROR(D467-C467,0)</f>
        <v>13822.4</v>
      </c>
      <c r="F467" s="19">
        <f>IFERROR(1-C467/D467,0)</f>
        <v>0.136129</v>
      </c>
    </row>
    <row r="468" spans="2:7" x14ac:dyDescent="0.25" outlineLevel="1" collapsed="1">
      <c r="B468" s="15" t="s">
        <v>49</v>
      </c>
      <c r="C468" s="20">
        <v>0</v>
      </c>
      <c r="D468" s="20">
        <v>0</v>
      </c>
      <c r="E468" s="20">
        <v>0</v>
      </c>
      <c r="G468" s="21">
        <v>0</v>
      </c>
    </row>
    <row r="469" spans="2:7" x14ac:dyDescent="0.25" outlineLevel="1" collapsed="1">
      <c r="B469" s="15" t="s">
        <v>50</v>
      </c>
      <c r="C469" s="20">
        <v>0</v>
      </c>
      <c r="D469" s="20">
        <v>0</v>
      </c>
      <c r="E469" s="20">
        <v>0</v>
      </c>
      <c r="G469" s="21">
        <v>0</v>
      </c>
    </row>
    <row r="470" spans="2:7" x14ac:dyDescent="0.25" outlineLevel="1" collapsed="1">
      <c r="B470" s="15" t="s">
        <v>51</v>
      </c>
      <c r="C470" s="20">
        <v>0</v>
      </c>
      <c r="D470" s="20">
        <v>0</v>
      </c>
      <c r="E470" s="20">
        <v>0</v>
      </c>
      <c r="G470" s="21">
        <v>0</v>
      </c>
    </row>
    <row r="471" spans="2:6" x14ac:dyDescent="0.25">
      <c r="B471" s="22" t="s">
        <v>52</v>
      </c>
      <c r="C471" s="23">
        <f>C467+C468+C469+C470</f>
        <v>87716.29</v>
      </c>
      <c r="D471" s="23">
        <f>D467+D468+D469+D470</f>
        <v>101538.69</v>
      </c>
      <c r="E471" s="23">
        <f>IFERROR(D471-C471,0)</f>
        <v>13822.400000000009</v>
      </c>
      <c r="F471" s="24">
        <f>IFERROR(1-C471/D471,0)</f>
        <v>0.136129390678568</v>
      </c>
    </row>
    <row r="473" spans="2:4" s="13" customFormat="1" x14ac:dyDescent="0.25">
      <c r="B473" s="13" t="s">
        <v>70</v>
      </c>
      <c r="D473" s="14" t="s">
        <v>38</v>
      </c>
    </row>
    <row r="474" spans="2:6" x14ac:dyDescent="0.25" outlineLevel="1" collapsed="1">
      <c r="B474" s="15" t="s">
        <v>42</v>
      </c>
      <c r="C474" s="16">
        <f>'LED Cost Sheet'!T40</f>
        <v>376615.44000000006</v>
      </c>
      <c r="D474" s="16">
        <f>'LED Cost Sheet'!V40</f>
        <v>443076.99</v>
      </c>
      <c r="E474" s="16">
        <f>IFERROR(D474-C474,0)</f>
        <v>66461.55</v>
      </c>
      <c r="F474" s="17">
        <v>0.15</v>
      </c>
    </row>
    <row r="475" spans="2:6" x14ac:dyDescent="0.25" outlineLevel="1" collapsed="1">
      <c r="B475" s="15" t="s">
        <v>43</v>
      </c>
      <c r="C475" s="16">
        <f>'SCOREBOARD EAST - Install'!I26</f>
        <v>67059.37</v>
      </c>
      <c r="D475" s="16">
        <f>IFERROR(C475/(1-F475),0)</f>
        <v>78893.38</v>
      </c>
      <c r="E475" s="16">
        <f>IFERROR(D475-C475,0)</f>
        <v>11834.01</v>
      </c>
      <c r="F475" s="17">
        <v>0.15</v>
      </c>
    </row>
    <row r="476" spans="2:6" x14ac:dyDescent="0.25" outlineLevel="1" collapsed="1">
      <c r="B476" s="15" t="s">
        <v>44</v>
      </c>
      <c r="C476" s="16">
        <f>'SCOREBOARD EAST - Install'!I35-'SCOREBOARD EAST - Install'!I34</f>
        <v>457222.97</v>
      </c>
      <c r="D476" s="16">
        <f>IFERROR(C476/(1-F476),0)</f>
        <v>537909.38</v>
      </c>
      <c r="E476" s="16">
        <f>IFERROR(D476-C476,0)</f>
        <v>80686.41</v>
      </c>
      <c r="F476" s="17">
        <v>0.15</v>
      </c>
    </row>
    <row r="477" spans="2:6" x14ac:dyDescent="0.25" outlineLevel="1" collapsed="1">
      <c r="B477" s="15" t="s">
        <v>45</v>
      </c>
      <c r="C477" s="16">
        <f>'SCOREBOARD EAST - Install'!I44</f>
        <v>152407.66</v>
      </c>
      <c r="D477" s="16">
        <f>IFERROR(C477/(1-F477),0)</f>
        <v>179303.13</v>
      </c>
      <c r="E477" s="16">
        <f>IFERROR(D477-C477,0)</f>
        <v>26895.47</v>
      </c>
      <c r="F477" s="17">
        <v>0.15</v>
      </c>
    </row>
    <row r="478" spans="2:6" x14ac:dyDescent="0.25" outlineLevel="1" collapsed="1">
      <c r="B478" s="15" t="s">
        <v>46</v>
      </c>
      <c r="C478" s="16">
        <f>'SCOREBOARD EAST - Install'!I34</f>
        <v>20882.35</v>
      </c>
      <c r="D478" s="16">
        <f>IFERROR(C478/(1-F478),0)</f>
        <v>24567.47</v>
      </c>
      <c r="E478" s="16">
        <f>IFERROR(D478-C478,0)</f>
        <v>3685.12</v>
      </c>
      <c r="F478" s="17">
        <v>0.15</v>
      </c>
    </row>
    <row r="479" spans="2:6" x14ac:dyDescent="0.25" outlineLevel="1" collapsed="1">
      <c r="B479" s="15" t="s">
        <v>47</v>
      </c>
      <c r="C479" s="16">
        <f>'SCOREBOARD EAST - Install'!I52</f>
        <v>4705.88</v>
      </c>
      <c r="D479" s="16">
        <f>IFERROR(C479/(1-F479),0)</f>
        <v>5536.33</v>
      </c>
      <c r="E479" s="16">
        <f>IFERROR(D479-C479,0)</f>
        <v>830.45</v>
      </c>
      <c r="F479" s="17">
        <v>0.15</v>
      </c>
    </row>
    <row r="480" spans="2:6" x14ac:dyDescent="0.25" outlineLevel="1" collapsed="1">
      <c r="B480" s="4" t="s">
        <v>48</v>
      </c>
      <c r="C480" s="18">
        <f>SUM(C474:C479)</f>
        <v>1078893.67</v>
      </c>
      <c r="D480" s="18">
        <f>SUM(D474:D479)</f>
        <v>1240207.84</v>
      </c>
      <c r="E480" s="18">
        <f>IFERROR(D480-C480,0)</f>
        <v>161314.17</v>
      </c>
      <c r="F480" s="19">
        <f>IFERROR(1-C480/D480,0)</f>
        <v>0.13007</v>
      </c>
    </row>
    <row r="481" spans="2:7" x14ac:dyDescent="0.25" outlineLevel="1" collapsed="1">
      <c r="B481" s="15" t="s">
        <v>49</v>
      </c>
      <c r="C481" s="20">
        <v>0</v>
      </c>
      <c r="D481" s="20">
        <v>0</v>
      </c>
      <c r="E481" s="20">
        <v>0</v>
      </c>
      <c r="G481" s="21">
        <v>0</v>
      </c>
    </row>
    <row r="482" spans="2:7" x14ac:dyDescent="0.25" outlineLevel="1" collapsed="1">
      <c r="B482" s="15" t="s">
        <v>50</v>
      </c>
      <c r="C482" s="20">
        <v>0</v>
      </c>
      <c r="D482" s="20">
        <v>0</v>
      </c>
      <c r="E482" s="20">
        <v>0</v>
      </c>
      <c r="G482" s="21">
        <v>0</v>
      </c>
    </row>
    <row r="483" spans="2:7" x14ac:dyDescent="0.25" outlineLevel="1" collapsed="1">
      <c r="B483" s="15" t="s">
        <v>51</v>
      </c>
      <c r="C483" s="20">
        <v>0</v>
      </c>
      <c r="D483" s="20">
        <v>0</v>
      </c>
      <c r="E483" s="20">
        <v>0</v>
      </c>
      <c r="G483" s="21">
        <v>0</v>
      </c>
    </row>
    <row r="484" spans="2:6" x14ac:dyDescent="0.25">
      <c r="B484" s="22" t="s">
        <v>52</v>
      </c>
      <c r="C484" s="23">
        <f>C480+C481+C482+C483</f>
        <v>1078893.67</v>
      </c>
      <c r="D484" s="23">
        <f>D480+D481+D482+D483</f>
        <v>1240207.84</v>
      </c>
      <c r="E484" s="23">
        <f>IFERROR(D484-C484,0)</f>
        <v>161314.17000000016</v>
      </c>
      <c r="F484" s="24">
        <f>IFERROR(1-C484/D484,0)</f>
        <v>0.13007027112487868</v>
      </c>
    </row>
    <row r="486" spans="2:4" s="13" customFormat="1" x14ac:dyDescent="0.25">
      <c r="B486" s="13" t="s">
        <v>71</v>
      </c>
      <c r="D486" s="14" t="s">
        <v>38</v>
      </c>
    </row>
    <row r="487" spans="2:6" x14ac:dyDescent="0.25" outlineLevel="1" collapsed="1">
      <c r="B487" s="15" t="s">
        <v>42</v>
      </c>
      <c r="C487" s="16">
        <f>'LED Cost Sheet'!T41</f>
        <v>2612429.7800000003</v>
      </c>
      <c r="D487" s="16">
        <f>'LED Cost Sheet'!V41</f>
        <v>3073446.8</v>
      </c>
      <c r="E487" s="16">
        <f>IFERROR(D487-C487,0)</f>
        <v>461017.02</v>
      </c>
      <c r="F487" s="17">
        <v>0.15</v>
      </c>
    </row>
    <row r="488" spans="2:6" x14ac:dyDescent="0.25" outlineLevel="1" collapsed="1">
      <c r="B488" s="15" t="s">
        <v>43</v>
      </c>
      <c r="C488" s="16">
        <f>'SCOREBOARD WEST - Install'!I26</f>
        <v>478697.21</v>
      </c>
      <c r="D488" s="16">
        <f>IFERROR(C488/(1-F488),0)</f>
        <v>563173.19</v>
      </c>
      <c r="E488" s="16">
        <f>IFERROR(D488-C488,0)</f>
        <v>84475.98</v>
      </c>
      <c r="F488" s="17">
        <v>0.15</v>
      </c>
    </row>
    <row r="489" spans="2:6" x14ac:dyDescent="0.25" outlineLevel="1" collapsed="1">
      <c r="B489" s="15" t="s">
        <v>44</v>
      </c>
      <c r="C489" s="16">
        <f>'SCOREBOARD WEST - Install'!I35-'SCOREBOARD WEST - Install'!I34</f>
        <v>3263844.59</v>
      </c>
      <c r="D489" s="16">
        <f>IFERROR(C489/(1-F489),0)</f>
        <v>3839817.16</v>
      </c>
      <c r="E489" s="16">
        <f>IFERROR(D489-C489,0)</f>
        <v>575972.57</v>
      </c>
      <c r="F489" s="17">
        <v>0.15</v>
      </c>
    </row>
    <row r="490" spans="2:6" x14ac:dyDescent="0.25" outlineLevel="1" collapsed="1">
      <c r="B490" s="15" t="s">
        <v>45</v>
      </c>
      <c r="C490" s="16">
        <f>'SCOREBOARD WEST - Install'!I44</f>
        <v>1087948.2</v>
      </c>
      <c r="D490" s="16">
        <f>IFERROR(C490/(1-F490),0)</f>
        <v>1279939.06</v>
      </c>
      <c r="E490" s="16">
        <f>IFERROR(D490-C490,0)</f>
        <v>191990.86</v>
      </c>
      <c r="F490" s="17">
        <v>0.15</v>
      </c>
    </row>
    <row r="491" spans="2:6" x14ac:dyDescent="0.25" outlineLevel="1" collapsed="1">
      <c r="B491" s="15" t="s">
        <v>46</v>
      </c>
      <c r="C491" s="16">
        <f>'SCOREBOARD WEST - Install'!I34</f>
        <v>20882.35</v>
      </c>
      <c r="D491" s="16">
        <f>IFERROR(C491/(1-F491),0)</f>
        <v>24567.47</v>
      </c>
      <c r="E491" s="16">
        <f>IFERROR(D491-C491,0)</f>
        <v>3685.12</v>
      </c>
      <c r="F491" s="17">
        <v>0.15</v>
      </c>
    </row>
    <row r="492" spans="2:6" x14ac:dyDescent="0.25" outlineLevel="1" collapsed="1">
      <c r="B492" s="15" t="s">
        <v>47</v>
      </c>
      <c r="C492" s="16">
        <f>'SCOREBOARD WEST - Install'!I52</f>
        <v>4705.88</v>
      </c>
      <c r="D492" s="16">
        <f>IFERROR(C492/(1-F492),0)</f>
        <v>5536.33</v>
      </c>
      <c r="E492" s="16">
        <f>IFERROR(D492-C492,0)</f>
        <v>830.45</v>
      </c>
      <c r="F492" s="17">
        <v>0.15</v>
      </c>
    </row>
    <row r="493" spans="2:6" x14ac:dyDescent="0.25" outlineLevel="1" collapsed="1">
      <c r="B493" s="4" t="s">
        <v>48</v>
      </c>
      <c r="C493" s="18">
        <f>SUM(C487:C492)</f>
        <v>7468508.01</v>
      </c>
      <c r="D493" s="18">
        <f>SUM(D487:D492)</f>
        <v>8578950.6</v>
      </c>
      <c r="E493" s="18">
        <f>IFERROR(D493-C493,0)</f>
        <v>1110442.59</v>
      </c>
      <c r="F493" s="19">
        <f>IFERROR(1-C493/D493,0)</f>
        <v>0.129438</v>
      </c>
    </row>
    <row r="494" spans="2:7" x14ac:dyDescent="0.25" outlineLevel="1" collapsed="1">
      <c r="B494" s="15" t="s">
        <v>49</v>
      </c>
      <c r="C494" s="20">
        <v>0</v>
      </c>
      <c r="D494" s="20">
        <v>0</v>
      </c>
      <c r="E494" s="20">
        <v>0</v>
      </c>
      <c r="G494" s="21">
        <v>0</v>
      </c>
    </row>
    <row r="495" spans="2:7" x14ac:dyDescent="0.25" outlineLevel="1" collapsed="1">
      <c r="B495" s="15" t="s">
        <v>50</v>
      </c>
      <c r="C495" s="20">
        <v>0</v>
      </c>
      <c r="D495" s="20">
        <v>0</v>
      </c>
      <c r="E495" s="20">
        <v>0</v>
      </c>
      <c r="G495" s="21">
        <v>0</v>
      </c>
    </row>
    <row r="496" spans="2:7" x14ac:dyDescent="0.25" outlineLevel="1" collapsed="1">
      <c r="B496" s="15" t="s">
        <v>51</v>
      </c>
      <c r="C496" s="20">
        <v>0</v>
      </c>
      <c r="D496" s="20">
        <v>0</v>
      </c>
      <c r="E496" s="20">
        <v>0</v>
      </c>
      <c r="G496" s="21">
        <v>0</v>
      </c>
    </row>
    <row r="497" spans="2:6" x14ac:dyDescent="0.25">
      <c r="B497" s="22" t="s">
        <v>52</v>
      </c>
      <c r="C497" s="23">
        <f>C493+C494+C495+C496</f>
        <v>7468508.01</v>
      </c>
      <c r="D497" s="23">
        <f>D493+D494+D495+D496</f>
        <v>8578950.6</v>
      </c>
      <c r="E497" s="23">
        <f>IFERROR(D497-C497,0)</f>
        <v>1110442.5899999999</v>
      </c>
      <c r="F497" s="24">
        <f>IFERROR(1-C497/D497,0)</f>
        <v>0.12943804455523966</v>
      </c>
    </row>
    <row r="499" spans="2:4" s="13" customFormat="1" x14ac:dyDescent="0.25">
      <c r="B499" s="13" t="s">
        <v>72</v>
      </c>
      <c r="D499" s="14" t="s">
        <v>38</v>
      </c>
    </row>
    <row r="500" spans="2:6" x14ac:dyDescent="0.25" outlineLevel="1" collapsed="1">
      <c r="B500" s="15" t="s">
        <v>42</v>
      </c>
      <c r="C500" s="16">
        <f>'LED Cost Sheet'!T42</f>
        <v>84599.54</v>
      </c>
      <c r="D500" s="16">
        <f>'LED Cost Sheet'!V42</f>
        <v>99528.87</v>
      </c>
      <c r="E500" s="16">
        <f>IFERROR(D500-C500,0)</f>
        <v>14929.33</v>
      </c>
      <c r="F500" s="17">
        <v>0.15</v>
      </c>
    </row>
    <row r="501" spans="2:6" x14ac:dyDescent="0.25" outlineLevel="1" collapsed="1">
      <c r="B501" s="15" t="s">
        <v>43</v>
      </c>
      <c r="C501" s="16">
        <f>'EAST ENTRY A - Install'!I26</f>
        <v>12902.7</v>
      </c>
      <c r="D501" s="16">
        <f>IFERROR(C501/(1-F501),0)</f>
        <v>15179.65</v>
      </c>
      <c r="E501" s="16">
        <f>IFERROR(D501-C501,0)</f>
        <v>2276.95</v>
      </c>
      <c r="F501" s="17">
        <v>0.15</v>
      </c>
    </row>
    <row r="502" spans="2:6" x14ac:dyDescent="0.25" outlineLevel="1" collapsed="1">
      <c r="B502" s="15" t="s">
        <v>44</v>
      </c>
      <c r="C502" s="16">
        <f>'EAST ENTRY A - Install'!I35-'EAST ENTRY A - Install'!I34</f>
        <v>87972.97</v>
      </c>
      <c r="D502" s="16">
        <f>IFERROR(C502/(1-F502),0)</f>
        <v>103497.61</v>
      </c>
      <c r="E502" s="16">
        <f>IFERROR(D502-C502,0)</f>
        <v>15524.64</v>
      </c>
      <c r="F502" s="17">
        <v>0.15</v>
      </c>
    </row>
    <row r="503" spans="2:6" x14ac:dyDescent="0.25" outlineLevel="1" collapsed="1">
      <c r="B503" s="15" t="s">
        <v>45</v>
      </c>
      <c r="C503" s="16">
        <f>'EAST ENTRY A - Install'!I44</f>
        <v>29324.32</v>
      </c>
      <c r="D503" s="16">
        <f>IFERROR(C503/(1-F503),0)</f>
        <v>34499.2</v>
      </c>
      <c r="E503" s="16">
        <f>IFERROR(D503-C503,0)</f>
        <v>5174.88</v>
      </c>
      <c r="F503" s="17">
        <v>0.15</v>
      </c>
    </row>
    <row r="504" spans="2:6" x14ac:dyDescent="0.25" outlineLevel="1" collapsed="1">
      <c r="B504" s="15" t="s">
        <v>46</v>
      </c>
      <c r="C504" s="16">
        <f>'EAST ENTRY A - Install'!I34</f>
        <v>20882.35</v>
      </c>
      <c r="D504" s="16">
        <f>IFERROR(C504/(1-F504),0)</f>
        <v>24567.47</v>
      </c>
      <c r="E504" s="16">
        <f>IFERROR(D504-C504,0)</f>
        <v>3685.12</v>
      </c>
      <c r="F504" s="17">
        <v>0.15</v>
      </c>
    </row>
    <row r="505" spans="2:6" x14ac:dyDescent="0.25" outlineLevel="1" collapsed="1">
      <c r="B505" s="15" t="s">
        <v>47</v>
      </c>
      <c r="C505" s="16">
        <f>'EAST ENTRY A - Install'!I52</f>
        <v>4705.88</v>
      </c>
      <c r="D505" s="16">
        <f>IFERROR(C505/(1-F505),0)</f>
        <v>5536.33</v>
      </c>
      <c r="E505" s="16">
        <f>IFERROR(D505-C505,0)</f>
        <v>830.45</v>
      </c>
      <c r="F505" s="17">
        <v>0.15</v>
      </c>
    </row>
    <row r="506" spans="2:6" x14ac:dyDescent="0.25" outlineLevel="1" collapsed="1">
      <c r="B506" s="4" t="s">
        <v>48</v>
      </c>
      <c r="C506" s="18">
        <f>SUM(C500:C505)</f>
        <v>240387.76</v>
      </c>
      <c r="D506" s="18">
        <f>SUM(D500:D505)</f>
        <v>277209.14</v>
      </c>
      <c r="E506" s="18">
        <f>IFERROR(D506-C506,0)</f>
        <v>36821.38</v>
      </c>
      <c r="F506" s="19">
        <f>IFERROR(1-C506/D506,0)</f>
        <v>0.132829</v>
      </c>
    </row>
    <row r="507" spans="2:7" x14ac:dyDescent="0.25" outlineLevel="1" collapsed="1">
      <c r="B507" s="15" t="s">
        <v>49</v>
      </c>
      <c r="C507" s="20">
        <v>0</v>
      </c>
      <c r="D507" s="20">
        <v>0</v>
      </c>
      <c r="E507" s="20">
        <v>0</v>
      </c>
      <c r="G507" s="21">
        <v>0</v>
      </c>
    </row>
    <row r="508" spans="2:7" x14ac:dyDescent="0.25" outlineLevel="1" collapsed="1">
      <c r="B508" s="15" t="s">
        <v>50</v>
      </c>
      <c r="C508" s="20">
        <v>0</v>
      </c>
      <c r="D508" s="20">
        <v>0</v>
      </c>
      <c r="E508" s="20">
        <v>0</v>
      </c>
      <c r="G508" s="21">
        <v>0</v>
      </c>
    </row>
    <row r="509" spans="2:7" x14ac:dyDescent="0.25" outlineLevel="1" collapsed="1">
      <c r="B509" s="15" t="s">
        <v>51</v>
      </c>
      <c r="C509" s="20">
        <v>0</v>
      </c>
      <c r="D509" s="20">
        <v>0</v>
      </c>
      <c r="E509" s="20">
        <v>0</v>
      </c>
      <c r="G509" s="21">
        <v>0</v>
      </c>
    </row>
    <row r="510" spans="2:6" x14ac:dyDescent="0.25">
      <c r="B510" s="22" t="s">
        <v>52</v>
      </c>
      <c r="C510" s="23">
        <f>C506+C507+C508+C509</f>
        <v>240387.76</v>
      </c>
      <c r="D510" s="23">
        <f>D506+D507+D508+D509</f>
        <v>277209.14</v>
      </c>
      <c r="E510" s="23">
        <f>IFERROR(D510-C510,0)</f>
        <v>36821.380000000005</v>
      </c>
      <c r="F510" s="24">
        <f>IFERROR(1-C510/D510,0)</f>
        <v>0.13282888147194571</v>
      </c>
    </row>
    <row r="512" spans="2:4" s="13" customFormat="1" x14ac:dyDescent="0.25">
      <c r="B512" s="13" t="s">
        <v>73</v>
      </c>
      <c r="D512" s="14" t="s">
        <v>38</v>
      </c>
    </row>
    <row r="513" spans="2:6" x14ac:dyDescent="0.25" outlineLevel="1" collapsed="1">
      <c r="B513" s="15" t="s">
        <v>42</v>
      </c>
      <c r="C513" s="16">
        <f>'LED Cost Sheet'!T43</f>
        <v>89341.85</v>
      </c>
      <c r="D513" s="16">
        <f>'LED Cost Sheet'!V43</f>
        <v>105108.06</v>
      </c>
      <c r="E513" s="16">
        <f>IFERROR(D513-C513,0)</f>
        <v>15766.21</v>
      </c>
      <c r="F513" s="17">
        <v>0.15</v>
      </c>
    </row>
    <row r="514" spans="2:6" x14ac:dyDescent="0.25" outlineLevel="1" collapsed="1">
      <c r="B514" s="15" t="s">
        <v>43</v>
      </c>
      <c r="C514" s="16">
        <f>'EAST ENTRY B - Install'!I26</f>
        <v>13790.63</v>
      </c>
      <c r="D514" s="16">
        <f>IFERROR(C514/(1-F514),0)</f>
        <v>16224.27</v>
      </c>
      <c r="E514" s="16">
        <f>IFERROR(D514-C514,0)</f>
        <v>2433.64</v>
      </c>
      <c r="F514" s="17">
        <v>0.15</v>
      </c>
    </row>
    <row r="515" spans="2:6" x14ac:dyDescent="0.25" outlineLevel="1" collapsed="1">
      <c r="B515" s="15" t="s">
        <v>44</v>
      </c>
      <c r="C515" s="16">
        <f>'EAST ENTRY B - Install'!I35-'EAST ENTRY B - Install'!I34</f>
        <v>94027.03</v>
      </c>
      <c r="D515" s="16">
        <f>IFERROR(C515/(1-F515),0)</f>
        <v>110620.04</v>
      </c>
      <c r="E515" s="16">
        <f>IFERROR(D515-C515,0)</f>
        <v>16593.01</v>
      </c>
      <c r="F515" s="17">
        <v>0.15</v>
      </c>
    </row>
    <row r="516" spans="2:6" x14ac:dyDescent="0.25" outlineLevel="1" collapsed="1">
      <c r="B516" s="15" t="s">
        <v>45</v>
      </c>
      <c r="C516" s="16">
        <f>'EAST ENTRY B - Install'!I44</f>
        <v>31342.34</v>
      </c>
      <c r="D516" s="16">
        <f>IFERROR(C516/(1-F516),0)</f>
        <v>36873.34</v>
      </c>
      <c r="E516" s="16">
        <f>IFERROR(D516-C516,0)</f>
        <v>5531</v>
      </c>
      <c r="F516" s="17">
        <v>0.15</v>
      </c>
    </row>
    <row r="517" spans="2:6" x14ac:dyDescent="0.25" outlineLevel="1" collapsed="1">
      <c r="B517" s="15" t="s">
        <v>46</v>
      </c>
      <c r="C517" s="16">
        <f>'EAST ENTRY B - Install'!I34</f>
        <v>20882.35</v>
      </c>
      <c r="D517" s="16">
        <f>IFERROR(C517/(1-F517),0)</f>
        <v>24567.47</v>
      </c>
      <c r="E517" s="16">
        <f>IFERROR(D517-C517,0)</f>
        <v>3685.12</v>
      </c>
      <c r="F517" s="17">
        <v>0.15</v>
      </c>
    </row>
    <row r="518" spans="2:6" x14ac:dyDescent="0.25" outlineLevel="1" collapsed="1">
      <c r="B518" s="15" t="s">
        <v>47</v>
      </c>
      <c r="C518" s="16">
        <f>'EAST ENTRY B - Install'!I52</f>
        <v>4705.88</v>
      </c>
      <c r="D518" s="16">
        <f>IFERROR(C518/(1-F518),0)</f>
        <v>5536.33</v>
      </c>
      <c r="E518" s="16">
        <f>IFERROR(D518-C518,0)</f>
        <v>830.45</v>
      </c>
      <c r="F518" s="17">
        <v>0.15</v>
      </c>
    </row>
    <row r="519" spans="2:6" x14ac:dyDescent="0.25" outlineLevel="1" collapsed="1">
      <c r="B519" s="4" t="s">
        <v>48</v>
      </c>
      <c r="C519" s="18">
        <f>SUM(C513:C518)</f>
        <v>254090.08</v>
      </c>
      <c r="D519" s="18">
        <f>SUM(D513:D518)</f>
        <v>292948.21</v>
      </c>
      <c r="E519" s="18">
        <f>IFERROR(D519-C519,0)</f>
        <v>38858.13</v>
      </c>
      <c r="F519" s="19">
        <f>IFERROR(1-C519/D519,0)</f>
        <v>0.132645</v>
      </c>
    </row>
    <row r="520" spans="2:7" x14ac:dyDescent="0.25" outlineLevel="1" collapsed="1">
      <c r="B520" s="15" t="s">
        <v>49</v>
      </c>
      <c r="C520" s="20">
        <v>0</v>
      </c>
      <c r="D520" s="20">
        <v>0</v>
      </c>
      <c r="E520" s="20">
        <v>0</v>
      </c>
      <c r="G520" s="21">
        <v>0</v>
      </c>
    </row>
    <row r="521" spans="2:7" x14ac:dyDescent="0.25" outlineLevel="1" collapsed="1">
      <c r="B521" s="15" t="s">
        <v>50</v>
      </c>
      <c r="C521" s="20">
        <v>0</v>
      </c>
      <c r="D521" s="20">
        <v>0</v>
      </c>
      <c r="E521" s="20">
        <v>0</v>
      </c>
      <c r="G521" s="21">
        <v>0</v>
      </c>
    </row>
    <row r="522" spans="2:7" x14ac:dyDescent="0.25" outlineLevel="1" collapsed="1">
      <c r="B522" s="15" t="s">
        <v>51</v>
      </c>
      <c r="C522" s="20">
        <v>0</v>
      </c>
      <c r="D522" s="20">
        <v>0</v>
      </c>
      <c r="E522" s="20">
        <v>0</v>
      </c>
      <c r="G522" s="21">
        <v>0</v>
      </c>
    </row>
    <row r="523" spans="2:6" x14ac:dyDescent="0.25">
      <c r="B523" s="22" t="s">
        <v>52</v>
      </c>
      <c r="C523" s="23">
        <f>C519+C520+C521+C522</f>
        <v>254090.08</v>
      </c>
      <c r="D523" s="23">
        <f>D519+D520+D521+D522</f>
        <v>292948.21</v>
      </c>
      <c r="E523" s="23">
        <f>IFERROR(D523-C523,0)</f>
        <v>38858.130000000034</v>
      </c>
      <c r="F523" s="24">
        <f>IFERROR(1-C523/D523,0)</f>
        <v>0.13264505012677852</v>
      </c>
    </row>
    <row r="525" spans="2:4" s="13" customFormat="1" x14ac:dyDescent="0.25">
      <c r="B525" s="13" t="s">
        <v>74</v>
      </c>
      <c r="D525" s="14" t="s">
        <v>38</v>
      </c>
    </row>
    <row r="526" spans="2:6" x14ac:dyDescent="0.25" outlineLevel="1" collapsed="1">
      <c r="B526" s="15" t="s">
        <v>42</v>
      </c>
      <c r="C526" s="16">
        <f>'LED Cost Sheet'!T44</f>
        <v>22884.970000000005</v>
      </c>
      <c r="D526" s="16">
        <f>'LED Cost Sheet'!V44</f>
        <v>26923.49</v>
      </c>
      <c r="E526" s="16">
        <f>IFERROR(D526-C526,0)</f>
        <v>4038.52</v>
      </c>
      <c r="F526" s="17">
        <v>0.15</v>
      </c>
    </row>
    <row r="527" spans="2:6" x14ac:dyDescent="0.25" outlineLevel="1" collapsed="1">
      <c r="B527" s="15" t="s">
        <v>43</v>
      </c>
      <c r="C527" s="16">
        <f>'EAST ENTRY C - Install'!I26</f>
        <v>3693.92</v>
      </c>
      <c r="D527" s="16">
        <f>IFERROR(C527/(1-F527),0)</f>
        <v>4345.79</v>
      </c>
      <c r="E527" s="16">
        <f>IFERROR(D527-C527,0)</f>
        <v>651.87</v>
      </c>
      <c r="F527" s="17">
        <v>0.15</v>
      </c>
    </row>
    <row r="528" spans="2:6" x14ac:dyDescent="0.25" outlineLevel="1" collapsed="1">
      <c r="B528" s="15" t="s">
        <v>44</v>
      </c>
      <c r="C528" s="16">
        <f>'EAST ENTRY C - Install'!I35-'EAST ENTRY C - Install'!I34</f>
        <v>25185.81</v>
      </c>
      <c r="D528" s="16">
        <f>IFERROR(C528/(1-F528),0)</f>
        <v>29630.36</v>
      </c>
      <c r="E528" s="16">
        <f>IFERROR(D528-C528,0)</f>
        <v>4444.55</v>
      </c>
      <c r="F528" s="17">
        <v>0.15</v>
      </c>
    </row>
    <row r="529" spans="2:6" x14ac:dyDescent="0.25" outlineLevel="1" collapsed="1">
      <c r="B529" s="15" t="s">
        <v>45</v>
      </c>
      <c r="C529" s="16">
        <f>'EAST ENTRY C - Install'!I44</f>
        <v>8395.27</v>
      </c>
      <c r="D529" s="16">
        <f>IFERROR(C529/(1-F529),0)</f>
        <v>9876.79</v>
      </c>
      <c r="E529" s="16">
        <f>IFERROR(D529-C529,0)</f>
        <v>1481.52</v>
      </c>
      <c r="F529" s="17">
        <v>0.15</v>
      </c>
    </row>
    <row r="530" spans="2:6" x14ac:dyDescent="0.25" outlineLevel="1" collapsed="1">
      <c r="B530" s="15" t="s">
        <v>46</v>
      </c>
      <c r="C530" s="16">
        <f>'EAST ENTRY C - Install'!I34</f>
        <v>20882.35</v>
      </c>
      <c r="D530" s="16">
        <f>IFERROR(C530/(1-F530),0)</f>
        <v>24567.47</v>
      </c>
      <c r="E530" s="16">
        <f>IFERROR(D530-C530,0)</f>
        <v>3685.12</v>
      </c>
      <c r="F530" s="17">
        <v>0.15</v>
      </c>
    </row>
    <row r="531" spans="2:6" x14ac:dyDescent="0.25" outlineLevel="1" collapsed="1">
      <c r="B531" s="15" t="s">
        <v>47</v>
      </c>
      <c r="C531" s="16">
        <f>'EAST ENTRY C - Install'!I52</f>
        <v>4705.88</v>
      </c>
      <c r="D531" s="16">
        <f>IFERROR(C531/(1-F531),0)</f>
        <v>5536.33</v>
      </c>
      <c r="E531" s="16">
        <f>IFERROR(D531-C531,0)</f>
        <v>830.45</v>
      </c>
      <c r="F531" s="17">
        <v>0.15</v>
      </c>
    </row>
    <row r="532" spans="2:6" x14ac:dyDescent="0.25" outlineLevel="1" collapsed="1">
      <c r="B532" s="4" t="s">
        <v>48</v>
      </c>
      <c r="C532" s="18">
        <f>SUM(C526:C531)</f>
        <v>85748.2</v>
      </c>
      <c r="D532" s="18">
        <f>SUM(D526:D531)</f>
        <v>99277.41</v>
      </c>
      <c r="E532" s="18">
        <f>IFERROR(D532-C532,0)</f>
        <v>13529.21</v>
      </c>
      <c r="F532" s="19">
        <f>IFERROR(1-C532/D532,0)</f>
        <v>0.136277</v>
      </c>
    </row>
    <row r="533" spans="2:7" x14ac:dyDescent="0.25" outlineLevel="1" collapsed="1">
      <c r="B533" s="15" t="s">
        <v>49</v>
      </c>
      <c r="C533" s="20">
        <v>0</v>
      </c>
      <c r="D533" s="20">
        <v>0</v>
      </c>
      <c r="E533" s="20">
        <v>0</v>
      </c>
      <c r="G533" s="21">
        <v>0</v>
      </c>
    </row>
    <row r="534" spans="2:7" x14ac:dyDescent="0.25" outlineLevel="1" collapsed="1">
      <c r="B534" s="15" t="s">
        <v>50</v>
      </c>
      <c r="C534" s="20">
        <v>0</v>
      </c>
      <c r="D534" s="20">
        <v>0</v>
      </c>
      <c r="E534" s="20">
        <v>0</v>
      </c>
      <c r="G534" s="21">
        <v>0</v>
      </c>
    </row>
    <row r="535" spans="2:7" x14ac:dyDescent="0.25" outlineLevel="1" collapsed="1">
      <c r="B535" s="15" t="s">
        <v>51</v>
      </c>
      <c r="C535" s="20">
        <v>0</v>
      </c>
      <c r="D535" s="20">
        <v>0</v>
      </c>
      <c r="E535" s="20">
        <v>0</v>
      </c>
      <c r="G535" s="21">
        <v>0</v>
      </c>
    </row>
    <row r="536" spans="2:6" x14ac:dyDescent="0.25">
      <c r="B536" s="22" t="s">
        <v>52</v>
      </c>
      <c r="C536" s="23">
        <f>C532+C533+C534+C535</f>
        <v>85748.2</v>
      </c>
      <c r="D536" s="23">
        <f>D532+D533+D534+D535</f>
        <v>99277.41</v>
      </c>
      <c r="E536" s="23">
        <f>IFERROR(D536-C536,0)</f>
        <v>13529.210000000006</v>
      </c>
      <c r="F536" s="24">
        <f>IFERROR(1-C536/D536,0)</f>
        <v>0.13627682269309815</v>
      </c>
    </row>
    <row r="538" spans="2:4" s="13" customFormat="1" x14ac:dyDescent="0.25">
      <c r="B538" s="13" t="s">
        <v>75</v>
      </c>
      <c r="D538" s="14" t="s">
        <v>38</v>
      </c>
    </row>
    <row r="539" spans="2:6" x14ac:dyDescent="0.25" outlineLevel="1" collapsed="1">
      <c r="B539" s="15" t="s">
        <v>42</v>
      </c>
      <c r="C539" s="16">
        <f>'LED Cost Sheet'!T45</f>
        <v>43456.47</v>
      </c>
      <c r="D539" s="16">
        <f>'LED Cost Sheet'!V45</f>
        <v>51125.26</v>
      </c>
      <c r="E539" s="16">
        <f>IFERROR(D539-C539,0)</f>
        <v>7668.79</v>
      </c>
      <c r="F539" s="17">
        <v>0.15</v>
      </c>
    </row>
    <row r="540" spans="2:6" x14ac:dyDescent="0.25" outlineLevel="1" collapsed="1">
      <c r="B540" s="15" t="s">
        <v>43</v>
      </c>
      <c r="C540" s="16">
        <f>'EAST ENTRY D - Install'!I26</f>
        <v>7505.77</v>
      </c>
      <c r="D540" s="16">
        <f>IFERROR(C540/(1-F540),0)</f>
        <v>8830.32</v>
      </c>
      <c r="E540" s="16">
        <f>IFERROR(D540-C540,0)</f>
        <v>1324.55</v>
      </c>
      <c r="F540" s="17">
        <v>0.15</v>
      </c>
    </row>
    <row r="541" spans="2:6" x14ac:dyDescent="0.25" outlineLevel="1" collapsed="1">
      <c r="B541" s="15" t="s">
        <v>44</v>
      </c>
      <c r="C541" s="16">
        <f>'EAST ENTRY D - Install'!I35-'EAST ENTRY D - Install'!I34</f>
        <v>51175.68</v>
      </c>
      <c r="D541" s="16">
        <f>IFERROR(C541/(1-F541),0)</f>
        <v>60206.68</v>
      </c>
      <c r="E541" s="16">
        <f>IFERROR(D541-C541,0)</f>
        <v>9031</v>
      </c>
      <c r="F541" s="17">
        <v>0.15</v>
      </c>
    </row>
    <row r="542" spans="2:6" x14ac:dyDescent="0.25" outlineLevel="1" collapsed="1">
      <c r="B542" s="15" t="s">
        <v>45</v>
      </c>
      <c r="C542" s="16">
        <f>'EAST ENTRY D - Install'!I44</f>
        <v>17058.56</v>
      </c>
      <c r="D542" s="16">
        <f>IFERROR(C542/(1-F542),0)</f>
        <v>20068.89</v>
      </c>
      <c r="E542" s="16">
        <f>IFERROR(D542-C542,0)</f>
        <v>3010.33</v>
      </c>
      <c r="F542" s="17">
        <v>0.15</v>
      </c>
    </row>
    <row r="543" spans="2:6" x14ac:dyDescent="0.25" outlineLevel="1" collapsed="1">
      <c r="B543" s="15" t="s">
        <v>46</v>
      </c>
      <c r="C543" s="16">
        <f>'EAST ENTRY D - Install'!I34</f>
        <v>20882.35</v>
      </c>
      <c r="D543" s="16">
        <f>IFERROR(C543/(1-F543),0)</f>
        <v>24567.47</v>
      </c>
      <c r="E543" s="16">
        <f>IFERROR(D543-C543,0)</f>
        <v>3685.12</v>
      </c>
      <c r="F543" s="17">
        <v>0.15</v>
      </c>
    </row>
    <row r="544" spans="2:6" x14ac:dyDescent="0.25" outlineLevel="1" collapsed="1">
      <c r="B544" s="15" t="s">
        <v>47</v>
      </c>
      <c r="C544" s="16">
        <f>'EAST ENTRY D - Install'!I52</f>
        <v>4705.88</v>
      </c>
      <c r="D544" s="16">
        <f>IFERROR(C544/(1-F544),0)</f>
        <v>5536.33</v>
      </c>
      <c r="E544" s="16">
        <f>IFERROR(D544-C544,0)</f>
        <v>830.45</v>
      </c>
      <c r="F544" s="17">
        <v>0.15</v>
      </c>
    </row>
    <row r="545" spans="2:6" x14ac:dyDescent="0.25" outlineLevel="1" collapsed="1">
      <c r="B545" s="4" t="s">
        <v>48</v>
      </c>
      <c r="C545" s="18">
        <f>SUM(C539:C544)</f>
        <v>144784.71</v>
      </c>
      <c r="D545" s="18">
        <f>SUM(D539:D544)</f>
        <v>167078.13</v>
      </c>
      <c r="E545" s="18">
        <f>IFERROR(D545-C545,0)</f>
        <v>22293.42</v>
      </c>
      <c r="F545" s="19">
        <f>IFERROR(1-C545/D545,0)</f>
        <v>0.133431</v>
      </c>
    </row>
    <row r="546" spans="2:7" x14ac:dyDescent="0.25" outlineLevel="1" collapsed="1">
      <c r="B546" s="15" t="s">
        <v>49</v>
      </c>
      <c r="C546" s="20">
        <v>0</v>
      </c>
      <c r="D546" s="20">
        <v>0</v>
      </c>
      <c r="E546" s="20">
        <v>0</v>
      </c>
      <c r="G546" s="21">
        <v>0</v>
      </c>
    </row>
    <row r="547" spans="2:7" x14ac:dyDescent="0.25" outlineLevel="1" collapsed="1">
      <c r="B547" s="15" t="s">
        <v>50</v>
      </c>
      <c r="C547" s="20">
        <v>0</v>
      </c>
      <c r="D547" s="20">
        <v>0</v>
      </c>
      <c r="E547" s="20">
        <v>0</v>
      </c>
      <c r="G547" s="21">
        <v>0</v>
      </c>
    </row>
    <row r="548" spans="2:7" x14ac:dyDescent="0.25" outlineLevel="1" collapsed="1">
      <c r="B548" s="15" t="s">
        <v>51</v>
      </c>
      <c r="C548" s="20">
        <v>0</v>
      </c>
      <c r="D548" s="20">
        <v>0</v>
      </c>
      <c r="E548" s="20">
        <v>0</v>
      </c>
      <c r="G548" s="21">
        <v>0</v>
      </c>
    </row>
    <row r="549" spans="2:6" x14ac:dyDescent="0.25">
      <c r="B549" s="22" t="s">
        <v>52</v>
      </c>
      <c r="C549" s="23">
        <f>C545+C546+C547+C548</f>
        <v>144784.71</v>
      </c>
      <c r="D549" s="23">
        <f>D545+D546+D547+D548</f>
        <v>167078.13</v>
      </c>
      <c r="E549" s="23">
        <f>IFERROR(D549-C549,0)</f>
        <v>22293.420000000013</v>
      </c>
      <c r="F549" s="24">
        <f>IFERROR(1-C549/D549,0)</f>
        <v>0.133431107949317</v>
      </c>
    </row>
    <row r="551" spans="2:4" s="13" customFormat="1" x14ac:dyDescent="0.25">
      <c r="B551" s="13" t="s">
        <v>76</v>
      </c>
      <c r="D551" s="14" t="s">
        <v>38</v>
      </c>
    </row>
    <row r="552" spans="2:6" x14ac:dyDescent="0.25" outlineLevel="1" collapsed="1">
      <c r="B552" s="15" t="s">
        <v>42</v>
      </c>
      <c r="C552" s="16">
        <f>'LED Cost Sheet'!T46</f>
        <v>5204.46</v>
      </c>
      <c r="D552" s="16">
        <f>'LED Cost Sheet'!V46</f>
        <v>6122.89</v>
      </c>
      <c r="E552" s="16">
        <f>IFERROR(D552-C552,0)</f>
        <v>918.43</v>
      </c>
      <c r="F552" s="17">
        <v>0.15</v>
      </c>
    </row>
    <row r="553" spans="2:6" x14ac:dyDescent="0.25" outlineLevel="1" collapsed="1">
      <c r="B553" s="15" t="s">
        <v>43</v>
      </c>
      <c r="C553" s="16">
        <f>'NORTH EAST EXTERIOR NE - Instal'!I26</f>
        <v>350.32</v>
      </c>
      <c r="D553" s="16">
        <f>IFERROR(C553/(1-F553),0)</f>
        <v>412.14</v>
      </c>
      <c r="E553" s="16">
        <f>IFERROR(D553-C553,0)</f>
        <v>61.82</v>
      </c>
      <c r="F553" s="17">
        <v>0.15</v>
      </c>
    </row>
    <row r="554" spans="2:6" x14ac:dyDescent="0.25" outlineLevel="1" collapsed="1">
      <c r="B554" s="15" t="s">
        <v>44</v>
      </c>
      <c r="C554" s="16">
        <f>'NORTH EAST EXTERIOR NE - Instal'!I35-'NORTH EAST EXTERIOR NE - Instal'!I34</f>
        <v>2388.51</v>
      </c>
      <c r="D554" s="16">
        <f>IFERROR(C554/(1-F554),0)</f>
        <v>2810.01</v>
      </c>
      <c r="E554" s="16">
        <f>IFERROR(D554-C554,0)</f>
        <v>421.5</v>
      </c>
      <c r="F554" s="17">
        <v>0.15</v>
      </c>
    </row>
    <row r="555" spans="2:6" x14ac:dyDescent="0.25" outlineLevel="1" collapsed="1">
      <c r="B555" s="15" t="s">
        <v>45</v>
      </c>
      <c r="C555" s="16">
        <f>'NORTH EAST EXTERIOR NE - Instal'!I44</f>
        <v>796.17</v>
      </c>
      <c r="D555" s="16">
        <f>IFERROR(C555/(1-F555),0)</f>
        <v>936.67</v>
      </c>
      <c r="E555" s="16">
        <f>IFERROR(D555-C555,0)</f>
        <v>140.5</v>
      </c>
      <c r="F555" s="17">
        <v>0.15</v>
      </c>
    </row>
    <row r="556" spans="2:6" x14ac:dyDescent="0.25" outlineLevel="1" collapsed="1">
      <c r="B556" s="15" t="s">
        <v>46</v>
      </c>
      <c r="C556" s="16">
        <f>'NORTH EAST EXTERIOR NE - Instal'!I34</f>
        <v>20882.35</v>
      </c>
      <c r="D556" s="16">
        <f>IFERROR(C556/(1-F556),0)</f>
        <v>24567.47</v>
      </c>
      <c r="E556" s="16">
        <f>IFERROR(D556-C556,0)</f>
        <v>3685.12</v>
      </c>
      <c r="F556" s="17">
        <v>0.15</v>
      </c>
    </row>
    <row r="557" spans="2:6" x14ac:dyDescent="0.25" outlineLevel="1" collapsed="1">
      <c r="B557" s="15" t="s">
        <v>47</v>
      </c>
      <c r="C557" s="16">
        <f>'NORTH EAST EXTERIOR NE - Instal'!I52</f>
        <v>4705.88</v>
      </c>
      <c r="D557" s="16">
        <f>IFERROR(C557/(1-F557),0)</f>
        <v>5536.33</v>
      </c>
      <c r="E557" s="16">
        <f>IFERROR(D557-C557,0)</f>
        <v>830.45</v>
      </c>
      <c r="F557" s="17">
        <v>0.15</v>
      </c>
    </row>
    <row r="558" spans="2:6" x14ac:dyDescent="0.25" outlineLevel="1" collapsed="1">
      <c r="B558" s="4" t="s">
        <v>48</v>
      </c>
      <c r="C558" s="18">
        <f>SUM(C552:C557)</f>
        <v>34327.69</v>
      </c>
      <c r="D558" s="18">
        <f>SUM(D552:D557)</f>
        <v>39797.27</v>
      </c>
      <c r="E558" s="18">
        <f>IFERROR(D558-C558,0)</f>
        <v>5469.58</v>
      </c>
      <c r="F558" s="19">
        <f>IFERROR(1-C558/D558,0)</f>
        <v>0.137436</v>
      </c>
    </row>
    <row r="559" spans="2:7" x14ac:dyDescent="0.25" outlineLevel="1" collapsed="1">
      <c r="B559" s="15" t="s">
        <v>49</v>
      </c>
      <c r="C559" s="20">
        <v>0</v>
      </c>
      <c r="D559" s="20">
        <v>0</v>
      </c>
      <c r="E559" s="20">
        <v>0</v>
      </c>
      <c r="G559" s="21">
        <v>0</v>
      </c>
    </row>
    <row r="560" spans="2:7" x14ac:dyDescent="0.25" outlineLevel="1" collapsed="1">
      <c r="B560" s="15" t="s">
        <v>50</v>
      </c>
      <c r="C560" s="20">
        <v>0</v>
      </c>
      <c r="D560" s="20">
        <v>0</v>
      </c>
      <c r="E560" s="20">
        <v>0</v>
      </c>
      <c r="G560" s="21">
        <v>0</v>
      </c>
    </row>
    <row r="561" spans="2:7" x14ac:dyDescent="0.25" outlineLevel="1" collapsed="1">
      <c r="B561" s="15" t="s">
        <v>51</v>
      </c>
      <c r="C561" s="20">
        <v>0</v>
      </c>
      <c r="D561" s="20">
        <v>0</v>
      </c>
      <c r="E561" s="20">
        <v>0</v>
      </c>
      <c r="G561" s="21">
        <v>0</v>
      </c>
    </row>
    <row r="562" spans="2:6" x14ac:dyDescent="0.25">
      <c r="B562" s="22" t="s">
        <v>52</v>
      </c>
      <c r="C562" s="23">
        <f>C558+C559+C560+C561</f>
        <v>34327.69</v>
      </c>
      <c r="D562" s="23">
        <f>D558+D559+D560+D561</f>
        <v>39797.27</v>
      </c>
      <c r="E562" s="23">
        <f>IFERROR(D562-C562,0)</f>
        <v>5469.5799999999945</v>
      </c>
      <c r="F562" s="24">
        <f>IFERROR(1-C562/D562,0)</f>
        <v>0.13743606031267963</v>
      </c>
    </row>
    <row r="564" spans="2:4" s="13" customFormat="1" x14ac:dyDescent="0.25">
      <c r="B564" s="13" t="s">
        <v>77</v>
      </c>
      <c r="D564" s="14" t="s">
        <v>38</v>
      </c>
    </row>
    <row r="565" spans="2:6" x14ac:dyDescent="0.25" outlineLevel="1" collapsed="1">
      <c r="B565" s="15" t="s">
        <v>42</v>
      </c>
      <c r="C565" s="16">
        <f>'LED Cost Sheet'!T47</f>
        <v>164235.58</v>
      </c>
      <c r="D565" s="16">
        <f>'LED Cost Sheet'!V47</f>
        <v>193218.33</v>
      </c>
      <c r="E565" s="16">
        <f>IFERROR(D565-C565,0)</f>
        <v>28982.75</v>
      </c>
      <c r="F565" s="17">
        <v>0.15</v>
      </c>
    </row>
    <row r="566" spans="2:6" x14ac:dyDescent="0.25" outlineLevel="1" collapsed="1">
      <c r="B566" s="15" t="s">
        <v>43</v>
      </c>
      <c r="C566" s="16">
        <f>'NORTH ENTRY C - Install'!I26</f>
        <v>27740.81</v>
      </c>
      <c r="D566" s="16">
        <f>IFERROR(C566/(1-F566),0)</f>
        <v>32636.25</v>
      </c>
      <c r="E566" s="16">
        <f>IFERROR(D566-C566,0)</f>
        <v>4895.44</v>
      </c>
      <c r="F566" s="17">
        <v>0.15</v>
      </c>
    </row>
    <row r="567" spans="2:6" x14ac:dyDescent="0.25" outlineLevel="1" collapsed="1">
      <c r="B567" s="15" t="s">
        <v>44</v>
      </c>
      <c r="C567" s="16">
        <f>'NORTH ENTRY C - Install'!I35-'NORTH ENTRY C - Install'!I34</f>
        <v>189141.89</v>
      </c>
      <c r="D567" s="16">
        <f>IFERROR(C567/(1-F567),0)</f>
        <v>222519.87</v>
      </c>
      <c r="E567" s="16">
        <f>IFERROR(D567-C567,0)</f>
        <v>33377.98</v>
      </c>
      <c r="F567" s="17">
        <v>0.15</v>
      </c>
    </row>
    <row r="568" spans="2:6" x14ac:dyDescent="0.25" outlineLevel="1" collapsed="1">
      <c r="B568" s="15" t="s">
        <v>45</v>
      </c>
      <c r="C568" s="16">
        <f>'NORTH ENTRY C - Install'!I44</f>
        <v>63047.3</v>
      </c>
      <c r="D568" s="16">
        <f>IFERROR(C568/(1-F568),0)</f>
        <v>74173.29</v>
      </c>
      <c r="E568" s="16">
        <f>IFERROR(D568-C568,0)</f>
        <v>11125.99</v>
      </c>
      <c r="F568" s="17">
        <v>0.15</v>
      </c>
    </row>
    <row r="569" spans="2:6" x14ac:dyDescent="0.25" outlineLevel="1" collapsed="1">
      <c r="B569" s="15" t="s">
        <v>46</v>
      </c>
      <c r="C569" s="16">
        <f>'NORTH ENTRY C - Install'!I34</f>
        <v>20882.35</v>
      </c>
      <c r="D569" s="16">
        <f>IFERROR(C569/(1-F569),0)</f>
        <v>24567.47</v>
      </c>
      <c r="E569" s="16">
        <f>IFERROR(D569-C569,0)</f>
        <v>3685.12</v>
      </c>
      <c r="F569" s="17">
        <v>0.15</v>
      </c>
    </row>
    <row r="570" spans="2:6" x14ac:dyDescent="0.25" outlineLevel="1" collapsed="1">
      <c r="B570" s="15" t="s">
        <v>47</v>
      </c>
      <c r="C570" s="16">
        <f>'NORTH ENTRY C - Install'!I52</f>
        <v>4705.88</v>
      </c>
      <c r="D570" s="16">
        <f>IFERROR(C570/(1-F570),0)</f>
        <v>5536.33</v>
      </c>
      <c r="E570" s="16">
        <f>IFERROR(D570-C570,0)</f>
        <v>830.45</v>
      </c>
      <c r="F570" s="17">
        <v>0.15</v>
      </c>
    </row>
    <row r="571" spans="2:6" x14ac:dyDescent="0.25" outlineLevel="1" collapsed="1">
      <c r="B571" s="4" t="s">
        <v>48</v>
      </c>
      <c r="C571" s="18">
        <f>SUM(C565:C570)</f>
        <v>469753.81</v>
      </c>
      <c r="D571" s="18">
        <f>SUM(D565:D570)</f>
        <v>540648.6</v>
      </c>
      <c r="E571" s="18">
        <f>IFERROR(D571-C571,0)</f>
        <v>70894.79</v>
      </c>
      <c r="F571" s="19">
        <f>IFERROR(1-C571/D571,0)</f>
        <v>0.131129</v>
      </c>
    </row>
    <row r="572" spans="2:7" x14ac:dyDescent="0.25" outlineLevel="1" collapsed="1">
      <c r="B572" s="15" t="s">
        <v>49</v>
      </c>
      <c r="C572" s="20">
        <v>0</v>
      </c>
      <c r="D572" s="20">
        <v>0</v>
      </c>
      <c r="E572" s="20">
        <v>0</v>
      </c>
      <c r="G572" s="21">
        <v>0</v>
      </c>
    </row>
    <row r="573" spans="2:7" x14ac:dyDescent="0.25" outlineLevel="1" collapsed="1">
      <c r="B573" s="15" t="s">
        <v>50</v>
      </c>
      <c r="C573" s="20">
        <v>0</v>
      </c>
      <c r="D573" s="20">
        <v>0</v>
      </c>
      <c r="E573" s="20">
        <v>0</v>
      </c>
      <c r="G573" s="21">
        <v>0</v>
      </c>
    </row>
    <row r="574" spans="2:7" x14ac:dyDescent="0.25" outlineLevel="1" collapsed="1">
      <c r="B574" s="15" t="s">
        <v>51</v>
      </c>
      <c r="C574" s="20">
        <v>0</v>
      </c>
      <c r="D574" s="20">
        <v>0</v>
      </c>
      <c r="E574" s="20">
        <v>0</v>
      </c>
      <c r="G574" s="21">
        <v>0</v>
      </c>
    </row>
    <row r="575" spans="2:6" x14ac:dyDescent="0.25">
      <c r="B575" s="22" t="s">
        <v>52</v>
      </c>
      <c r="C575" s="23">
        <f>C571+C572+C573+C574</f>
        <v>469753.81</v>
      </c>
      <c r="D575" s="23">
        <f>D571+D572+D573+D574</f>
        <v>540648.6</v>
      </c>
      <c r="E575" s="23">
        <f>IFERROR(D575-C575,0)</f>
        <v>70894.78999999998</v>
      </c>
      <c r="F575" s="24">
        <f>IFERROR(1-C575/D575,0)</f>
        <v>0.13112914747212878</v>
      </c>
    </row>
    <row r="577" spans="2:4" s="13" customFormat="1" x14ac:dyDescent="0.25">
      <c r="B577" s="13" t="s">
        <v>77</v>
      </c>
      <c r="D577" s="14" t="s">
        <v>38</v>
      </c>
    </row>
    <row r="578" spans="2:6" x14ac:dyDescent="0.25" outlineLevel="1" collapsed="1">
      <c r="B578" s="15" t="s">
        <v>42</v>
      </c>
      <c r="C578" s="16">
        <f>'LED Cost Sheet'!T48</f>
        <v>14236.510000000002</v>
      </c>
      <c r="D578" s="16">
        <f>'LED Cost Sheet'!V48</f>
        <v>16748.84</v>
      </c>
      <c r="E578" s="16">
        <f>IFERROR(D578-C578,0)</f>
        <v>2512.33</v>
      </c>
      <c r="F578" s="17">
        <v>0.15</v>
      </c>
    </row>
    <row r="579" spans="2:6" x14ac:dyDescent="0.25" outlineLevel="1" collapsed="1">
      <c r="B579" s="15" t="s">
        <v>43</v>
      </c>
      <c r="C579" s="16">
        <f>'NORTH ENTRY C45 - Install'!I26</f>
        <v>2748.75</v>
      </c>
      <c r="D579" s="16">
        <f>IFERROR(C579/(1-F579),0)</f>
        <v>3233.82</v>
      </c>
      <c r="E579" s="16">
        <f>IFERROR(D579-C579,0)</f>
        <v>485.07</v>
      </c>
      <c r="F579" s="17">
        <v>0.15</v>
      </c>
    </row>
    <row r="580" spans="2:6" x14ac:dyDescent="0.25" outlineLevel="1" collapsed="1">
      <c r="B580" s="15" t="s">
        <v>44</v>
      </c>
      <c r="C580" s="16">
        <f>'NORTH ENTRY C45 - Install'!I35-'NORTH ENTRY C45 - Install'!I34</f>
        <v>11453.13</v>
      </c>
      <c r="D580" s="16">
        <f>IFERROR(C580/(1-F580),0)</f>
        <v>13474.27</v>
      </c>
      <c r="E580" s="16">
        <f>IFERROR(D580-C580,0)</f>
        <v>2021.14</v>
      </c>
      <c r="F580" s="17">
        <v>0.15</v>
      </c>
    </row>
    <row r="581" spans="2:6" x14ac:dyDescent="0.25" outlineLevel="1" collapsed="1">
      <c r="B581" s="15" t="s">
        <v>45</v>
      </c>
      <c r="C581" s="16">
        <f>'NORTH ENTRY C45 - Install'!I44</f>
        <v>11453.13</v>
      </c>
      <c r="D581" s="16">
        <f>IFERROR(C581/(1-F581),0)</f>
        <v>13474.27</v>
      </c>
      <c r="E581" s="16">
        <f>IFERROR(D581-C581,0)</f>
        <v>2021.14</v>
      </c>
      <c r="F581" s="17">
        <v>0.15</v>
      </c>
    </row>
    <row r="582" spans="2:6" x14ac:dyDescent="0.25" outlineLevel="1" collapsed="1">
      <c r="B582" s="15" t="s">
        <v>46</v>
      </c>
      <c r="C582" s="16">
        <f>'NORTH ENTRY C45 - Install'!I34</f>
        <v>20882.35</v>
      </c>
      <c r="D582" s="16">
        <f>IFERROR(C582/(1-F582),0)</f>
        <v>24567.47</v>
      </c>
      <c r="E582" s="16">
        <f>IFERROR(D582-C582,0)</f>
        <v>3685.12</v>
      </c>
      <c r="F582" s="17">
        <v>0.15</v>
      </c>
    </row>
    <row r="583" spans="2:6" x14ac:dyDescent="0.25" outlineLevel="1" collapsed="1">
      <c r="B583" s="15" t="s">
        <v>47</v>
      </c>
      <c r="C583" s="16">
        <f>'NORTH ENTRY C45 - Install'!I52</f>
        <v>4705.88</v>
      </c>
      <c r="D583" s="16">
        <f>IFERROR(C583/(1-F583),0)</f>
        <v>5536.33</v>
      </c>
      <c r="E583" s="16">
        <f>IFERROR(D583-C583,0)</f>
        <v>830.45</v>
      </c>
      <c r="F583" s="17">
        <v>0.15</v>
      </c>
    </row>
    <row r="584" spans="2:6" x14ac:dyDescent="0.25" outlineLevel="1" collapsed="1">
      <c r="B584" s="4" t="s">
        <v>48</v>
      </c>
      <c r="C584" s="18">
        <f>SUM(C578:C583)</f>
        <v>65479.75</v>
      </c>
      <c r="D584" s="18">
        <f>SUM(D578:D583)</f>
        <v>75926.52</v>
      </c>
      <c r="E584" s="18">
        <f>IFERROR(D584-C584,0)</f>
        <v>10446.77</v>
      </c>
      <c r="F584" s="19">
        <f>IFERROR(1-C584/D584,0)</f>
        <v>0.13759100000000002</v>
      </c>
    </row>
    <row r="585" spans="2:7" x14ac:dyDescent="0.25" outlineLevel="1" collapsed="1">
      <c r="B585" s="15" t="s">
        <v>49</v>
      </c>
      <c r="C585" s="20">
        <v>0</v>
      </c>
      <c r="D585" s="20">
        <v>0</v>
      </c>
      <c r="E585" s="20">
        <v>0</v>
      </c>
      <c r="G585" s="21">
        <v>0</v>
      </c>
    </row>
    <row r="586" spans="2:7" x14ac:dyDescent="0.25" outlineLevel="1" collapsed="1">
      <c r="B586" s="15" t="s">
        <v>50</v>
      </c>
      <c r="C586" s="20">
        <v>0</v>
      </c>
      <c r="D586" s="20">
        <v>0</v>
      </c>
      <c r="E586" s="20">
        <v>0</v>
      </c>
      <c r="G586" s="21">
        <v>0</v>
      </c>
    </row>
    <row r="587" spans="2:7" x14ac:dyDescent="0.25" outlineLevel="1" collapsed="1">
      <c r="B587" s="15" t="s">
        <v>51</v>
      </c>
      <c r="C587" s="20">
        <v>0</v>
      </c>
      <c r="D587" s="20">
        <v>0</v>
      </c>
      <c r="E587" s="20">
        <v>0</v>
      </c>
      <c r="G587" s="21">
        <v>0</v>
      </c>
    </row>
    <row r="588" spans="2:6" x14ac:dyDescent="0.25">
      <c r="B588" s="22" t="s">
        <v>52</v>
      </c>
      <c r="C588" s="23">
        <f>C584+C585+C586+C587</f>
        <v>65479.75</v>
      </c>
      <c r="D588" s="23">
        <f>D584+D585+D586+D587</f>
        <v>75926.52</v>
      </c>
      <c r="E588" s="23">
        <f>IFERROR(D588-C588,0)</f>
        <v>10446.770000000004</v>
      </c>
      <c r="F588" s="24">
        <f>IFERROR(1-C588/D588,0)</f>
        <v>0.13759052831606144</v>
      </c>
    </row>
    <row r="590" spans="2:4" s="13" customFormat="1" x14ac:dyDescent="0.25">
      <c r="B590" s="13" t="s">
        <v>77</v>
      </c>
      <c r="D590" s="14" t="s">
        <v>38</v>
      </c>
    </row>
    <row r="591" spans="2:6" x14ac:dyDescent="0.25" outlineLevel="1" collapsed="1">
      <c r="B591" s="15" t="s">
        <v>42</v>
      </c>
      <c r="C591" s="16">
        <f>'LED Cost Sheet'!T49</f>
        <v>19706.05</v>
      </c>
      <c r="D591" s="16">
        <f>'LED Cost Sheet'!V49</f>
        <v>23183.59</v>
      </c>
      <c r="E591" s="16">
        <f>IFERROR(D591-C591,0)</f>
        <v>3477.54</v>
      </c>
      <c r="F591" s="17">
        <v>0.15</v>
      </c>
    </row>
    <row r="592" spans="2:6" x14ac:dyDescent="0.25" outlineLevel="1" collapsed="1">
      <c r="B592" s="15" t="s">
        <v>43</v>
      </c>
      <c r="C592" s="16">
        <f>'NORTH ENTRY C46 - Install'!I26</f>
        <v>3855</v>
      </c>
      <c r="D592" s="16">
        <f>IFERROR(C592/(1-F592),0)</f>
        <v>4535.29</v>
      </c>
      <c r="E592" s="16">
        <f>IFERROR(D592-C592,0)</f>
        <v>680.29</v>
      </c>
      <c r="F592" s="17">
        <v>0.15</v>
      </c>
    </row>
    <row r="593" spans="2:6" x14ac:dyDescent="0.25" outlineLevel="1" collapsed="1">
      <c r="B593" s="15" t="s">
        <v>44</v>
      </c>
      <c r="C593" s="16">
        <f>'NORTH ENTRY C46 - Install'!I35-'NORTH ENTRY C46 - Install'!I34</f>
        <v>16062.5</v>
      </c>
      <c r="D593" s="16">
        <f>IFERROR(C593/(1-F593),0)</f>
        <v>18897.06</v>
      </c>
      <c r="E593" s="16">
        <f>IFERROR(D593-C593,0)</f>
        <v>2834.56</v>
      </c>
      <c r="F593" s="17">
        <v>0.15</v>
      </c>
    </row>
    <row r="594" spans="2:6" x14ac:dyDescent="0.25" outlineLevel="1" collapsed="1">
      <c r="B594" s="15" t="s">
        <v>45</v>
      </c>
      <c r="C594" s="16">
        <f>'NORTH ENTRY C46 - Install'!I44</f>
        <v>16062.5</v>
      </c>
      <c r="D594" s="16">
        <f>IFERROR(C594/(1-F594),0)</f>
        <v>18897.06</v>
      </c>
      <c r="E594" s="16">
        <f>IFERROR(D594-C594,0)</f>
        <v>2834.56</v>
      </c>
      <c r="F594" s="17">
        <v>0.15</v>
      </c>
    </row>
    <row r="595" spans="2:6" x14ac:dyDescent="0.25" outlineLevel="1" collapsed="1">
      <c r="B595" s="15" t="s">
        <v>46</v>
      </c>
      <c r="C595" s="16">
        <f>'NORTH ENTRY C46 - Install'!I34</f>
        <v>20882.35</v>
      </c>
      <c r="D595" s="16">
        <f>IFERROR(C595/(1-F595),0)</f>
        <v>24567.47</v>
      </c>
      <c r="E595" s="16">
        <f>IFERROR(D595-C595,0)</f>
        <v>3685.12</v>
      </c>
      <c r="F595" s="17">
        <v>0.15</v>
      </c>
    </row>
    <row r="596" spans="2:6" x14ac:dyDescent="0.25" outlineLevel="1" collapsed="1">
      <c r="B596" s="15" t="s">
        <v>47</v>
      </c>
      <c r="C596" s="16">
        <f>'NORTH ENTRY C46 - Install'!I52</f>
        <v>4705.88</v>
      </c>
      <c r="D596" s="16">
        <f>IFERROR(C596/(1-F596),0)</f>
        <v>5536.33</v>
      </c>
      <c r="E596" s="16">
        <f>IFERROR(D596-C596,0)</f>
        <v>830.45</v>
      </c>
      <c r="F596" s="17">
        <v>0.15</v>
      </c>
    </row>
    <row r="597" spans="2:6" x14ac:dyDescent="0.25" outlineLevel="1" collapsed="1">
      <c r="B597" s="4" t="s">
        <v>48</v>
      </c>
      <c r="C597" s="18">
        <f>SUM(C591:C596)</f>
        <v>81274.28</v>
      </c>
      <c r="D597" s="18">
        <f>SUM(D591:D596)</f>
        <v>94068.56</v>
      </c>
      <c r="E597" s="18">
        <f>IFERROR(D597-C597,0)</f>
        <v>12794.28</v>
      </c>
      <c r="F597" s="19">
        <f>IFERROR(1-C597/D597,0)</f>
        <v>0.13601</v>
      </c>
    </row>
    <row r="598" spans="2:7" x14ac:dyDescent="0.25" outlineLevel="1" collapsed="1">
      <c r="B598" s="15" t="s">
        <v>49</v>
      </c>
      <c r="C598" s="20">
        <v>0</v>
      </c>
      <c r="D598" s="20">
        <v>0</v>
      </c>
      <c r="E598" s="20">
        <v>0</v>
      </c>
      <c r="G598" s="21">
        <v>0</v>
      </c>
    </row>
    <row r="599" spans="2:7" x14ac:dyDescent="0.25" outlineLevel="1" collapsed="1">
      <c r="B599" s="15" t="s">
        <v>50</v>
      </c>
      <c r="C599" s="20">
        <v>0</v>
      </c>
      <c r="D599" s="20">
        <v>0</v>
      </c>
      <c r="E599" s="20">
        <v>0</v>
      </c>
      <c r="G599" s="21">
        <v>0</v>
      </c>
    </row>
    <row r="600" spans="2:7" x14ac:dyDescent="0.25" outlineLevel="1" collapsed="1">
      <c r="B600" s="15" t="s">
        <v>51</v>
      </c>
      <c r="C600" s="20">
        <v>0</v>
      </c>
      <c r="D600" s="20">
        <v>0</v>
      </c>
      <c r="E600" s="20">
        <v>0</v>
      </c>
      <c r="G600" s="21">
        <v>0</v>
      </c>
    </row>
    <row r="601" spans="2:6" x14ac:dyDescent="0.25">
      <c r="B601" s="22" t="s">
        <v>52</v>
      </c>
      <c r="C601" s="23">
        <f>C597+C598+C599+C600</f>
        <v>81274.28</v>
      </c>
      <c r="D601" s="23">
        <f>D597+D598+D599+D600</f>
        <v>94068.56</v>
      </c>
      <c r="E601" s="23">
        <f>IFERROR(D601-C601,0)</f>
        <v>12794.279999999999</v>
      </c>
      <c r="F601" s="24">
        <f>IFERROR(1-C601/D601,0)</f>
        <v>0.13601016109952146</v>
      </c>
    </row>
    <row r="603" spans="2:4" s="13" customFormat="1" x14ac:dyDescent="0.25">
      <c r="B603" s="13" t="s">
        <v>78</v>
      </c>
      <c r="D603" s="14" t="s">
        <v>38</v>
      </c>
    </row>
    <row r="604" spans="2:6" x14ac:dyDescent="0.25" outlineLevel="1" collapsed="1">
      <c r="B604" s="15" t="s">
        <v>42</v>
      </c>
      <c r="C604" s="16">
        <f>'LED Cost Sheet'!T50</f>
        <v>266608.69</v>
      </c>
      <c r="D604" s="16">
        <f>'LED Cost Sheet'!V50</f>
        <v>313657.28</v>
      </c>
      <c r="E604" s="16">
        <f>IFERROR(D604-C604,0)</f>
        <v>47048.59</v>
      </c>
      <c r="F604" s="17">
        <v>0.15</v>
      </c>
    </row>
    <row r="605" spans="2:6" x14ac:dyDescent="0.25" outlineLevel="1" collapsed="1">
      <c r="B605" s="15" t="s">
        <v>43</v>
      </c>
      <c r="C605" s="16">
        <f>'SOUTH EAST EXTERIOR SE - Instal'!I26</f>
        <v>46650.9</v>
      </c>
      <c r="D605" s="16">
        <f>IFERROR(C605/(1-F605),0)</f>
        <v>54883.41</v>
      </c>
      <c r="E605" s="16">
        <f>IFERROR(D605-C605,0)</f>
        <v>8232.51</v>
      </c>
      <c r="F605" s="17">
        <v>0.15</v>
      </c>
    </row>
    <row r="606" spans="2:6" x14ac:dyDescent="0.25" outlineLevel="1" collapsed="1">
      <c r="B606" s="15" t="s">
        <v>44</v>
      </c>
      <c r="C606" s="16">
        <f>'SOUTH EAST EXTERIOR SE - Instal'!I35-'SOUTH EAST EXTERIOR SE - Instal'!I34</f>
        <v>318074.32</v>
      </c>
      <c r="D606" s="16">
        <f>IFERROR(C606/(1-F606),0)</f>
        <v>374205.08</v>
      </c>
      <c r="E606" s="16">
        <f>IFERROR(D606-C606,0)</f>
        <v>56130.76</v>
      </c>
      <c r="F606" s="17">
        <v>0.15</v>
      </c>
    </row>
    <row r="607" spans="2:6" x14ac:dyDescent="0.25" outlineLevel="1" collapsed="1">
      <c r="B607" s="15" t="s">
        <v>45</v>
      </c>
      <c r="C607" s="16">
        <f>'SOUTH EAST EXTERIOR SE - Instal'!I44</f>
        <v>106024.77</v>
      </c>
      <c r="D607" s="16">
        <f>IFERROR(C607/(1-F607),0)</f>
        <v>124735.02</v>
      </c>
      <c r="E607" s="16">
        <f>IFERROR(D607-C607,0)</f>
        <v>18710.25</v>
      </c>
      <c r="F607" s="17">
        <v>0.15</v>
      </c>
    </row>
    <row r="608" spans="2:6" x14ac:dyDescent="0.25" outlineLevel="1" collapsed="1">
      <c r="B608" s="15" t="s">
        <v>46</v>
      </c>
      <c r="C608" s="16">
        <f>'SOUTH EAST EXTERIOR SE - Instal'!I34</f>
        <v>20882.35</v>
      </c>
      <c r="D608" s="16">
        <f>IFERROR(C608/(1-F608),0)</f>
        <v>24567.47</v>
      </c>
      <c r="E608" s="16">
        <f>IFERROR(D608-C608,0)</f>
        <v>3685.12</v>
      </c>
      <c r="F608" s="17">
        <v>0.15</v>
      </c>
    </row>
    <row r="609" spans="2:6" x14ac:dyDescent="0.25" outlineLevel="1" collapsed="1">
      <c r="B609" s="15" t="s">
        <v>47</v>
      </c>
      <c r="C609" s="16">
        <f>'SOUTH EAST EXTERIOR SE - Instal'!I52</f>
        <v>4705.88</v>
      </c>
      <c r="D609" s="16">
        <f>IFERROR(C609/(1-F609),0)</f>
        <v>5536.33</v>
      </c>
      <c r="E609" s="16">
        <f>IFERROR(D609-C609,0)</f>
        <v>830.45</v>
      </c>
      <c r="F609" s="17">
        <v>0.15</v>
      </c>
    </row>
    <row r="610" spans="2:6" x14ac:dyDescent="0.25" outlineLevel="1" collapsed="1">
      <c r="B610" s="4" t="s">
        <v>48</v>
      </c>
      <c r="C610" s="18">
        <f>SUM(C604:C609)</f>
        <v>762946.91</v>
      </c>
      <c r="D610" s="18">
        <f>SUM(D604:D609)</f>
        <v>877350.6</v>
      </c>
      <c r="E610" s="18">
        <f>IFERROR(D610-C610,0)</f>
        <v>114403.69</v>
      </c>
      <c r="F610" s="19">
        <f>IFERROR(1-C610/D610,0)</f>
        <v>0.130397</v>
      </c>
    </row>
    <row r="611" spans="2:7" x14ac:dyDescent="0.25" outlineLevel="1" collapsed="1">
      <c r="B611" s="15" t="s">
        <v>49</v>
      </c>
      <c r="C611" s="20">
        <v>0</v>
      </c>
      <c r="D611" s="20">
        <v>0</v>
      </c>
      <c r="E611" s="20">
        <v>0</v>
      </c>
      <c r="G611" s="21">
        <v>0</v>
      </c>
    </row>
    <row r="612" spans="2:7" x14ac:dyDescent="0.25" outlineLevel="1" collapsed="1">
      <c r="B612" s="15" t="s">
        <v>50</v>
      </c>
      <c r="C612" s="20">
        <v>0</v>
      </c>
      <c r="D612" s="20">
        <v>0</v>
      </c>
      <c r="E612" s="20">
        <v>0</v>
      </c>
      <c r="G612" s="21">
        <v>0</v>
      </c>
    </row>
    <row r="613" spans="2:7" x14ac:dyDescent="0.25" outlineLevel="1" collapsed="1">
      <c r="B613" s="15" t="s">
        <v>51</v>
      </c>
      <c r="C613" s="20">
        <v>0</v>
      </c>
      <c r="D613" s="20">
        <v>0</v>
      </c>
      <c r="E613" s="20">
        <v>0</v>
      </c>
      <c r="G613" s="21">
        <v>0</v>
      </c>
    </row>
    <row r="614" spans="2:6" x14ac:dyDescent="0.25">
      <c r="B614" s="22" t="s">
        <v>52</v>
      </c>
      <c r="C614" s="23">
        <f>C610+C611+C612+C613</f>
        <v>762946.91</v>
      </c>
      <c r="D614" s="23">
        <f>D610+D611+D612+D613</f>
        <v>877350.6</v>
      </c>
      <c r="E614" s="23">
        <f>IFERROR(D614-C614,0)</f>
        <v>114403.68999999994</v>
      </c>
      <c r="F614" s="24">
        <f>IFERROR(1-C614/D614,0)</f>
        <v>0.13039677638563185</v>
      </c>
    </row>
    <row r="617" ht="24" customHeight="1" spans="2:6" x14ac:dyDescent="0.25">
      <c r="B617" s="25" t="s">
        <v>79</v>
      </c>
      <c r="C617" s="25"/>
      <c r="D617" s="25"/>
      <c r="E617" s="25"/>
      <c r="F617" s="25"/>
    </row>
    <row r="618" spans="2:6" x14ac:dyDescent="0.25">
      <c r="B618" s="26" t="s">
        <v>80</v>
      </c>
      <c r="C618" s="20">
        <f>SUM(CMS!F26:F26)</f>
        <v>0</v>
      </c>
      <c r="D618" s="20">
        <f>SUM(CMS!H26:H26)</f>
        <v>0</v>
      </c>
      <c r="E618" s="20">
        <f>SUM(CMS!I26:I26)</f>
        <v>0</v>
      </c>
      <c r="F618" s="21">
        <v>0.15</v>
      </c>
    </row>
    <row r="619" spans="2:6" x14ac:dyDescent="0.25">
      <c r="B619" s="26" t="s">
        <v>81</v>
      </c>
      <c r="C619" s="20">
        <f>SUM(Scoring!F27:F27)</f>
        <v>0</v>
      </c>
      <c r="D619" s="20">
        <f>SUM(Scoring!H27:H27)</f>
        <v>0</v>
      </c>
      <c r="E619" s="20">
        <f>SUM(Scoring!I27:I27)</f>
        <v>0</v>
      </c>
      <c r="F619" s="21">
        <v>0.15</v>
      </c>
    </row>
    <row r="620" spans="2:6" x14ac:dyDescent="0.25">
      <c r="B620" s="26" t="s">
        <v>82</v>
      </c>
      <c r="C620" s="20">
        <f>SUM('Venue Services'!B17:B17)</f>
        <v>0</v>
      </c>
      <c r="D620" s="20">
        <f>SUM('Venue Services'!C17:C17)</f>
        <v>0</v>
      </c>
      <c r="E620" s="20">
        <f>SUM('Venue Services'!D17:D17)</f>
        <v>0</v>
      </c>
      <c r="F620" s="27">
        <v>0.15</v>
      </c>
    </row>
    <row r="621" spans="2:6" x14ac:dyDescent="0.25">
      <c r="B621" s="26" t="s">
        <v>83</v>
      </c>
      <c r="C621" s="20">
        <f>SUM('Additional Items'!F5:F5)</f>
        <v>0</v>
      </c>
      <c r="D621" s="20">
        <f>SUM('Additional Items'!H5:H5)</f>
        <v>0</v>
      </c>
      <c r="E621" s="20">
        <f>SUM('Additional Items'!I5:I5)</f>
        <v>0</v>
      </c>
      <c r="F621" s="27">
        <f>SUM('Additional Items'!G5:G5)</f>
        <v>0.15</v>
      </c>
    </row>
    <row r="622" spans="2:6" x14ac:dyDescent="0.25">
      <c r="B622" s="26" t="s">
        <v>84</v>
      </c>
      <c r="C622" s="20">
        <f>SUM('Additional Items'!F6:F6)</f>
        <v>0</v>
      </c>
      <c r="D622" s="20">
        <f>SUM('Additional Items'!H6:H6)</f>
        <v>0</v>
      </c>
      <c r="E622" s="20">
        <f>SUM('Additional Items'!I6:I6)</f>
        <v>0</v>
      </c>
      <c r="F622" s="27">
        <f>SUM('Additional Items'!G6:G6)</f>
        <v>0.15</v>
      </c>
    </row>
    <row r="623" spans="2:6" x14ac:dyDescent="0.25">
      <c r="B623" s="26" t="s">
        <v>85</v>
      </c>
      <c r="C623" s="20">
        <f>SUM('Additional Items'!F7:F7)</f>
        <v>0</v>
      </c>
      <c r="D623" s="20">
        <f>SUM('Additional Items'!H7:H7)</f>
        <v>0</v>
      </c>
      <c r="E623" s="20">
        <f>SUM('Additional Items'!I7:I7)</f>
        <v>0</v>
      </c>
      <c r="F623" s="27">
        <f>SUM('Additional Items'!G7:G7)</f>
        <v>0.15</v>
      </c>
    </row>
    <row r="624" spans="2:6" x14ac:dyDescent="0.25">
      <c r="B624" s="26" t="s">
        <v>86</v>
      </c>
      <c r="C624" s="20">
        <f>SUM('Additional Items'!F8:F8)</f>
        <v>0</v>
      </c>
      <c r="D624" s="20">
        <f>SUM('Additional Items'!H8:H8)</f>
        <v>0</v>
      </c>
      <c r="E624" s="20">
        <f>SUM('Additional Items'!I8:I8)</f>
        <v>0</v>
      </c>
      <c r="F624" s="27">
        <f>SUM('Additional Items'!G8:G8)</f>
        <v>0.15</v>
      </c>
    </row>
    <row r="626" spans="1:6" x14ac:dyDescent="0.25" outlineLevel="1" collapsed="1">
      <c r="A626" s="28"/>
      <c r="B626" s="29" t="s">
        <v>87</v>
      </c>
      <c r="C626" s="30">
        <f>SUM(C16,C29,C42,C55,C68,C81,C94,C107,C120,C133,C146,C159,C172,C185,C198,C211,C224,C237,C250,C263,C276,C289,C302,C315,C328,C341,C354,C367,C380,C393,C406,C419,C432,C445,C458,C471,C484,C497,C510,C523,C536,C549,C562,C575,C588,C601,C614,C618,C619,C620,C621,C622,C623,C624)</f>
        <v>15093961.74</v>
      </c>
      <c r="D626" s="30">
        <f>SUM(D16,D29,D42,D55,D68,D81,D94,D107,D120,D133,D146,D159,D172,D185,D198,D211,D224,D237,D250,D263,D276,D289,D302,D315,D328,D341,D354,D367,D380,D393,D406,D419,D432,D445,D458,D471,D484,D497,D510,D523,D536,D549,D562,D575,D588,D601,D614,D618,D619,D620,D621,D622,D623,D624)</f>
        <v>17365513.66</v>
      </c>
      <c r="E626" s="30">
        <f>IFERROR(D626-C626,0)</f>
        <v>2271551.92</v>
      </c>
      <c r="F626" s="31">
        <f>IFERROR(1-C626/D626,0)</f>
        <v>0.13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G22"/>
  <sheetFormatPr defaultRowHeight="15" outlineLevelRow="0" outlineLevelCol="0" x14ac:dyDescent="55"/>
  <cols>
    <col min="1" max="1" width="4" customWidth="1"/>
    <col min="2" max="2" width="40" customWidth="1"/>
    <col min="3" max="5" width="16" customWidth="1"/>
    <col min="6" max="6" width="12" customWidth="1"/>
    <col min="7" max="7" width="14" customWidth="1"/>
  </cols>
  <sheetData>
    <row r="1" ht="36" customHeight="1" spans="1:7" x14ac:dyDescent="0.25">
      <c r="A1" s="1" t="s">
        <v>88</v>
      </c>
      <c r="B1" s="1"/>
      <c r="C1" s="1"/>
      <c r="D1" s="1"/>
      <c r="E1" s="1"/>
      <c r="F1" s="1"/>
      <c r="G1" s="1"/>
    </row>
    <row r="2" spans="1:7" x14ac:dyDescent="0.25">
      <c r="A2" s="2" t="s">
        <v>89</v>
      </c>
      <c r="B2" s="2"/>
      <c r="C2" s="2"/>
      <c r="D2" s="2"/>
      <c r="E2" s="2"/>
      <c r="F2" s="2"/>
      <c r="G2" s="2"/>
    </row>
    <row r="4" ht="28" customHeight="1" spans="1:7" x14ac:dyDescent="0.25">
      <c r="A4" s="32" t="s">
        <v>35</v>
      </c>
      <c r="B4" s="32" t="s">
        <v>90</v>
      </c>
      <c r="C4" s="32" t="s">
        <v>37</v>
      </c>
      <c r="D4" s="32" t="s">
        <v>38</v>
      </c>
      <c r="E4" s="32" t="s">
        <v>39</v>
      </c>
      <c r="F4" s="32" t="s">
        <v>40</v>
      </c>
      <c r="G4" s="32" t="s">
        <v>91</v>
      </c>
    </row>
    <row r="5" spans="2:7" x14ac:dyDescent="0.25">
      <c r="B5" s="5" t="s">
        <v>92</v>
      </c>
      <c r="C5" s="20">
        <f>SUM('LED Cost Sheet'!Q4:Q50)</f>
        <v>6135419.850000001</v>
      </c>
      <c r="D5" s="20">
        <f>SUM('LED Cost Sheet'!S4:S50)</f>
        <v>7218141</v>
      </c>
      <c r="E5" s="20">
        <f>IFERROR(D5-C5,0)</f>
        <v>1082721.15</v>
      </c>
      <c r="F5" s="27">
        <v>0.15</v>
      </c>
      <c r="G5" s="20">
        <f>IFERROR(C5/33186.380000000005,0)</f>
        <v>184.88</v>
      </c>
    </row>
    <row r="6" spans="1:7" x14ac:dyDescent="0.25">
      <c r="A6" s="33"/>
      <c r="B6" s="7" t="s">
        <v>93</v>
      </c>
      <c r="C6" s="34">
        <f>SUM('FIELD RIBBON NORTH - Install'!I26:I26)+SUM('FIELD RIBBON EAST - Install'!I26:I26)+SUM('TEAM ROOM - Install'!I26:I26)+SUM('FIELD RIBBON WEST - Install'!I26:I26)+SUM('INCIDENT COMMAND - Install'!I26:I26)+SUM('DEF UNIT - Install'!I26:I26)+SUM('NORTH CORRIDOR - Install'!I26:I26)+SUM('SOUTH CORRIDOR - Install'!I26:I26)+SUM('S.E. CORRIDOR (CEILING) - Insta'!I26:I26)+SUM('S.E. CORRIDOR (CEILING10 - Inst'!I26:I26)+SUM('EAST CORRIDOR (CEILING) - Insta'!I26:I26)+SUM('N.E. CORRIDOR (CEILING) - Insta'!I26:I26)+SUM('N.E. CORRIDOR (CEILING13 - Inst'!I26:I26)+SUM('LARGE ADMIN ROOM - Install'!I26:I26)+SUM('ELEV LOBBY - Install'!I26:I26)+SUM('NORTH CLUB - Install'!I26:I26)+SUM('PANTHERS DEN - Install'!I26:I26)+SUM('PANTHERS DEN18 - Install'!I26:I26)+SUM('PANTHERS DEN19 - Install'!I26:I26)+SUM('PANTHERS DEN20 - Install'!I26:I26)+SUM('PANTHERS DEN21 - Install'!I26:I26)+SUM('PANTHERS DEN22 - Install'!I26:I26)+SUM('PANTHERS DEN23 - Install'!I26:I26)+SUM('SOUTH CLUB - Install'!I26:I26)+SUM('ELEV LOBBY25 - Install'!I26:I26)+SUM('SOUTH CLUB26 - Install'!I26:I26)+SUM('ELEV LOBBY27 - Install'!I26:I26)+SUM('ELEV LOBBY28 - Install'!I26:I26)+SUM('NORTH CLUB29 - Install'!I26:I26)+SUM('RIBBON NW - Install'!I26:I26)+SUM('RIBBON NW31 - Install'!I26:I26)+SUM('RIBBON NW32 - Install'!I26:I26)+SUM('RIBBON NW33 - Install'!I26:I26)+SUM('RIBBON SW - Install'!I26:I26)+SUM('RIBBON SW35 - Install'!I26:I26)+SUM('RIBBON SW36 - Install'!I26:I26)+SUM('SCOREBOARD EAST - Install'!I26:I26)+SUM('SCOREBOARD WEST - Install'!I26:I26)+SUM('EAST ENTRY A - Install'!I26:I26)+SUM('EAST ENTRY B - Install'!I26:I26)+SUM('EAST ENTRY C - Install'!I26:I26)+SUM('EAST ENTRY D - Install'!I26:I26)+SUM('NORTH EAST EXTERIOR NE - Instal'!I26:I26)+SUM('NORTH ENTRY C - Install'!I26:I26)+SUM('NORTH ENTRY C45 - Install'!I26:I26)+SUM('NORTH ENTRY C46 - Install'!I26:I26)+SUM('SOUTH EAST EXTERIOR SE - Instal'!I26:I26)</f>
        <v>798964.8700000001</v>
      </c>
      <c r="D6" s="34">
        <f>SUM('FIELD RIBBON NORTH - Install'!K26:K26)+SUM('FIELD RIBBON EAST - Install'!K26:K26)+SUM('TEAM ROOM - Install'!K26:K26)+SUM('FIELD RIBBON WEST - Install'!K26:K26)+SUM('INCIDENT COMMAND - Install'!K26:K26)+SUM('DEF UNIT - Install'!K26:K26)+SUM('NORTH CORRIDOR - Install'!K26:K26)+SUM('SOUTH CORRIDOR - Install'!K26:K26)+SUM('S.E. CORRIDOR (CEILING) - Insta'!K26:K26)+SUM('S.E. CORRIDOR (CEILING10 - Inst'!K26:K26)+SUM('EAST CORRIDOR (CEILING) - Insta'!K26:K26)+SUM('N.E. CORRIDOR (CEILING) - Insta'!K26:K26)+SUM('N.E. CORRIDOR (CEILING13 - Inst'!K26:K26)+SUM('LARGE ADMIN ROOM - Install'!K26:K26)+SUM('ELEV LOBBY - Install'!K26:K26)+SUM('NORTH CLUB - Install'!K26:K26)+SUM('PANTHERS DEN - Install'!K26:K26)+SUM('PANTHERS DEN18 - Install'!K26:K26)+SUM('PANTHERS DEN19 - Install'!K26:K26)+SUM('PANTHERS DEN20 - Install'!K26:K26)+SUM('PANTHERS DEN21 - Install'!K26:K26)+SUM('PANTHERS DEN22 - Install'!K26:K26)+SUM('PANTHERS DEN23 - Install'!K26:K26)+SUM('SOUTH CLUB - Install'!K26:K26)+SUM('ELEV LOBBY25 - Install'!K26:K26)+SUM('SOUTH CLUB26 - Install'!K26:K26)+SUM('ELEV LOBBY27 - Install'!K26:K26)+SUM('ELEV LOBBY28 - Install'!K26:K26)+SUM('NORTH CLUB29 - Install'!K26:K26)+SUM('RIBBON NW - Install'!K26:K26)+SUM('RIBBON NW31 - Install'!K26:K26)+SUM('RIBBON NW32 - Install'!K26:K26)+SUM('RIBBON NW33 - Install'!K26:K26)+SUM('RIBBON SW - Install'!K26:K26)+SUM('RIBBON SW35 - Install'!K26:K26)+SUM('RIBBON SW36 - Install'!K26:K26)+SUM('SCOREBOARD EAST - Install'!K26:K26)+SUM('SCOREBOARD WEST - Install'!K26:K26)+SUM('EAST ENTRY A - Install'!K26:K26)+SUM('EAST ENTRY B - Install'!K26:K26)+SUM('EAST ENTRY C - Install'!K26:K26)+SUM('EAST ENTRY D - Install'!K26:K26)+SUM('NORTH EAST EXTERIOR NE - Instal'!K26:K26)+SUM('NORTH ENTRY C - Install'!K26:K26)+SUM('NORTH ENTRY C45 - Install'!K26:K26)+SUM('NORTH ENTRY C46 - Install'!K26:K26)+SUM('SOUTH EAST EXTERIOR SE - Instal'!K26:K26)</f>
        <v>939958.67</v>
      </c>
      <c r="E6" s="34">
        <f>IFERROR(D6-C6,0)</f>
        <v>140993.8</v>
      </c>
      <c r="F6" s="35">
        <v>0.15</v>
      </c>
      <c r="G6" s="34">
        <f>IFERROR(C6/33186.380000000005,0)</f>
        <v>24.08</v>
      </c>
    </row>
    <row r="7" spans="2:7" x14ac:dyDescent="0.25">
      <c r="B7" s="5" t="s">
        <v>94</v>
      </c>
      <c r="C7" s="20">
        <f>(SUM('FIELD RIBBON NORTH - Install'!I35:I35)-SUM('FIELD RIBBON NORTH - Install'!I34:I34))+(SUM('FIELD RIBBON EAST - Install'!I35:I35)-SUM('FIELD RIBBON EAST - Install'!I34:I34))+(SUM('TEAM ROOM - Install'!I35:I35)-SUM('TEAM ROOM - Install'!I34:I34))+(SUM('FIELD RIBBON WEST - Install'!I35:I35)-SUM('FIELD RIBBON WEST - Install'!I34:I34))+(SUM('INCIDENT COMMAND - Install'!I35:I35)-SUM('INCIDENT COMMAND - Install'!I34:I34))+(SUM('DEF UNIT - Install'!I35:I35)-SUM('DEF UNIT - Install'!I34:I34))+(SUM('NORTH CORRIDOR - Install'!I35:I35)-SUM('NORTH CORRIDOR - Install'!I34:I34))+(SUM('SOUTH CORRIDOR - Install'!I35:I35)-SUM('SOUTH CORRIDOR - Install'!I34:I34))+(SUM('S.E. CORRIDOR (CEILING) - Insta'!I35:I35)-SUM('S.E. CORRIDOR (CEILING) - Insta'!I34:I34))+(SUM('S.E. CORRIDOR (CEILING10 - Inst'!I35:I35)-SUM('S.E. CORRIDOR (CEILING10 - Inst'!I34:I34))+(SUM('EAST CORRIDOR (CEILING) - Insta'!I35:I35)-SUM('EAST CORRIDOR (CEILING) - Insta'!I34:I34))+(SUM('N.E. CORRIDOR (CEILING) - Insta'!I35:I35)-SUM('N.E. CORRIDOR (CEILING) - Insta'!I34:I34))+(SUM('N.E. CORRIDOR (CEILING13 - Inst'!I35:I35)-SUM('N.E. CORRIDOR (CEILING13 - Inst'!I34:I34))+(SUM('LARGE ADMIN ROOM - Install'!I35:I35)-SUM('LARGE ADMIN ROOM - Install'!I34:I34))+(SUM('ELEV LOBBY - Install'!I35:I35)-SUM('ELEV LOBBY - Install'!I34:I34))+(SUM('NORTH CLUB - Install'!I35:I35)-SUM('NORTH CLUB - Install'!I34:I34))+(SUM('PANTHERS DEN - Install'!I35:I35)-SUM('PANTHERS DEN - Install'!I34:I34))+(SUM('PANTHERS DEN18 - Install'!I35:I35)-SUM('PANTHERS DEN18 - Install'!I34:I34))+(SUM('PANTHERS DEN19 - Install'!I35:I35)-SUM('PANTHERS DEN19 - Install'!I34:I34))+(SUM('PANTHERS DEN20 - Install'!I35:I35)-SUM('PANTHERS DEN20 - Install'!I34:I34))+(SUM('PANTHERS DEN21 - Install'!I35:I35)-SUM('PANTHERS DEN21 - Install'!I34:I34))+(SUM('PANTHERS DEN22 - Install'!I35:I35)-SUM('PANTHERS DEN22 - Install'!I34:I34))+(SUM('PANTHERS DEN23 - Install'!I35:I35)-SUM('PANTHERS DEN23 - Install'!I34:I34))+(SUM('SOUTH CLUB - Install'!I35:I35)-SUM('SOUTH CLUB - Install'!I34:I34))+(SUM('ELEV LOBBY25 - Install'!I35:I35)-SUM('ELEV LOBBY25 - Install'!I34:I34))+(SUM('SOUTH CLUB26 - Install'!I35:I35)-SUM('SOUTH CLUB26 - Install'!I34:I34))+(SUM('ELEV LOBBY27 - Install'!I35:I35)-SUM('ELEV LOBBY27 - Install'!I34:I34))+(SUM('ELEV LOBBY28 - Install'!I35:I35)-SUM('ELEV LOBBY28 - Install'!I34:I34))+(SUM('NORTH CLUB29 - Install'!I35:I35)-SUM('NORTH CLUB29 - Install'!I34:I34))+(SUM('RIBBON NW - Install'!I35:I35)-SUM('RIBBON NW - Install'!I34:I34))+(SUM('RIBBON NW31 - Install'!I35:I35)-SUM('RIBBON NW31 - Install'!I34:I34))+(SUM('RIBBON NW32 - Install'!I35:I35)-SUM('RIBBON NW32 - Install'!I34:I34))+(SUM('RIBBON NW33 - Install'!I35:I35)-SUM('RIBBON NW33 - Install'!I34:I34))+(SUM('RIBBON SW - Install'!I35:I35)-SUM('RIBBON SW - Install'!I34:I34))+(SUM('RIBBON SW35 - Install'!I35:I35)-SUM('RIBBON SW35 - Install'!I34:I34))+(SUM('RIBBON SW36 - Install'!I35:I35)-SUM('RIBBON SW36 - Install'!I34:I34))+(SUM('SCOREBOARD EAST - Install'!I35:I35)-SUM('SCOREBOARD EAST - Install'!I34:I34))+(SUM('SCOREBOARD WEST - Install'!I35:I35)-SUM('SCOREBOARD WEST - Install'!I34:I34))+(SUM('EAST ENTRY A - Install'!I35:I35)-SUM('EAST ENTRY A - Install'!I34:I34))+(SUM('EAST ENTRY B - Install'!I35:I35)-SUM('EAST ENTRY B - Install'!I34:I34))+(SUM('EAST ENTRY C - Install'!I35:I35)-SUM('EAST ENTRY C - Install'!I34:I34))+(SUM('EAST ENTRY D - Install'!I35:I35)-SUM('EAST ENTRY D - Install'!I34:I34))+(SUM('NORTH EAST EXTERIOR NE - Instal'!I35:I35)-SUM('NORTH EAST EXTERIOR NE - Instal'!I34:I34))+(SUM('NORTH ENTRY C - Install'!I35:I35)-SUM('NORTH ENTRY C - Install'!I34:I34))+(SUM('NORTH ENTRY C45 - Install'!I35:I35)-SUM('NORTH ENTRY C45 - Install'!I34:I34))+(SUM('NORTH ENTRY C46 - Install'!I35:I35)-SUM('NORTH ENTRY C46 - Install'!I34:I34))+(SUM('SOUTH EAST EXTERIOR SE - Instal'!I35:I35)-SUM('SOUTH EAST EXTERIOR SE - Instal'!I34:I34))</f>
        <v>5001136.409999999</v>
      </c>
      <c r="D7" s="20">
        <f>(SUM('FIELD RIBBON NORTH - Install'!K35:K35)-SUM('FIELD RIBBON NORTH - Install'!K34:K34))+(SUM('FIELD RIBBON EAST - Install'!K35:K35)-SUM('FIELD RIBBON EAST - Install'!K34:K34))+(SUM('TEAM ROOM - Install'!K35:K35)-SUM('TEAM ROOM - Install'!K34:K34))+(SUM('FIELD RIBBON WEST - Install'!K35:K35)-SUM('FIELD RIBBON WEST - Install'!K34:K34))+(SUM('INCIDENT COMMAND - Install'!K35:K35)-SUM('INCIDENT COMMAND - Install'!K34:K34))+(SUM('DEF UNIT - Install'!K35:K35)-SUM('DEF UNIT - Install'!K34:K34))+(SUM('NORTH CORRIDOR - Install'!K35:K35)-SUM('NORTH CORRIDOR - Install'!K34:K34))+(SUM('SOUTH CORRIDOR - Install'!K35:K35)-SUM('SOUTH CORRIDOR - Install'!K34:K34))+(SUM('S.E. CORRIDOR (CEILING) - Insta'!K35:K35)-SUM('S.E. CORRIDOR (CEILING) - Insta'!K34:K34))+(SUM('S.E. CORRIDOR (CEILING10 - Inst'!K35:K35)-SUM('S.E. CORRIDOR (CEILING10 - Inst'!K34:K34))+(SUM('EAST CORRIDOR (CEILING) - Insta'!K35:K35)-SUM('EAST CORRIDOR (CEILING) - Insta'!K34:K34))+(SUM('N.E. CORRIDOR (CEILING) - Insta'!K35:K35)-SUM('N.E. CORRIDOR (CEILING) - Insta'!K34:K34))+(SUM('N.E. CORRIDOR (CEILING13 - Inst'!K35:K35)-SUM('N.E. CORRIDOR (CEILING13 - Inst'!K34:K34))+(SUM('LARGE ADMIN ROOM - Install'!K35:K35)-SUM('LARGE ADMIN ROOM - Install'!K34:K34))+(SUM('ELEV LOBBY - Install'!K35:K35)-SUM('ELEV LOBBY - Install'!K34:K34))+(SUM('NORTH CLUB - Install'!K35:K35)-SUM('NORTH CLUB - Install'!K34:K34))+(SUM('PANTHERS DEN - Install'!K35:K35)-SUM('PANTHERS DEN - Install'!K34:K34))+(SUM('PANTHERS DEN18 - Install'!K35:K35)-SUM('PANTHERS DEN18 - Install'!K34:K34))+(SUM('PANTHERS DEN19 - Install'!K35:K35)-SUM('PANTHERS DEN19 - Install'!K34:K34))+(SUM('PANTHERS DEN20 - Install'!K35:K35)-SUM('PANTHERS DEN20 - Install'!K34:K34))+(SUM('PANTHERS DEN21 - Install'!K35:K35)-SUM('PANTHERS DEN21 - Install'!K34:K34))+(SUM('PANTHERS DEN22 - Install'!K35:K35)-SUM('PANTHERS DEN22 - Install'!K34:K34))+(SUM('PANTHERS DEN23 - Install'!K35:K35)-SUM('PANTHERS DEN23 - Install'!K34:K34))+(SUM('SOUTH CLUB - Install'!K35:K35)-SUM('SOUTH CLUB - Install'!K34:K34))+(SUM('ELEV LOBBY25 - Install'!K35:K35)-SUM('ELEV LOBBY25 - Install'!K34:K34))+(SUM('SOUTH CLUB26 - Install'!K35:K35)-SUM('SOUTH CLUB26 - Install'!K34:K34))+(SUM('ELEV LOBBY27 - Install'!K35:K35)-SUM('ELEV LOBBY27 - Install'!K34:K34))+(SUM('ELEV LOBBY28 - Install'!K35:K35)-SUM('ELEV LOBBY28 - Install'!K34:K34))+(SUM('NORTH CLUB29 - Install'!K35:K35)-SUM('NORTH CLUB29 - Install'!K34:K34))+(SUM('RIBBON NW - Install'!K35:K35)-SUM('RIBBON NW - Install'!K34:K34))+(SUM('RIBBON NW31 - Install'!K35:K35)-SUM('RIBBON NW31 - Install'!K34:K34))+(SUM('RIBBON NW32 - Install'!K35:K35)-SUM('RIBBON NW32 - Install'!K34:K34))+(SUM('RIBBON NW33 - Install'!K35:K35)-SUM('RIBBON NW33 - Install'!K34:K34))+(SUM('RIBBON SW - Install'!K35:K35)-SUM('RIBBON SW - Install'!K34:K34))+(SUM('RIBBON SW35 - Install'!K35:K35)-SUM('RIBBON SW35 - Install'!K34:K34))+(SUM('RIBBON SW36 - Install'!K35:K35)-SUM('RIBBON SW36 - Install'!K34:K34))+(SUM('SCOREBOARD EAST - Install'!K35:K35)-SUM('SCOREBOARD EAST - Install'!K34:K34))+(SUM('SCOREBOARD WEST - Install'!K35:K35)-SUM('SCOREBOARD WEST - Install'!K34:K34))+(SUM('EAST ENTRY A - Install'!K35:K35)-SUM('EAST ENTRY A - Install'!K34:K34))+(SUM('EAST ENTRY B - Install'!K35:K35)-SUM('EAST ENTRY B - Install'!K34:K34))+(SUM('EAST ENTRY C - Install'!K35:K35)-SUM('EAST ENTRY C - Install'!K34:K34))+(SUM('EAST ENTRY D - Install'!K35:K35)-SUM('EAST ENTRY D - Install'!K34:K34))+(SUM('NORTH EAST EXTERIOR NE - Instal'!K35:K35)-SUM('NORTH EAST EXTERIOR NE - Instal'!K34:K34))+(SUM('NORTH ENTRY C - Install'!K35:K35)-SUM('NORTH ENTRY C - Install'!K34:K34))+(SUM('NORTH ENTRY C45 - Install'!K35:K35)-SUM('NORTH ENTRY C45 - Install'!K34:K34))+(SUM('NORTH ENTRY C46 - Install'!K35:K35)-SUM('NORTH ENTRY C46 - Install'!K34:K34))+(SUM('SOUTH EAST EXTERIOR SE - Instal'!K35:K35)-SUM('SOUTH EAST EXTERIOR SE - Instal'!K34:K34))</f>
        <v>5883689.89</v>
      </c>
      <c r="E7" s="20">
        <f>IFERROR(D7-C7,0)</f>
        <v>882553.48</v>
      </c>
      <c r="F7" s="27">
        <v>0.15</v>
      </c>
      <c r="G7" s="20">
        <f>IFERROR(C7/33186.380000000005,0)</f>
        <v>150.7</v>
      </c>
    </row>
    <row r="8" spans="1:7" x14ac:dyDescent="0.25">
      <c r="A8" s="33"/>
      <c r="B8" s="7" t="s">
        <v>95</v>
      </c>
      <c r="C8" s="34">
        <f>SUM('FIELD RIBBON NORTH - Install'!I44:I44)+SUM('FIELD RIBBON EAST - Install'!I44:I44)+SUM('TEAM ROOM - Install'!I44:I44)+SUM('FIELD RIBBON WEST - Install'!I44:I44)+SUM('INCIDENT COMMAND - Install'!I44:I44)+SUM('DEF UNIT - Install'!I44:I44)+SUM('NORTH CORRIDOR - Install'!I44:I44)+SUM('SOUTH CORRIDOR - Install'!I44:I44)+SUM('S.E. CORRIDOR (CEILING) - Insta'!I44:I44)+SUM('S.E. CORRIDOR (CEILING10 - Inst'!I44:I44)+SUM('EAST CORRIDOR (CEILING) - Insta'!I44:I44)+SUM('N.E. CORRIDOR (CEILING) - Insta'!I44:I44)+SUM('N.E. CORRIDOR (CEILING13 - Inst'!I44:I44)+SUM('LARGE ADMIN ROOM - Install'!I44:I44)+SUM('ELEV LOBBY - Install'!I44:I44)+SUM('NORTH CLUB - Install'!I44:I44)+SUM('PANTHERS DEN - Install'!I44:I44)+SUM('PANTHERS DEN18 - Install'!I44:I44)+SUM('PANTHERS DEN19 - Install'!I44:I44)+SUM('PANTHERS DEN20 - Install'!I44:I44)+SUM('PANTHERS DEN21 - Install'!I44:I44)+SUM('PANTHERS DEN22 - Install'!I44:I44)+SUM('PANTHERS DEN23 - Install'!I44:I44)+SUM('SOUTH CLUB - Install'!I44:I44)+SUM('ELEV LOBBY25 - Install'!I44:I44)+SUM('SOUTH CLUB26 - Install'!I44:I44)+SUM('ELEV LOBBY27 - Install'!I44:I44)+SUM('ELEV LOBBY28 - Install'!I44:I44)+SUM('NORTH CLUB29 - Install'!I44:I44)+SUM('RIBBON NW - Install'!I44:I44)+SUM('RIBBON NW31 - Install'!I44:I44)+SUM('RIBBON NW32 - Install'!I44:I44)+SUM('RIBBON NW33 - Install'!I44:I44)+SUM('RIBBON SW - Install'!I44:I44)+SUM('RIBBON SW35 - Install'!I44:I44)+SUM('RIBBON SW36 - Install'!I44:I44)+SUM('SCOREBOARD EAST - Install'!I44:I44)+SUM('SCOREBOARD WEST - Install'!I44:I44)+SUM('EAST ENTRY A - Install'!I44:I44)+SUM('EAST ENTRY B - Install'!I44:I44)+SUM('EAST ENTRY C - Install'!I44:I44)+SUM('EAST ENTRY D - Install'!I44:I44)+SUM('NORTH EAST EXTERIOR NE - Instal'!I44:I44)+SUM('NORTH ENTRY C - Install'!I44:I44)+SUM('NORTH ENTRY C45 - Install'!I44:I44)+SUM('NORTH ENTRY C46 - Install'!I44:I44)+SUM('SOUTH EAST EXTERIOR SE - Instal'!I44:I44)</f>
        <v>1955793.8</v>
      </c>
      <c r="D8" s="34">
        <f>SUM('FIELD RIBBON NORTH - Install'!K44:K44)+SUM('FIELD RIBBON EAST - Install'!K44:K44)+SUM('TEAM ROOM - Install'!K44:K44)+SUM('FIELD RIBBON WEST - Install'!K44:K44)+SUM('INCIDENT COMMAND - Install'!K44:K44)+SUM('DEF UNIT - Install'!K44:K44)+SUM('NORTH CORRIDOR - Install'!K44:K44)+SUM('SOUTH CORRIDOR - Install'!K44:K44)+SUM('S.E. CORRIDOR (CEILING) - Insta'!K44:K44)+SUM('S.E. CORRIDOR (CEILING10 - Inst'!K44:K44)+SUM('EAST CORRIDOR (CEILING) - Insta'!K44:K44)+SUM('N.E. CORRIDOR (CEILING) - Insta'!K44:K44)+SUM('N.E. CORRIDOR (CEILING13 - Inst'!K44:K44)+SUM('LARGE ADMIN ROOM - Install'!K44:K44)+SUM('ELEV LOBBY - Install'!K44:K44)+SUM('NORTH CLUB - Install'!K44:K44)+SUM('PANTHERS DEN - Install'!K44:K44)+SUM('PANTHERS DEN18 - Install'!K44:K44)+SUM('PANTHERS DEN19 - Install'!K44:K44)+SUM('PANTHERS DEN20 - Install'!K44:K44)+SUM('PANTHERS DEN21 - Install'!K44:K44)+SUM('PANTHERS DEN22 - Install'!K44:K44)+SUM('PANTHERS DEN23 - Install'!K44:K44)+SUM('SOUTH CLUB - Install'!K44:K44)+SUM('ELEV LOBBY25 - Install'!K44:K44)+SUM('SOUTH CLUB26 - Install'!K44:K44)+SUM('ELEV LOBBY27 - Install'!K44:K44)+SUM('ELEV LOBBY28 - Install'!K44:K44)+SUM('NORTH CLUB29 - Install'!K44:K44)+SUM('RIBBON NW - Install'!K44:K44)+SUM('RIBBON NW31 - Install'!K44:K44)+SUM('RIBBON NW32 - Install'!K44:K44)+SUM('RIBBON NW33 - Install'!K44:K44)+SUM('RIBBON SW - Install'!K44:K44)+SUM('RIBBON SW35 - Install'!K44:K44)+SUM('RIBBON SW36 - Install'!K44:K44)+SUM('SCOREBOARD EAST - Install'!K44:K44)+SUM('SCOREBOARD WEST - Install'!K44:K44)+SUM('EAST ENTRY A - Install'!K44:K44)+SUM('EAST ENTRY B - Install'!K44:K44)+SUM('EAST ENTRY C - Install'!K44:K44)+SUM('EAST ENTRY D - Install'!K44:K44)+SUM('NORTH EAST EXTERIOR NE - Instal'!K44:K44)+SUM('NORTH ENTRY C - Install'!K44:K44)+SUM('NORTH ENTRY C45 - Install'!K44:K44)+SUM('NORTH ENTRY C46 - Install'!K44:K44)+SUM('SOUTH EAST EXTERIOR SE - Instal'!K44:K44)</f>
        <v>2300933.88</v>
      </c>
      <c r="E8" s="34">
        <f>IFERROR(D8-C8,0)</f>
        <v>345140.08</v>
      </c>
      <c r="F8" s="35">
        <v>0.15</v>
      </c>
      <c r="G8" s="34">
        <f>IFERROR(C8/33186.380000000005,0)</f>
        <v>58.93</v>
      </c>
    </row>
    <row r="9" spans="2:7" x14ac:dyDescent="0.25">
      <c r="B9" s="5" t="s">
        <v>96</v>
      </c>
      <c r="C9" s="20">
        <f>SUM('FIELD RIBBON NORTH - Install'!I34:I34)+SUM('FIELD RIBBON EAST - Install'!I34:I34)+SUM('TEAM ROOM - Install'!I34:I34)+SUM('FIELD RIBBON WEST - Install'!I34:I34)+SUM('INCIDENT COMMAND - Install'!I34:I34)+SUM('DEF UNIT - Install'!I34:I34)+SUM('NORTH CORRIDOR - Install'!I34:I34)+SUM('SOUTH CORRIDOR - Install'!I34:I34)+SUM('S.E. CORRIDOR (CEILING) - Insta'!I34:I34)+SUM('S.E. CORRIDOR (CEILING10 - Inst'!I34:I34)+SUM('EAST CORRIDOR (CEILING) - Insta'!I34:I34)+SUM('N.E. CORRIDOR (CEILING) - Insta'!I34:I34)+SUM('N.E. CORRIDOR (CEILING13 - Inst'!I34:I34)+SUM('LARGE ADMIN ROOM - Install'!I34:I34)+SUM('ELEV LOBBY - Install'!I34:I34)+SUM('NORTH CLUB - Install'!I34:I34)+SUM('PANTHERS DEN - Install'!I34:I34)+SUM('PANTHERS DEN18 - Install'!I34:I34)+SUM('PANTHERS DEN19 - Install'!I34:I34)+SUM('PANTHERS DEN20 - Install'!I34:I34)+SUM('PANTHERS DEN21 - Install'!I34:I34)+SUM('PANTHERS DEN22 - Install'!I34:I34)+SUM('PANTHERS DEN23 - Install'!I34:I34)+SUM('SOUTH CLUB - Install'!I34:I34)+SUM('ELEV LOBBY25 - Install'!I34:I34)+SUM('SOUTH CLUB26 - Install'!I34:I34)+SUM('ELEV LOBBY27 - Install'!I34:I34)+SUM('ELEV LOBBY28 - Install'!I34:I34)+SUM('NORTH CLUB29 - Install'!I34:I34)+SUM('RIBBON NW - Install'!I34:I34)+SUM('RIBBON NW31 - Install'!I34:I34)+SUM('RIBBON NW32 - Install'!I34:I34)+SUM('RIBBON NW33 - Install'!I34:I34)+SUM('RIBBON SW - Install'!I34:I34)+SUM('RIBBON SW35 - Install'!I34:I34)+SUM('RIBBON SW36 - Install'!I34:I34)+SUM('SCOREBOARD EAST - Install'!I34:I34)+SUM('SCOREBOARD WEST - Install'!I34:I34)+SUM('EAST ENTRY A - Install'!I34:I34)+SUM('EAST ENTRY B - Install'!I34:I34)+SUM('EAST ENTRY C - Install'!I34:I34)+SUM('EAST ENTRY D - Install'!I34:I34)+SUM('NORTH EAST EXTERIOR NE - Instal'!I34:I34)+SUM('NORTH ENTRY C - Install'!I34:I34)+SUM('NORTH ENTRY C45 - Install'!I34:I34)+SUM('NORTH ENTRY C46 - Install'!I34:I34)+SUM('SOUTH EAST EXTERIOR SE - Instal'!I34:I34)</f>
        <v>981470.4499999993</v>
      </c>
      <c r="D9" s="20">
        <f>SUM('FIELD RIBBON NORTH - Install'!K34:K34)+SUM('FIELD RIBBON EAST - Install'!K34:K34)+SUM('TEAM ROOM - Install'!K34:K34)+SUM('FIELD RIBBON WEST - Install'!K34:K34)+SUM('INCIDENT COMMAND - Install'!K34:K34)+SUM('DEF UNIT - Install'!K34:K34)+SUM('NORTH CORRIDOR - Install'!K34:K34)+SUM('SOUTH CORRIDOR - Install'!K34:K34)+SUM('S.E. CORRIDOR (CEILING) - Insta'!K34:K34)+SUM('S.E. CORRIDOR (CEILING10 - Inst'!K34:K34)+SUM('EAST CORRIDOR (CEILING) - Insta'!K34:K34)+SUM('N.E. CORRIDOR (CEILING) - Insta'!K34:K34)+SUM('N.E. CORRIDOR (CEILING13 - Inst'!K34:K34)+SUM('LARGE ADMIN ROOM - Install'!K34:K34)+SUM('ELEV LOBBY - Install'!K34:K34)+SUM('NORTH CLUB - Install'!K34:K34)+SUM('PANTHERS DEN - Install'!K34:K34)+SUM('PANTHERS DEN18 - Install'!K34:K34)+SUM('PANTHERS DEN19 - Install'!K34:K34)+SUM('PANTHERS DEN20 - Install'!K34:K34)+SUM('PANTHERS DEN21 - Install'!K34:K34)+SUM('PANTHERS DEN22 - Install'!K34:K34)+SUM('PANTHERS DEN23 - Install'!K34:K34)+SUM('SOUTH CLUB - Install'!K34:K34)+SUM('ELEV LOBBY25 - Install'!K34:K34)+SUM('SOUTH CLUB26 - Install'!K34:K34)+SUM('ELEV LOBBY27 - Install'!K34:K34)+SUM('ELEV LOBBY28 - Install'!K34:K34)+SUM('NORTH CLUB29 - Install'!K34:K34)+SUM('RIBBON NW - Install'!K34:K34)+SUM('RIBBON NW31 - Install'!K34:K34)+SUM('RIBBON NW32 - Install'!K34:K34)+SUM('RIBBON NW33 - Install'!K34:K34)+SUM('RIBBON SW - Install'!K34:K34)+SUM('RIBBON SW35 - Install'!K34:K34)+SUM('RIBBON SW36 - Install'!K34:K34)+SUM('SCOREBOARD EAST - Install'!K34:K34)+SUM('SCOREBOARD WEST - Install'!K34:K34)+SUM('EAST ENTRY A - Install'!K34:K34)+SUM('EAST ENTRY B - Install'!K34:K34)+SUM('EAST ENTRY C - Install'!K34:K34)+SUM('EAST ENTRY D - Install'!K34:K34)+SUM('NORTH EAST EXTERIOR NE - Instal'!K34:K34)+SUM('NORTH ENTRY C - Install'!K34:K34)+SUM('NORTH ENTRY C45 - Install'!K34:K34)+SUM('NORTH ENTRY C46 - Install'!K34:K34)+SUM('SOUTH EAST EXTERIOR SE - Instal'!K34:K34)</f>
        <v>1154671.12</v>
      </c>
      <c r="E9" s="20">
        <f>IFERROR(D9-C9,0)</f>
        <v>173200.67</v>
      </c>
      <c r="F9" s="27">
        <v>0.15</v>
      </c>
      <c r="G9" s="20" t="s">
        <v>35</v>
      </c>
    </row>
    <row r="10" spans="1:7" x14ac:dyDescent="0.25">
      <c r="A10" s="33"/>
      <c r="B10" s="7" t="s">
        <v>97</v>
      </c>
      <c r="C10" s="34">
        <f>SUM('FIELD RIBBON NORTH - Install'!I52:I52)+SUM('FIELD RIBBON EAST - Install'!I52:I52)+SUM('TEAM ROOM - Install'!I52:I52)+SUM('FIELD RIBBON WEST - Install'!I52:I52)+SUM('INCIDENT COMMAND - Install'!I52:I52)+SUM('DEF UNIT - Install'!I52:I52)+SUM('NORTH CORRIDOR - Install'!I52:I52)+SUM('SOUTH CORRIDOR - Install'!I52:I52)+SUM('S.E. CORRIDOR (CEILING) - Insta'!I52:I52)+SUM('S.E. CORRIDOR (CEILING10 - Inst'!I52:I52)+SUM('EAST CORRIDOR (CEILING) - Insta'!I52:I52)+SUM('N.E. CORRIDOR (CEILING) - Insta'!I52:I52)+SUM('N.E. CORRIDOR (CEILING13 - Inst'!I52:I52)+SUM('LARGE ADMIN ROOM - Install'!I52:I52)+SUM('ELEV LOBBY - Install'!I52:I52)+SUM('NORTH CLUB - Install'!I52:I52)+SUM('PANTHERS DEN - Install'!I52:I52)+SUM('PANTHERS DEN18 - Install'!I52:I52)+SUM('PANTHERS DEN19 - Install'!I52:I52)+SUM('PANTHERS DEN20 - Install'!I52:I52)+SUM('PANTHERS DEN21 - Install'!I52:I52)+SUM('PANTHERS DEN22 - Install'!I52:I52)+SUM('PANTHERS DEN23 - Install'!I52:I52)+SUM('SOUTH CLUB - Install'!I52:I52)+SUM('ELEV LOBBY25 - Install'!I52:I52)+SUM('SOUTH CLUB26 - Install'!I52:I52)+SUM('ELEV LOBBY27 - Install'!I52:I52)+SUM('ELEV LOBBY28 - Install'!I52:I52)+SUM('NORTH CLUB29 - Install'!I52:I52)+SUM('RIBBON NW - Install'!I52:I52)+SUM('RIBBON NW31 - Install'!I52:I52)+SUM('RIBBON NW32 - Install'!I52:I52)+SUM('RIBBON NW33 - Install'!I52:I52)+SUM('RIBBON SW - Install'!I52:I52)+SUM('RIBBON SW35 - Install'!I52:I52)+SUM('RIBBON SW36 - Install'!I52:I52)+SUM('SCOREBOARD EAST - Install'!I52:I52)+SUM('SCOREBOARD WEST - Install'!I52:I52)+SUM('EAST ENTRY A - Install'!I52:I52)+SUM('EAST ENTRY B - Install'!I52:I52)+SUM('EAST ENTRY C - Install'!I52:I52)+SUM('EAST ENTRY D - Install'!I52:I52)+SUM('NORTH EAST EXTERIOR NE - Instal'!I52:I52)+SUM('NORTH ENTRY C - Install'!I52:I52)+SUM('NORTH ENTRY C45 - Install'!I52:I52)+SUM('NORTH ENTRY C46 - Install'!I52:I52)+SUM('SOUTH EAST EXTERIOR SE - Instal'!I52:I52)</f>
        <v>221176.36000000013</v>
      </c>
      <c r="D10" s="34">
        <f>SUM('FIELD RIBBON NORTH - Install'!K52:K52)+SUM('FIELD RIBBON EAST - Install'!K52:K52)+SUM('TEAM ROOM - Install'!K52:K52)+SUM('FIELD RIBBON WEST - Install'!K52:K52)+SUM('INCIDENT COMMAND - Install'!K52:K52)+SUM('DEF UNIT - Install'!K52:K52)+SUM('NORTH CORRIDOR - Install'!K52:K52)+SUM('SOUTH CORRIDOR - Install'!K52:K52)+SUM('S.E. CORRIDOR (CEILING) - Insta'!K52:K52)+SUM('S.E. CORRIDOR (CEILING10 - Inst'!K52:K52)+SUM('EAST CORRIDOR (CEILING) - Insta'!K52:K52)+SUM('N.E. CORRIDOR (CEILING) - Insta'!K52:K52)+SUM('N.E. CORRIDOR (CEILING13 - Inst'!K52:K52)+SUM('LARGE ADMIN ROOM - Install'!K52:K52)+SUM('ELEV LOBBY - Install'!K52:K52)+SUM('NORTH CLUB - Install'!K52:K52)+SUM('PANTHERS DEN - Install'!K52:K52)+SUM('PANTHERS DEN18 - Install'!K52:K52)+SUM('PANTHERS DEN19 - Install'!K52:K52)+SUM('PANTHERS DEN20 - Install'!K52:K52)+SUM('PANTHERS DEN21 - Install'!K52:K52)+SUM('PANTHERS DEN22 - Install'!K52:K52)+SUM('PANTHERS DEN23 - Install'!K52:K52)+SUM('SOUTH CLUB - Install'!K52:K52)+SUM('ELEV LOBBY25 - Install'!K52:K52)+SUM('SOUTH CLUB26 - Install'!K52:K52)+SUM('ELEV LOBBY27 - Install'!K52:K52)+SUM('ELEV LOBBY28 - Install'!K52:K52)+SUM('NORTH CLUB29 - Install'!K52:K52)+SUM('RIBBON NW - Install'!K52:K52)+SUM('RIBBON NW31 - Install'!K52:K52)+SUM('RIBBON NW32 - Install'!K52:K52)+SUM('RIBBON NW33 - Install'!K52:K52)+SUM('RIBBON SW - Install'!K52:K52)+SUM('RIBBON SW35 - Install'!K52:K52)+SUM('RIBBON SW36 - Install'!K52:K52)+SUM('SCOREBOARD EAST - Install'!K52:K52)+SUM('SCOREBOARD WEST - Install'!K52:K52)+SUM('EAST ENTRY A - Install'!K52:K52)+SUM('EAST ENTRY B - Install'!K52:K52)+SUM('EAST ENTRY C - Install'!K52:K52)+SUM('EAST ENTRY D - Install'!K52:K52)+SUM('NORTH EAST EXTERIOR NE - Instal'!K52:K52)+SUM('NORTH ENTRY C - Install'!K52:K52)+SUM('NORTH ENTRY C45 - Install'!K52:K52)+SUM('NORTH ENTRY C46 - Install'!K52:K52)+SUM('SOUTH EAST EXTERIOR SE - Instal'!K52:K52)</f>
        <v>260207.48</v>
      </c>
      <c r="E10" s="34">
        <f>IFERROR(D10-C10,0)</f>
        <v>39031.12</v>
      </c>
      <c r="F10" s="35">
        <v>0.15</v>
      </c>
      <c r="G10" s="34" t="s">
        <v>35</v>
      </c>
    </row>
    <row r="11" spans="2:7" x14ac:dyDescent="0.25">
      <c r="B11" s="5" t="s">
        <v>80</v>
      </c>
      <c r="C11" s="20">
        <f>SUM(CMS!F26:F26)</f>
        <v>0</v>
      </c>
      <c r="D11" s="20">
        <f>SUM(CMS!H26:H26)</f>
        <v>0</v>
      </c>
      <c r="E11" s="20">
        <f>IFERROR(D11-C11,0)</f>
        <v>0</v>
      </c>
      <c r="F11" s="27">
        <v>0.15</v>
      </c>
      <c r="G11" s="20" t="s">
        <v>35</v>
      </c>
    </row>
    <row r="12" spans="1:7" x14ac:dyDescent="0.25">
      <c r="A12" s="33"/>
      <c r="B12" s="7" t="s">
        <v>81</v>
      </c>
      <c r="C12" s="34">
        <f>SUM(Scoring!F27:F27)</f>
        <v>0</v>
      </c>
      <c r="D12" s="34">
        <f>SUM(Scoring!H27:H27)</f>
        <v>0</v>
      </c>
      <c r="E12" s="34">
        <f>IFERROR(D12-C12,0)</f>
        <v>0</v>
      </c>
      <c r="F12" s="35">
        <v>0.15</v>
      </c>
      <c r="G12" s="34" t="s">
        <v>35</v>
      </c>
    </row>
    <row r="13" spans="2:7" x14ac:dyDescent="0.25">
      <c r="B13" s="5" t="s">
        <v>82</v>
      </c>
      <c r="C13" s="20">
        <f>SUM('Venue Services'!B17:B17)</f>
        <v>0</v>
      </c>
      <c r="D13" s="20">
        <f>SUM('Venue Services'!C17:C17)</f>
        <v>0</v>
      </c>
      <c r="E13" s="20">
        <f>IFERROR(D13-C13,0)</f>
        <v>0</v>
      </c>
      <c r="F13" s="27">
        <v>0.15</v>
      </c>
      <c r="G13" s="20" t="s">
        <v>35</v>
      </c>
    </row>
    <row r="14" spans="1:7" x14ac:dyDescent="0.25">
      <c r="A14" s="33"/>
      <c r="B14" s="7" t="s">
        <v>83</v>
      </c>
      <c r="C14" s="34">
        <f>SUM('Additional Items'!F5:F5)</f>
        <v>0</v>
      </c>
      <c r="D14" s="34">
        <f>SUM('Additional Items'!H5:H5)</f>
        <v>0</v>
      </c>
      <c r="E14" s="34">
        <f>IFERROR(D14-C14,0)</f>
        <v>0</v>
      </c>
      <c r="F14" s="35">
        <v>0.15</v>
      </c>
      <c r="G14" s="34" t="s">
        <v>35</v>
      </c>
    </row>
    <row r="15" spans="2:7" x14ac:dyDescent="0.25">
      <c r="B15" s="5" t="s">
        <v>84</v>
      </c>
      <c r="C15" s="20">
        <f>SUM('Additional Items'!F6:F6)</f>
        <v>0</v>
      </c>
      <c r="D15" s="20">
        <f>SUM('Additional Items'!H6:H6)</f>
        <v>0</v>
      </c>
      <c r="E15" s="20">
        <f>IFERROR(D15-C15,0)</f>
        <v>0</v>
      </c>
      <c r="F15" s="27">
        <v>0.15</v>
      </c>
      <c r="G15" s="20" t="s">
        <v>35</v>
      </c>
    </row>
    <row r="16" spans="1:7" x14ac:dyDescent="0.25">
      <c r="A16" s="33"/>
      <c r="B16" s="7" t="s">
        <v>85</v>
      </c>
      <c r="C16" s="34">
        <f>SUM('Additional Items'!F7:F7)</f>
        <v>0</v>
      </c>
      <c r="D16" s="34">
        <f>SUM('Additional Items'!H7:H7)</f>
        <v>0</v>
      </c>
      <c r="E16" s="34">
        <f>IFERROR(D16-C16,0)</f>
        <v>0</v>
      </c>
      <c r="F16" s="35">
        <v>0.15</v>
      </c>
      <c r="G16" s="34" t="s">
        <v>35</v>
      </c>
    </row>
    <row r="17" spans="2:7" x14ac:dyDescent="0.25">
      <c r="B17" s="5" t="s">
        <v>86</v>
      </c>
      <c r="C17" s="20">
        <f>SUM('Additional Items'!F8:F8)</f>
        <v>0</v>
      </c>
      <c r="D17" s="20">
        <f>SUM('Additional Items'!H8:H8)</f>
        <v>0</v>
      </c>
      <c r="E17" s="20">
        <f>IFERROR(D17-C17,0)</f>
        <v>0</v>
      </c>
      <c r="F17" s="27">
        <v>0.15</v>
      </c>
      <c r="G17" s="20" t="s">
        <v>35</v>
      </c>
    </row>
    <row r="19" spans="1:7" x14ac:dyDescent="0.25">
      <c r="A19" s="36"/>
      <c r="B19" s="36" t="s">
        <v>98</v>
      </c>
      <c r="C19" s="37">
        <f>SUM(C5:C17)</f>
        <v>15093961.739999998</v>
      </c>
      <c r="D19" s="37">
        <f>SUM(D5:D17)</f>
        <v>17365513.660000004</v>
      </c>
      <c r="E19" s="37">
        <f>IFERROR(D19-C19,0)</f>
        <v>2271551.92</v>
      </c>
      <c r="F19" s="38">
        <f>IFERROR(1-C19/D19,0)</f>
        <v>0.13</v>
      </c>
      <c r="G19" s="37">
        <f>IFERROR(C19/33186.380000000005,0)</f>
        <v>454.82</v>
      </c>
    </row>
    <row r="20" spans="1:7" x14ac:dyDescent="0.25">
      <c r="A20" s="33"/>
      <c r="B20" s="33" t="s">
        <v>99</v>
      </c>
      <c r="C20" s="34">
        <v>0</v>
      </c>
      <c r="D20" s="34">
        <v>0</v>
      </c>
      <c r="E20" s="34">
        <v>0</v>
      </c>
      <c r="F20" s="35">
        <v>0</v>
      </c>
      <c r="G20" s="33"/>
    </row>
    <row r="21" spans="2:6" x14ac:dyDescent="0.25">
      <c r="B21" t="s">
        <v>100</v>
      </c>
      <c r="C21" s="20">
        <v>0</v>
      </c>
      <c r="D21" s="20">
        <v>0</v>
      </c>
      <c r="E21" s="20">
        <v>0</v>
      </c>
      <c r="F21" s="27">
        <v>0</v>
      </c>
    </row>
    <row r="22" spans="1:7" x14ac:dyDescent="0.25">
      <c r="A22" s="28"/>
      <c r="B22" s="29" t="s">
        <v>101</v>
      </c>
      <c r="C22" s="30">
        <f>C19+C20+C21</f>
        <v>15093961.74</v>
      </c>
      <c r="D22" s="30">
        <f>D19+D20+D21</f>
        <v>17365513.66</v>
      </c>
      <c r="E22" s="30">
        <f>IFERROR(D22-C22,0)</f>
        <v>2271551.92</v>
      </c>
      <c r="F22" s="31">
        <f>IFERROR(1-C22/D22,0)</f>
        <v>0.13</v>
      </c>
      <c r="G22" s="30">
        <f>IFERROR(C22/33186.380000000005,0)</f>
        <v>454.82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E33"/>
  <sheetFormatPr defaultRowHeight="15" outlineLevelRow="0" outlineLevelCol="0" x14ac:dyDescent="55"/>
  <cols>
    <col min="1" max="1" width="16" customWidth="1"/>
    <col min="2" max="3" width="30" customWidth="1"/>
    <col min="4" max="5" width="18" customWidth="1"/>
  </cols>
  <sheetData>
    <row r="1" ht="36" customHeight="1" spans="1:5" x14ac:dyDescent="0.25">
      <c r="A1" s="1" t="s">
        <v>416</v>
      </c>
      <c r="B1" s="1"/>
      <c r="C1" s="1"/>
      <c r="D1" s="1"/>
      <c r="E1" s="1"/>
    </row>
    <row r="3" spans="1:5" x14ac:dyDescent="0.25">
      <c r="A3" s="25" t="s">
        <v>417</v>
      </c>
      <c r="B3" s="25" t="s">
        <v>108</v>
      </c>
      <c r="C3" s="25" t="s">
        <v>418</v>
      </c>
      <c r="D3" s="25" t="s">
        <v>419</v>
      </c>
      <c r="E3" s="25" t="s">
        <v>90</v>
      </c>
    </row>
    <row r="4" spans="1:5" x14ac:dyDescent="0.25">
      <c r="A4" s="72" t="s">
        <v>35</v>
      </c>
      <c r="B4" s="72" t="s">
        <v>35</v>
      </c>
      <c r="C4" s="72" t="s">
        <v>35</v>
      </c>
      <c r="D4" s="66">
        <v>0</v>
      </c>
      <c r="E4" s="72" t="s">
        <v>35</v>
      </c>
    </row>
    <row r="5" spans="1:5" x14ac:dyDescent="0.25">
      <c r="A5" s="74" t="s">
        <v>35</v>
      </c>
      <c r="B5" s="74" t="s">
        <v>35</v>
      </c>
      <c r="C5" s="74" t="s">
        <v>35</v>
      </c>
      <c r="D5" s="67">
        <v>0</v>
      </c>
      <c r="E5" s="74" t="s">
        <v>35</v>
      </c>
    </row>
    <row r="6" spans="1:5" x14ac:dyDescent="0.25">
      <c r="A6" s="72" t="s">
        <v>35</v>
      </c>
      <c r="B6" s="72" t="s">
        <v>35</v>
      </c>
      <c r="C6" s="72" t="s">
        <v>35</v>
      </c>
      <c r="D6" s="66">
        <v>0</v>
      </c>
      <c r="E6" s="72" t="s">
        <v>35</v>
      </c>
    </row>
    <row r="7" spans="1:5" x14ac:dyDescent="0.25">
      <c r="A7" s="74" t="s">
        <v>35</v>
      </c>
      <c r="B7" s="74" t="s">
        <v>35</v>
      </c>
      <c r="C7" s="74" t="s">
        <v>35</v>
      </c>
      <c r="D7" s="67">
        <v>0</v>
      </c>
      <c r="E7" s="74" t="s">
        <v>35</v>
      </c>
    </row>
    <row r="8" spans="1:5" x14ac:dyDescent="0.25">
      <c r="A8" s="72" t="s">
        <v>35</v>
      </c>
      <c r="B8" s="72" t="s">
        <v>35</v>
      </c>
      <c r="C8" s="72" t="s">
        <v>35</v>
      </c>
      <c r="D8" s="66">
        <v>0</v>
      </c>
      <c r="E8" s="72" t="s">
        <v>35</v>
      </c>
    </row>
    <row r="9" spans="1:5" x14ac:dyDescent="0.25">
      <c r="A9" s="74" t="s">
        <v>35</v>
      </c>
      <c r="B9" s="74" t="s">
        <v>35</v>
      </c>
      <c r="C9" s="74" t="s">
        <v>35</v>
      </c>
      <c r="D9" s="67">
        <v>0</v>
      </c>
      <c r="E9" s="74" t="s">
        <v>35</v>
      </c>
    </row>
    <row r="10" spans="1:5" x14ac:dyDescent="0.25">
      <c r="A10" s="72" t="s">
        <v>35</v>
      </c>
      <c r="B10" s="72" t="s">
        <v>35</v>
      </c>
      <c r="C10" s="72" t="s">
        <v>35</v>
      </c>
      <c r="D10" s="66">
        <v>0</v>
      </c>
      <c r="E10" s="72" t="s">
        <v>35</v>
      </c>
    </row>
    <row r="11" spans="1:5" x14ac:dyDescent="0.25">
      <c r="A11" s="74" t="s">
        <v>35</v>
      </c>
      <c r="B11" s="74" t="s">
        <v>35</v>
      </c>
      <c r="C11" s="74" t="s">
        <v>35</v>
      </c>
      <c r="D11" s="67">
        <v>0</v>
      </c>
      <c r="E11" s="74" t="s">
        <v>35</v>
      </c>
    </row>
    <row r="12" spans="1:5" x14ac:dyDescent="0.25">
      <c r="A12" s="72" t="s">
        <v>35</v>
      </c>
      <c r="B12" s="72" t="s">
        <v>35</v>
      </c>
      <c r="C12" s="72" t="s">
        <v>35</v>
      </c>
      <c r="D12" s="66">
        <v>0</v>
      </c>
      <c r="E12" s="72" t="s">
        <v>35</v>
      </c>
    </row>
    <row r="13" spans="1:5" x14ac:dyDescent="0.25">
      <c r="A13" s="74" t="s">
        <v>35</v>
      </c>
      <c r="B13" s="74" t="s">
        <v>35</v>
      </c>
      <c r="C13" s="74" t="s">
        <v>35</v>
      </c>
      <c r="D13" s="67">
        <v>0</v>
      </c>
      <c r="E13" s="74" t="s">
        <v>35</v>
      </c>
    </row>
    <row r="14" spans="1:5" x14ac:dyDescent="0.25">
      <c r="A14" s="72" t="s">
        <v>35</v>
      </c>
      <c r="B14" s="72" t="s">
        <v>35</v>
      </c>
      <c r="C14" s="72" t="s">
        <v>35</v>
      </c>
      <c r="D14" s="66">
        <v>0</v>
      </c>
      <c r="E14" s="72" t="s">
        <v>35</v>
      </c>
    </row>
    <row r="15" spans="1:5" x14ac:dyDescent="0.25">
      <c r="A15" s="74" t="s">
        <v>35</v>
      </c>
      <c r="B15" s="74" t="s">
        <v>35</v>
      </c>
      <c r="C15" s="74" t="s">
        <v>35</v>
      </c>
      <c r="D15" s="67">
        <v>0</v>
      </c>
      <c r="E15" s="74" t="s">
        <v>35</v>
      </c>
    </row>
    <row r="16" spans="1:5" x14ac:dyDescent="0.25">
      <c r="A16" s="72" t="s">
        <v>35</v>
      </c>
      <c r="B16" s="72" t="s">
        <v>35</v>
      </c>
      <c r="C16" s="72" t="s">
        <v>35</v>
      </c>
      <c r="D16" s="66">
        <v>0</v>
      </c>
      <c r="E16" s="72" t="s">
        <v>35</v>
      </c>
    </row>
    <row r="17" spans="1:5" x14ac:dyDescent="0.25">
      <c r="A17" s="74" t="s">
        <v>35</v>
      </c>
      <c r="B17" s="74" t="s">
        <v>35</v>
      </c>
      <c r="C17" s="74" t="s">
        <v>35</v>
      </c>
      <c r="D17" s="67">
        <v>0</v>
      </c>
      <c r="E17" s="74" t="s">
        <v>35</v>
      </c>
    </row>
    <row r="18" spans="1:5" x14ac:dyDescent="0.25">
      <c r="A18" s="72" t="s">
        <v>35</v>
      </c>
      <c r="B18" s="72" t="s">
        <v>35</v>
      </c>
      <c r="C18" s="72" t="s">
        <v>35</v>
      </c>
      <c r="D18" s="66">
        <v>0</v>
      </c>
      <c r="E18" s="72" t="s">
        <v>35</v>
      </c>
    </row>
    <row r="19" spans="1:5" x14ac:dyDescent="0.25">
      <c r="A19" s="74" t="s">
        <v>35</v>
      </c>
      <c r="B19" s="74" t="s">
        <v>35</v>
      </c>
      <c r="C19" s="74" t="s">
        <v>35</v>
      </c>
      <c r="D19" s="67">
        <v>0</v>
      </c>
      <c r="E19" s="74" t="s">
        <v>35</v>
      </c>
    </row>
    <row r="20" spans="1:5" x14ac:dyDescent="0.25">
      <c r="A20" s="72" t="s">
        <v>35</v>
      </c>
      <c r="B20" s="72" t="s">
        <v>35</v>
      </c>
      <c r="C20" s="72" t="s">
        <v>35</v>
      </c>
      <c r="D20" s="66">
        <v>0</v>
      </c>
      <c r="E20" s="72" t="s">
        <v>35</v>
      </c>
    </row>
    <row r="21" spans="1:5" x14ac:dyDescent="0.25">
      <c r="A21" s="74" t="s">
        <v>35</v>
      </c>
      <c r="B21" s="74" t="s">
        <v>35</v>
      </c>
      <c r="C21" s="74" t="s">
        <v>35</v>
      </c>
      <c r="D21" s="67">
        <v>0</v>
      </c>
      <c r="E21" s="74" t="s">
        <v>35</v>
      </c>
    </row>
    <row r="22" spans="1:5" x14ac:dyDescent="0.25">
      <c r="A22" s="72" t="s">
        <v>35</v>
      </c>
      <c r="B22" s="72" t="s">
        <v>35</v>
      </c>
      <c r="C22" s="72" t="s">
        <v>35</v>
      </c>
      <c r="D22" s="66">
        <v>0</v>
      </c>
      <c r="E22" s="72" t="s">
        <v>35</v>
      </c>
    </row>
    <row r="23" spans="1:5" x14ac:dyDescent="0.25">
      <c r="A23" s="74" t="s">
        <v>35</v>
      </c>
      <c r="B23" s="74" t="s">
        <v>35</v>
      </c>
      <c r="C23" s="74" t="s">
        <v>35</v>
      </c>
      <c r="D23" s="67">
        <v>0</v>
      </c>
      <c r="E23" s="74" t="s">
        <v>35</v>
      </c>
    </row>
    <row r="24" spans="1:5" x14ac:dyDescent="0.25">
      <c r="A24" s="72" t="s">
        <v>35</v>
      </c>
      <c r="B24" s="72" t="s">
        <v>35</v>
      </c>
      <c r="C24" s="72" t="s">
        <v>35</v>
      </c>
      <c r="D24" s="66">
        <v>0</v>
      </c>
      <c r="E24" s="72" t="s">
        <v>35</v>
      </c>
    </row>
    <row r="25" spans="1:5" x14ac:dyDescent="0.25">
      <c r="A25" s="74" t="s">
        <v>35</v>
      </c>
      <c r="B25" s="74" t="s">
        <v>35</v>
      </c>
      <c r="C25" s="74" t="s">
        <v>35</v>
      </c>
      <c r="D25" s="67">
        <v>0</v>
      </c>
      <c r="E25" s="74" t="s">
        <v>35</v>
      </c>
    </row>
    <row r="26" spans="1:5" x14ac:dyDescent="0.25">
      <c r="A26" s="72" t="s">
        <v>35</v>
      </c>
      <c r="B26" s="72" t="s">
        <v>35</v>
      </c>
      <c r="C26" s="72" t="s">
        <v>35</v>
      </c>
      <c r="D26" s="66">
        <v>0</v>
      </c>
      <c r="E26" s="72" t="s">
        <v>35</v>
      </c>
    </row>
    <row r="27" spans="1:5" x14ac:dyDescent="0.25">
      <c r="A27" s="74" t="s">
        <v>35</v>
      </c>
      <c r="B27" s="74" t="s">
        <v>35</v>
      </c>
      <c r="C27" s="74" t="s">
        <v>35</v>
      </c>
      <c r="D27" s="67">
        <v>0</v>
      </c>
      <c r="E27" s="74" t="s">
        <v>35</v>
      </c>
    </row>
    <row r="28" spans="1:5" x14ac:dyDescent="0.25">
      <c r="A28" s="72" t="s">
        <v>35</v>
      </c>
      <c r="B28" s="72" t="s">
        <v>35</v>
      </c>
      <c r="C28" s="72" t="s">
        <v>35</v>
      </c>
      <c r="D28" s="66">
        <v>0</v>
      </c>
      <c r="E28" s="72" t="s">
        <v>35</v>
      </c>
    </row>
    <row r="29" spans="1:5" x14ac:dyDescent="0.25">
      <c r="A29" s="74" t="s">
        <v>35</v>
      </c>
      <c r="B29" s="74" t="s">
        <v>35</v>
      </c>
      <c r="C29" s="74" t="s">
        <v>35</v>
      </c>
      <c r="D29" s="67">
        <v>0</v>
      </c>
      <c r="E29" s="74" t="s">
        <v>35</v>
      </c>
    </row>
    <row r="30" spans="1:5" x14ac:dyDescent="0.25">
      <c r="A30" s="72" t="s">
        <v>35</v>
      </c>
      <c r="B30" s="72" t="s">
        <v>35</v>
      </c>
      <c r="C30" s="72" t="s">
        <v>35</v>
      </c>
      <c r="D30" s="66">
        <v>0</v>
      </c>
      <c r="E30" s="72" t="s">
        <v>35</v>
      </c>
    </row>
    <row r="31" spans="1:5" x14ac:dyDescent="0.25">
      <c r="A31" s="74" t="s">
        <v>35</v>
      </c>
      <c r="B31" s="74" t="s">
        <v>35</v>
      </c>
      <c r="C31" s="74" t="s">
        <v>35</v>
      </c>
      <c r="D31" s="67">
        <v>0</v>
      </c>
      <c r="E31" s="74" t="s">
        <v>35</v>
      </c>
    </row>
    <row r="32" spans="1:5" x14ac:dyDescent="0.25">
      <c r="A32" s="72" t="s">
        <v>35</v>
      </c>
      <c r="B32" s="72" t="s">
        <v>35</v>
      </c>
      <c r="C32" s="72" t="s">
        <v>35</v>
      </c>
      <c r="D32" s="66">
        <v>0</v>
      </c>
      <c r="E32" s="72" t="s">
        <v>35</v>
      </c>
    </row>
    <row r="33" spans="1:5" x14ac:dyDescent="0.25">
      <c r="A33" s="74" t="s">
        <v>35</v>
      </c>
      <c r="B33" s="74" t="s">
        <v>35</v>
      </c>
      <c r="C33" s="74" t="s">
        <v>35</v>
      </c>
      <c r="D33" s="67">
        <v>0</v>
      </c>
      <c r="E33" s="74" t="s">
        <v>35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64</vt:i4>
      </vt:variant>
    </vt:vector>
  </HeadingPairs>
  <TitlesOfParts>
    <vt:vector size="64" baseType="lpstr">
      <vt:lpstr>Project Overview</vt:lpstr>
      <vt:lpstr>Margin Analysis</vt:lpstr>
      <vt:lpstr>Budget Summary</vt:lpstr>
      <vt:lpstr>LED Cost Sheet</vt:lpstr>
      <vt:lpstr>Tech Specs (Installers)</vt:lpstr>
      <vt:lpstr>FIELD RIBBON NORTH - Install</vt:lpstr>
      <vt:lpstr>FIELD RIBBON EAST - Install</vt:lpstr>
      <vt:lpstr>TEAM ROOM - Install</vt:lpstr>
      <vt:lpstr>FIELD RIBBON WEST - Install</vt:lpstr>
      <vt:lpstr>INCIDENT COMMAND - Install</vt:lpstr>
      <vt:lpstr>DEF UNIT - Install</vt:lpstr>
      <vt:lpstr>NORTH CORRIDOR - Install</vt:lpstr>
      <vt:lpstr>SOUTH CORRIDOR - Install</vt:lpstr>
      <vt:lpstr>LARGE ADMIN ROOM - Install</vt:lpstr>
      <vt:lpstr>ELEV LOBBY - Install</vt:lpstr>
      <vt:lpstr>NORTH CLUB - Install</vt:lpstr>
      <vt:lpstr>PANTHERS DEN - Install</vt:lpstr>
      <vt:lpstr>PANTHERS DEN18 - Install</vt:lpstr>
      <vt:lpstr>PANTHERS DEN19 - Install</vt:lpstr>
      <vt:lpstr>PANTHERS DEN20 - Install</vt:lpstr>
      <vt:lpstr>PANTHERS DEN21 - Install</vt:lpstr>
      <vt:lpstr>PANTHERS DEN22 - Install</vt:lpstr>
      <vt:lpstr>PANTHERS DEN23 - Install</vt:lpstr>
      <vt:lpstr>SOUTH CLUB - Install</vt:lpstr>
      <vt:lpstr>ELEV LOBBY25 - Install</vt:lpstr>
      <vt:lpstr>SOUTH CLUB26 - Install</vt:lpstr>
      <vt:lpstr>ELEV LOBBY27 - Install</vt:lpstr>
      <vt:lpstr>ELEV LOBBY28 - Install</vt:lpstr>
      <vt:lpstr>NORTH CLUB29 - Install</vt:lpstr>
      <vt:lpstr>RIBBON NW - Install</vt:lpstr>
      <vt:lpstr>RIBBON NW31 - Install</vt:lpstr>
      <vt:lpstr>RIBBON NW32 - Install</vt:lpstr>
      <vt:lpstr>RIBBON NW33 - Install</vt:lpstr>
      <vt:lpstr>RIBBON SW - Install</vt:lpstr>
      <vt:lpstr>RIBBON SW35 - Install</vt:lpstr>
      <vt:lpstr>RIBBON SW36 - Install</vt:lpstr>
      <vt:lpstr>SCOREBOARD EAST - Install</vt:lpstr>
      <vt:lpstr>SCOREBOARD WEST - Install</vt:lpstr>
      <vt:lpstr>EAST ENTRY A - Install</vt:lpstr>
      <vt:lpstr>EAST ENTRY B - Install</vt:lpstr>
      <vt:lpstr>EAST ENTRY C - Install</vt:lpstr>
      <vt:lpstr>EAST ENTRY D - Install</vt:lpstr>
      <vt:lpstr>NORTH EAST EXTERIOR NE - Instal</vt:lpstr>
      <vt:lpstr>NORTH ENTRY C - Install</vt:lpstr>
      <vt:lpstr>NORTH ENTRY C45 - Install</vt:lpstr>
      <vt:lpstr>NORTH ENTRY C46 - Install</vt:lpstr>
      <vt:lpstr>SOUTH EAST EXTERIOR SE - Instal</vt:lpstr>
      <vt:lpstr>Processor Count</vt:lpstr>
      <vt:lpstr>Bundle Equipment</vt:lpstr>
      <vt:lpstr>ANC Travel</vt:lpstr>
      <vt:lpstr>CMS</vt:lpstr>
      <vt:lpstr>Scoring</vt:lpstr>
      <vt:lpstr>Venue Services</vt:lpstr>
      <vt:lpstr>Additional Items</vt:lpstr>
      <vt:lpstr>Resp Matrix</vt:lpstr>
      <vt:lpstr>P&amp;L</vt:lpstr>
      <vt:lpstr>Cash Flow</vt:lpstr>
      <vt:lpstr>PO's</vt:lpstr>
      <vt:lpstr>_Products</vt:lpstr>
      <vt:lpstr>S.E. CORRIDOR (CEILING) - Insta</vt:lpstr>
      <vt:lpstr>S.E. CORRIDOR (CEILING10 - Inst</vt:lpstr>
      <vt:lpstr>EAST CORRIDOR (CEILING) - Insta</vt:lpstr>
      <vt:lpstr>N.E. CORRIDOR (CEILING) - Insta</vt:lpstr>
      <vt:lpstr>N.E. CORRIDOR (CEILING13 - Inst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 Proposal Engine</dc:creator>
  <dc:title/>
  <dc:subject/>
  <dc:description/>
  <cp:keywords/>
  <cp:category/>
  <cp:lastModifiedBy>Unknown</cp:lastModifiedBy>
  <dcterms:created xsi:type="dcterms:W3CDTF">2026-04-01T23:02:37Z</dcterms:created>
  <dcterms:modified xsi:type="dcterms:W3CDTF">2026-04-01T23:02:37Z</dcterms:modified>
</cp:coreProperties>
</file>