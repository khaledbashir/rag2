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24" name="Margin Analysis" state="visible" r:id="rId5"/>
    <sheet sheetId="25" name="Budget Summary" state="visible" r:id="rId6"/>
    <sheet sheetId="2" name="LED Cost Sheet" state="visible" r:id="rId7"/>
    <sheet sheetId="3" name="Tech Specs (Installers)" state="visible" r:id="rId8"/>
    <sheet sheetId="4" name="9A Underpass 1 - Install" state="visible" r:id="rId9"/>
    <sheet sheetId="5" name="9A Underpass 2 - Install" state="visible" r:id="rId10"/>
    <sheet sheetId="6" name="9A Underpass 3 - Install" state="visible" r:id="rId11"/>
    <sheet sheetId="7" name="9A Underpass 4 - Install" state="visible" r:id="rId12"/>
    <sheet sheetId="8" name="Concourse - Install" state="visible" r:id="rId13"/>
    <sheet sheetId="9" name="T4 Elevator - Install" state="visible" r:id="rId14"/>
    <sheet sheetId="10" name="New Path Hall Option 1 - Instal" state="visible" r:id="rId15"/>
    <sheet sheetId="11" name="New Path Hall Option 2 - Instal" state="visible" r:id="rId16"/>
    <sheet sheetId="12" name="One Train - Install" state="visible" r:id="rId17"/>
    <sheet sheetId="13" name="T4-B2 - Install" state="visible" r:id="rId18"/>
    <sheet sheetId="14" name="Processor Count" state="visible" r:id="rId19"/>
    <sheet sheetId="15" name="Bundle Equipment" state="visible" r:id="rId20"/>
    <sheet sheetId="16" name="ANC Travel" state="visible" r:id="rId21"/>
    <sheet sheetId="17" name="CMS" state="visible" r:id="rId22"/>
    <sheet sheetId="18" name="Scoring" state="visible" r:id="rId23"/>
    <sheet sheetId="19" name="Venue Services" state="visible" r:id="rId24"/>
    <sheet sheetId="20" name="Additional Items" state="visible" r:id="rId25"/>
    <sheet sheetId="21" name="Resp Matrix" state="visible" r:id="rId26"/>
    <sheet sheetId="22" name="P&amp;L" state="visible" r:id="rId27"/>
    <sheet sheetId="23" name="Cash Flow" state="visible" r:id="rId28"/>
    <sheet sheetId="26" name="PO's" state="visible" r:id="rId29"/>
  </sheets>
  <calcPr calcId="171027" fullCalcOnLoad="1"/>
</workbook>
</file>

<file path=xl/sharedStrings.xml><?xml version="1.0" encoding="utf-8"?>
<sst xmlns="http://schemas.openxmlformats.org/spreadsheetml/2006/main" count="1816" uniqueCount="390">
  <si>
    <t>Amended RFP Exhibit I — Project Overview</t>
  </si>
  <si>
    <t>Westfield | 2026-03-31 | ANC Proposal Engine</t>
  </si>
  <si>
    <t>PROJECT INFORMATION</t>
  </si>
  <si>
    <t>Client</t>
  </si>
  <si>
    <t>Westfield</t>
  </si>
  <si>
    <t>Project Name</t>
  </si>
  <si>
    <t>Amended RFP Exhibit I</t>
  </si>
  <si>
    <t>Location</t>
  </si>
  <si>
    <t>WTC</t>
  </si>
  <si>
    <t>Date Created</t>
  </si>
  <si>
    <t>2026-03-31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</si>
  <si>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</si>
  <si>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</si>
  <si>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</si>
  <si>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</si>
  <si>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</si>
  <si>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</si>
  <si>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</si>
  <si>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</si>
  <si>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</si>
  <si>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</si>
  <si>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</si>
  <si>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</si>
  <si>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</si>
  <si>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</si>
  <si>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</si>
  <si>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</si>
  <si>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</si>
  <si>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</si>
  <si>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</si>
  <si>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</si>
  <si>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</si>
  <si>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</si>
  <si>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</si>
  <si>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</si>
  <si>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</si>
  <si>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</si>
  <si>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Amended RFP Exhibit I — Margin Analysis</t>
  </si>
  <si>
    <t/>
  </si>
  <si>
    <t>Zone / Category</t>
  </si>
  <si>
    <t>Cost</t>
  </si>
  <si>
    <t>Selling Price</t>
  </si>
  <si>
    <t>Margin $</t>
  </si>
  <si>
    <t>Margin %</t>
  </si>
  <si>
    <t>9A Underpass 1 — Underpass 1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</si>
  <si>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</si>
  <si>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</si>
  <si>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</si>
  <si>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</si>
  <si>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</si>
  <si>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</si>
  <si>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</si>
  <si>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</si>
  <si>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</si>
  <si>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</si>
  <si>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</si>
  <si>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9A Underpass 2 — Underpass 2</t>
  </si>
  <si>
    <t>9A Underpass 3 — Underpass 3</t>
  </si>
  <si>
    <t>9A Underpass 4 — Underpass 4</t>
  </si>
  <si>
    <t>Concourse — Concourse</t>
  </si>
  <si>
    <t>T4 Elevator — T4 Lobby Elevator</t>
  </si>
  <si>
    <t>New Path Hall Option 1 — Path Hall</t>
  </si>
  <si>
    <t>New Path Hall Option 2 — Path Hall</t>
  </si>
  <si>
    <t>One Train — One Train</t>
  </si>
  <si>
    <t>T4-B2 — T4-B2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</si>
  <si>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</si>
  <si>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</si>
  <si>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</si>
  <si>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</si>
  <si>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</si>
  <si>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</si>
  <si>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</si>
  <si>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</si>
  <si>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</si>
  <si>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Amended RFP Exhibit I — Budget Summary</t>
  </si>
  <si>
    <t>Westfield | 2026-03-31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</si>
  <si>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</si>
  <si>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</si>
  <si>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</si>
  <si>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</si>
  <si>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</si>
  <si>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</si>
  <si>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</si>
  <si>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</si>
  <si>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</si>
  <si>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</si>
  <si>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</si>
  <si>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</si>
  <si>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Amended RFP Exhibit I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</si>
  <si>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</si>
  <si>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</si>
  <si>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</si>
  <si>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</si>
  <si>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</si>
  <si>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</si>
  <si>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</si>
  <si>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</si>
  <si>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</si>
  <si>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</si>
  <si>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</si>
  <si>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</si>
  <si>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</si>
  <si>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</si>
  <si>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</si>
  <si>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</si>
  <si>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</si>
  <si>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</si>
  <si>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</si>
  <si>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</si>
  <si>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</si>
  <si>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</si>
  <si>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</si>
  <si>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</si>
  <si>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LG/Yaham</t>
  </si>
  <si>
    <t>C2.5-MIP 2.5mm Indoor (Alt)</t>
  </si>
  <si>
    <t>3.9mm</t>
  </si>
  <si>
    <t>Front</t>
  </si>
  <si>
    <t>TOTAL (10 displays)</t>
  </si>
  <si>
    <t>Amended RFP Exhibit I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</si>
  <si>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</si>
  <si>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</si>
  <si>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</si>
  <si>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</si>
  <si>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</si>
  <si>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</si>
  <si>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</si>
  <si>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</si>
  <si>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</si>
  <si>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</si>
  <si>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</si>
  <si>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Amended RFP Exhibit I</t>
  </si>
  <si>
    <t>Revised By: ANC Proposal Engine</t>
  </si>
  <si>
    <t>Linked Margin Assignment</t>
  </si>
  <si>
    <t>Install Margin</t>
  </si>
  <si>
    <t>Electrical Margin</t>
  </si>
  <si>
    <t>Engineering and Permits</t>
  </si>
  <si>
    <t>9A Underpass 1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</si>
  <si>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</si>
  <si>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</si>
  <si>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</si>
  <si>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</si>
  <si>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</si>
  <si>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</si>
  <si>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</si>
  <si>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</si>
  <si>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</si>
  <si>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</si>
  <si>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</si>
  <si>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</si>
  <si>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</si>
  <si>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</si>
  <si>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</si>
  <si>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</si>
  <si>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</si>
  <si>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</si>
  <si>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</si>
  <si>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</si>
  <si>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</si>
  <si>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</si>
  <si>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</si>
  <si>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</si>
  <si>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</si>
  <si>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</si>
  <si>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</si>
  <si>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</si>
  <si>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</si>
  <si>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</si>
  <si>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</si>
  <si>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</si>
  <si>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</si>
  <si>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</si>
  <si>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</si>
  <si>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</si>
  <si>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9A Underpass 2</t>
  </si>
  <si>
    <t>9A Underpass 3</t>
  </si>
  <si>
    <t>9A Underpass 4</t>
  </si>
  <si>
    <t>Concourse</t>
  </si>
  <si>
    <t>T4 Elevator</t>
  </si>
  <si>
    <t>New Path Hall Option 1</t>
  </si>
  <si>
    <t>New Path Hall Option 2</t>
  </si>
  <si>
    <t>One Train</t>
  </si>
  <si>
    <t>T4-B2</t>
  </si>
  <si>
    <t>Amended RFP Exhibit I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</si>
  <si>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</si>
  <si>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</si>
  <si>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</si>
  <si>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</si>
  <si>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</si>
  <si>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</si>
  <si>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</si>
  <si>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</si>
  <si>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</si>
  <si>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</si>
  <si>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</si>
  <si>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</si>
  <si>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</si>
  <si>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</si>
  <si>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</si>
  <si>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</si>
  <si>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Amended RFP Exhibit I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</si>
  <si>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</si>
  <si>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</si>
  <si>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</si>
  <si>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</si>
  <si>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</si>
  <si>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</si>
  <si>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</si>
  <si>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</si>
  <si>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(no equipment for this zone)</t>
  </si>
  <si>
    <t>EQUIPMENT GRAND TOTAL</t>
  </si>
  <si>
    <t>Amended RFP Exhibit I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</si>
  <si>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</si>
  <si>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</si>
  <si>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</si>
  <si>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</si>
  <si>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</si>
  <si>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</si>
  <si>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</si>
  <si>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</si>
  <si>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</si>
  <si>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</si>
  <si>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</si>
  <si>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</si>
  <si>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</si>
  <si>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Amended RFP Exhibit I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</si>
  <si>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</si>
  <si>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</si>
  <si>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</si>
  <si>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</si>
  <si>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</si>
  <si>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</si>
  <si>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</si>
  <si>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</si>
  <si>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</si>
  <si>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</si>
  <si>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</si>
  <si>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</si>
  <si>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</si>
  <si>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</si>
  <si>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</si>
  <si>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</si>
  <si>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</si>
  <si>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</si>
  <si>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Amended RFP Exhibit I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</si>
  <si>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</si>
  <si>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</si>
  <si>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</si>
  <si>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</si>
  <si>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</si>
  <si>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</si>
  <si>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</si>
  <si>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</si>
  <si>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</si>
  <si>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</si>
  <si>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</si>
  <si>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</si>
  <si>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</si>
  <si>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</si>
  <si>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Amended RFP Exhibit I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</si>
  <si>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</si>
  <si>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</si>
  <si>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</si>
  <si>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</si>
  <si>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</si>
  <si>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</si>
  <si>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</si>
  <si>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</si>
  <si>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</si>
  <si>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</si>
  <si>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</si>
  <si>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</si>
  <si>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Amended RFP Exhibit I — Additional Non-LED Items</t>
  </si>
  <si>
    <t>GAME CLOCK</t>
  </si>
  <si>
    <t>Six-Digit Game Clocks</t>
  </si>
  <si>
    <t>PITCH CLOCK</t>
  </si>
  <si>
    <t>OES / MIS</t>
  </si>
  <si>
    <t>ADDITIONAL ITEMS TOTAL</t>
  </si>
  <si>
    <t>Project: Amended RFP Exhibit I</t>
  </si>
  <si>
    <t>Date: 3/31/2026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</si>
  <si>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</si>
  <si>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</si>
  <si>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</si>
  <si>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</si>
  <si>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</si>
  <si>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</si>
  <si>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</si>
  <si>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</si>
  <si>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</si>
  <si>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</si>
  <si>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</si>
  <si>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</si>
  <si>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</si>
  <si>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</si>
  <si>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</si>
  <si>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</si>
  <si>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</si>
  <si>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</si>
  <si>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</si>
  <si>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</si>
  <si>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</si>
  <si>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</si>
  <si>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</si>
  <si>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</si>
  <si>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</si>
  <si>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</si>
  <si>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</si>
  <si>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</si>
  <si>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</si>
  <si>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</si>
  <si>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</si>
  <si>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</si>
  <si>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</si>
  <si>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</si>
  <si>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</si>
  <si>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</si>
  <si>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</si>
  <si>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</si>
  <si>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</si>
  <si>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</si>
  <si>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</si>
  <si>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</si>
  <si>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</si>
  <si>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</si>
  <si>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</si>
  <si>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</si>
  <si>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</si>
  <si>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</si>
  <si>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</si>
  <si>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</si>
  <si>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</si>
  <si>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Amended RFP Exhibit I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</si>
  <si>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</si>
  <si>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</si>
  <si>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</si>
  <si>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</si>
  <si>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</si>
  <si>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</si>
  <si>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</si>
  <si>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</si>
  <si>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</si>
  <si>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</si>
  <si>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</si>
  <si>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</si>
  <si>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</si>
  <si>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</si>
  <si>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</si>
  <si>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</si>
  <si>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</si>
  <si>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</si>
  <si>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</si>
  <si>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</si>
  <si>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</si>
  <si>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</si>
  <si>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</si>
  <si>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</si>
  <si>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</si>
  <si>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</si>
  <si>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Amended RFP Exhibit I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</si>
  <si>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</si>
  <si>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</si>
  <si>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</si>
  <si>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</si>
  <si>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</si>
  <si>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</si>
  <si>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</si>
  <si>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</si>
  <si>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</si>
  <si>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</si>
  <si>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</si>
  <si>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</si>
  <si>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</si>
  <si>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</si>
  <si>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</si>
  <si>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</si>
  <si>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</si>
  <si>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</si>
  <si>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</si>
  <si>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</si>
  <si>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</si>
  <si>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</si>
  <si>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</si>
  <si>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</si>
  <si>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</si>
  <si>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</si>
  <si>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</si>
  <si>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</si>
  <si>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Amended RFP Exhibit I — Purchase Orders</t>
  </si>
  <si>
    <t>PO Number</t>
  </si>
  <si>
    <t>Title / Description</t>
  </si>
  <si>
    <t>Original Contract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</si>
</sst>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%"/>
    <numFmt numFmtId="166" formatCode="0.0"/>
  </numFmts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164" fontId="8" fillId="3" borderId="0" xfId="0" applyNumberFormat="1" applyFont="1" applyFill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6" fontId="0" fillId="3" borderId="0" xfId="0" applyNumberFormat="1" applyFill="1"/>
    <xf numFmtId="166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0" fontId="11" fillId="0" borderId="0" xfId="0" applyFont="1"/>
    <xf numFmtId="164" fontId="7" fillId="2" borderId="4" xfId="0" applyNumberFormat="1" applyFont="1" applyFill="1" applyBorder="1"/>
    <xf numFmtId="0" fontId="0" fillId="3" borderId="2" xfId="0" applyFill="1" applyBorder="1"/>
    <xf numFmtId="0" fontId="12" fillId="0" borderId="0" xfId="0" applyFont="1"/>
    <xf numFmtId="0" fontId="0" fillId="5" borderId="2" xfId="0" applyFill="1" applyBorder="1"/>
    <xf numFmtId="0" fontId="13" fillId="0" borderId="0" xfId="0" applyFont="1"/>
    <xf numFmtId="0" fontId="14" fillId="2" borderId="4" xfId="0" applyFont="1" applyFill="1" applyBorder="1"/>
    <xf numFmtId="164" fontId="14" fillId="2" borderId="4" xfId="0" applyNumberFormat="1" applyFont="1" applyFill="1" applyBorder="1"/>
    <xf numFmtId="0" fontId="15" fillId="0" borderId="0" xfId="0" applyFont="1"/>
    <xf numFmtId="0" fontId="16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4.xml"/><Relationship Id="rId6" Type="http://schemas.openxmlformats.org/officeDocument/2006/relationships/worksheet" Target="worksheets/sheet25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1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3.xml"/><Relationship Id="rId19" Type="http://schemas.openxmlformats.org/officeDocument/2006/relationships/worksheet" Target="worksheets/sheet14.xml"/><Relationship Id="rId20" Type="http://schemas.openxmlformats.org/officeDocument/2006/relationships/worksheet" Target="worksheets/sheet15.xml"/><Relationship Id="rId21" Type="http://schemas.openxmlformats.org/officeDocument/2006/relationships/worksheet" Target="worksheets/sheet16.xml"/><Relationship Id="rId22" Type="http://schemas.openxmlformats.org/officeDocument/2006/relationships/worksheet" Target="worksheets/sheet17.xml"/><Relationship Id="rId23" Type="http://schemas.openxmlformats.org/officeDocument/2006/relationships/worksheet" Target="worksheets/sheet18.xml"/><Relationship Id="rId24" Type="http://schemas.openxmlformats.org/officeDocument/2006/relationships/worksheet" Target="worksheets/sheet19.xml"/><Relationship Id="rId25" Type="http://schemas.openxmlformats.org/officeDocument/2006/relationships/worksheet" Target="worksheets/sheet20.xml"/><Relationship Id="rId26" Type="http://schemas.openxmlformats.org/officeDocument/2006/relationships/worksheet" Target="worksheets/sheet21.xml"/><Relationship Id="rId27" Type="http://schemas.openxmlformats.org/officeDocument/2006/relationships/worksheet" Target="worksheets/sheet22.xml"/><Relationship Id="rId28" Type="http://schemas.openxmlformats.org/officeDocument/2006/relationships/worksheet" Target="worksheets/sheet23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4</v>
      </c>
    </row>
    <row r="6" spans="2:3" x14ac:dyDescent="0.25">
      <c r="B6" s="6" t="s">
        <v>5</v>
      </c>
      <c r="C6" s="7" t="s">
        <v>6</v>
      </c>
    </row>
    <row r="7" spans="2:3" x14ac:dyDescent="0.25">
      <c r="B7" s="4" t="s">
        <v>7</v>
      </c>
      <c r="C7" s="5" t="s">
        <v>8</v>
      </c>
    </row>
    <row r="8" spans="2:3" x14ac:dyDescent="0.25">
      <c r="B8" s="6" t="s">
        <v>9</v>
      </c>
      <c r="C8" s="7" t="s">
        <v>10</v>
      </c>
    </row>
    <row r="9" spans="2:3" x14ac:dyDescent="0.25">
      <c r="B9" s="4" t="s">
        <v>11</v>
      </c>
      <c r="C9" s="5" t="s">
        <v>12</v>
      </c>
    </row>
    <row r="10" spans="2:3" x14ac:dyDescent="0.25">
      <c r="B10" s="6" t="s">
        <v>13</v>
      </c>
      <c r="C10" s="7" t="s">
        <v>14</v>
      </c>
    </row>
    <row r="11" spans="2:3" x14ac:dyDescent="0.25">
      <c r="B11" s="4" t="s">
        <v>15</v>
      </c>
      <c r="C11" s="5" t="s">
        <v>16</v>
      </c>
    </row>
    <row r="12" spans="2:3" x14ac:dyDescent="0.25">
      <c r="B12" s="6" t="s">
        <v>17</v>
      </c>
      <c r="C12" s="7" t="s">
        <v>16</v>
      </c>
    </row>
    <row r="13" spans="2:3" x14ac:dyDescent="0.25">
      <c r="B13" s="4" t="s">
        <v>18</v>
      </c>
      <c r="C13" s="5">
        <f>SUM('LED Cost Sheet'!I4:I13)</f>
        <v>10</v>
      </c>
    </row>
    <row r="15" spans="2:3" x14ac:dyDescent="0.25">
      <c r="B15" s="3" t="s">
        <v>19</v>
      </c>
      <c r="C15" s="3"/>
    </row>
    <row r="16" spans="2:3" x14ac:dyDescent="0.25">
      <c r="B16" s="6" t="s">
        <v>20</v>
      </c>
      <c r="C16" s="7" t="s">
        <v>21</v>
      </c>
    </row>
    <row r="17" spans="2:3" x14ac:dyDescent="0.25">
      <c r="B17" s="4" t="s">
        <v>22</v>
      </c>
      <c r="C17" s="5" t="s">
        <v>21</v>
      </c>
    </row>
    <row r="18" spans="2:3" x14ac:dyDescent="0.25">
      <c r="B18" s="6" t="s">
        <v>23</v>
      </c>
      <c r="C18" s="7" t="s">
        <v>21</v>
      </c>
    </row>
    <row r="19" spans="2:3" x14ac:dyDescent="0.25">
      <c r="B19" s="4" t="s">
        <v>24</v>
      </c>
      <c r="C19" s="5" t="s">
        <v>21</v>
      </c>
    </row>
    <row r="20" spans="2:3" x14ac:dyDescent="0.25">
      <c r="B20" s="6" t="s">
        <v>25</v>
      </c>
      <c r="C20" s="7" t="s">
        <v>21</v>
      </c>
    </row>
    <row r="21" spans="2:3" x14ac:dyDescent="0.25">
      <c r="B21" s="4" t="s">
        <v>26</v>
      </c>
      <c r="C21" s="5" t="s">
        <v>27</v>
      </c>
    </row>
    <row r="22" spans="2:3" x14ac:dyDescent="0.25">
      <c r="B22" s="6" t="s">
        <v>28</v>
      </c>
      <c r="C22" s="7" t="s">
        <v>29</v>
      </c>
    </row>
    <row r="23" spans="2:3" x14ac:dyDescent="0.25">
      <c r="B23" s="4" t="s">
        <v>30</v>
      </c>
      <c r="C23" s="5" t="s">
        <v>29</v>
      </c>
    </row>
    <row r="25" spans="2:3" x14ac:dyDescent="0.25">
      <c r="B25" s="3" t="s">
        <v>31</v>
      </c>
      <c r="C25" s="3"/>
    </row>
    <row r="26" spans="2:3" x14ac:dyDescent="0.25">
      <c r="B26" s="4" t="s">
        <v>32</v>
      </c>
      <c r="C26" s="8">
        <f>'Margin Analysis'!C145</f>
        <v>2338109.6399999997</v>
      </c>
    </row>
    <row r="27" spans="2:3" x14ac:dyDescent="0.25">
      <c r="B27" s="4" t="s">
        <v>33</v>
      </c>
      <c r="C27" s="8">
        <f>'Margin Analysis'!D145</f>
        <v>2685228.27</v>
      </c>
    </row>
    <row r="28" spans="2:3" x14ac:dyDescent="0.25">
      <c r="B28" s="4" t="s">
        <v>34</v>
      </c>
      <c r="C28" s="8">
        <f>'Margin Analysis'!E145</f>
        <v>347118.63</v>
      </c>
    </row>
    <row r="29" spans="2:3" x14ac:dyDescent="0.25">
      <c r="B29" s="4" t="s">
        <v>35</v>
      </c>
      <c r="C29" s="9">
        <f>'Margin Analysis'!F145</f>
        <v>0.13</v>
      </c>
    </row>
    <row r="30" spans="2:3" x14ac:dyDescent="0.25">
      <c r="B30" s="10" t="s">
        <v>36</v>
      </c>
      <c r="C30" s="11">
        <f>'Margin Analysis'!D145</f>
        <v>2685228.27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15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89</v>
      </c>
      <c r="V2" s="39">
        <v>0.15</v>
      </c>
    </row>
    <row r="3" ht="28" customHeight="1" spans="1:26" x14ac:dyDescent="0.25">
      <c r="A3" s="24" t="s">
        <v>90</v>
      </c>
      <c r="B3" s="24" t="s">
        <v>91</v>
      </c>
      <c r="C3" s="24" t="s">
        <v>92</v>
      </c>
      <c r="D3" s="24" t="s">
        <v>93</v>
      </c>
      <c r="E3" s="24" t="s">
        <v>94</v>
      </c>
      <c r="F3" s="24" t="s">
        <v>95</v>
      </c>
      <c r="G3" s="24" t="s">
        <v>96</v>
      </c>
      <c r="H3" s="24" t="s">
        <v>97</v>
      </c>
      <c r="I3" s="24" t="s">
        <v>98</v>
      </c>
      <c r="J3" s="24" t="s">
        <v>99</v>
      </c>
      <c r="K3" s="24" t="s">
        <v>100</v>
      </c>
      <c r="L3" s="24" t="s">
        <v>101</v>
      </c>
      <c r="M3" s="24" t="s">
        <v>102</v>
      </c>
      <c r="N3" s="24" t="s">
        <v>103</v>
      </c>
      <c r="O3" s="24" t="s">
        <v>104</v>
      </c>
      <c r="P3" s="24" t="s">
        <v>105</v>
      </c>
      <c r="Q3" s="24" t="s">
        <v>106</v>
      </c>
      <c r="R3" s="24" t="s">
        <v>107</v>
      </c>
      <c r="S3" s="24" t="s">
        <v>108</v>
      </c>
      <c r="T3" s="24" t="s">
        <v>32</v>
      </c>
      <c r="U3" s="24" t="s">
        <v>43</v>
      </c>
      <c r="V3" s="24" t="s">
        <v>41</v>
      </c>
      <c r="W3" s="24" t="s">
        <v>109</v>
      </c>
      <c r="X3" s="24" t="s">
        <v>110</v>
      </c>
      <c r="Y3" s="24" t="s">
        <v>111</v>
      </c>
      <c r="Z3" s="24" t="s">
        <v>112</v>
      </c>
    </row>
    <row r="4" spans="1:26" x14ac:dyDescent="0.25">
      <c r="A4" s="40" t="s">
        <v>44</v>
      </c>
      <c r="B4" s="41">
        <v>6.3</v>
      </c>
      <c r="C4" s="41">
        <v>18.11</v>
      </c>
      <c r="D4" s="32">
        <v>8000</v>
      </c>
      <c r="E4" s="32" t="s">
        <v>113</v>
      </c>
      <c r="F4" s="32" t="s">
        <v>114</v>
      </c>
      <c r="G4" s="42" t="s">
        <v>115</v>
      </c>
      <c r="H4" s="41">
        <v>6.3</v>
      </c>
      <c r="I4" s="41">
        <v>18.11</v>
      </c>
      <c r="J4" s="43">
        <v>492</v>
      </c>
      <c r="K4" s="43">
        <v>1415</v>
      </c>
      <c r="L4" s="44">
        <v>1</v>
      </c>
      <c r="M4" s="45">
        <f>H4*I4*L4</f>
        <v>114.09</v>
      </c>
      <c r="N4" s="42">
        <v>7500</v>
      </c>
      <c r="O4" s="42" t="s">
        <v>116</v>
      </c>
      <c r="P4" s="33">
        <v>244.16</v>
      </c>
      <c r="Q4" s="33">
        <v>27855.82</v>
      </c>
      <c r="R4" s="33">
        <f>SUM('Bundle Equipment'!E10:E10)</f>
        <v>518.45</v>
      </c>
      <c r="S4" s="33">
        <v>1140.9</v>
      </c>
      <c r="T4" s="46">
        <v>29515.17</v>
      </c>
      <c r="U4" s="34">
        <f>V$2</f>
        <v>0.135354</v>
      </c>
      <c r="V4" s="46">
        <v>77897.05</v>
      </c>
      <c r="W4" s="33">
        <v>10543.65</v>
      </c>
      <c r="X4" s="45">
        <v>577</v>
      </c>
      <c r="Y4" s="45">
        <v>5234</v>
      </c>
      <c r="Z4" s="45">
        <f>Y4*3.412</f>
        <v>17858</v>
      </c>
    </row>
    <row r="5" spans="1:26" x14ac:dyDescent="0.25">
      <c r="A5" s="25" t="s">
        <v>56</v>
      </c>
      <c r="B5" s="47">
        <v>7.48</v>
      </c>
      <c r="C5" s="47">
        <v>29.92</v>
      </c>
      <c r="D5">
        <v>8000</v>
      </c>
      <c r="E5" t="s">
        <v>113</v>
      </c>
      <c r="F5" t="s">
        <v>114</v>
      </c>
      <c r="G5" s="48" t="s">
        <v>115</v>
      </c>
      <c r="H5" s="47">
        <v>7.48</v>
      </c>
      <c r="I5" s="47">
        <v>29.92</v>
      </c>
      <c r="J5" s="49">
        <v>585</v>
      </c>
      <c r="K5" s="49">
        <v>2338</v>
      </c>
      <c r="L5" s="50">
        <v>1</v>
      </c>
      <c r="M5" s="51">
        <f>H5*I5*L5</f>
        <v>223.8</v>
      </c>
      <c r="N5" s="48">
        <v>7500</v>
      </c>
      <c r="O5" s="48" t="s">
        <v>116</v>
      </c>
      <c r="P5" s="19">
        <v>244.16</v>
      </c>
      <c r="Q5" s="19">
        <v>54642.22</v>
      </c>
      <c r="R5" s="19">
        <f>SUM('Bundle Equipment'!E15:E15)</f>
        <v>584.28</v>
      </c>
      <c r="S5" s="19">
        <v>2238</v>
      </c>
      <c r="T5" s="52">
        <v>57464.5</v>
      </c>
      <c r="U5" s="26">
        <f>V$2</f>
        <v>0.131865</v>
      </c>
      <c r="V5" s="52">
        <v>123405.56</v>
      </c>
      <c r="W5" s="19">
        <v>16272.83</v>
      </c>
      <c r="X5" s="51">
        <v>1132</v>
      </c>
      <c r="Y5" s="51">
        <v>10268</v>
      </c>
      <c r="Z5" s="51">
        <f>Y5*3.412</f>
        <v>35034</v>
      </c>
    </row>
    <row r="6" spans="1:26" x14ac:dyDescent="0.25">
      <c r="A6" s="40" t="s">
        <v>57</v>
      </c>
      <c r="B6" s="41">
        <v>7.48</v>
      </c>
      <c r="C6" s="41">
        <v>29.92</v>
      </c>
      <c r="D6" s="32">
        <v>8000</v>
      </c>
      <c r="E6" s="32" t="s">
        <v>113</v>
      </c>
      <c r="F6" s="32" t="s">
        <v>114</v>
      </c>
      <c r="G6" s="42" t="s">
        <v>115</v>
      </c>
      <c r="H6" s="41">
        <v>7.48</v>
      </c>
      <c r="I6" s="41">
        <v>29.92</v>
      </c>
      <c r="J6" s="43">
        <v>585</v>
      </c>
      <c r="K6" s="43">
        <v>2338</v>
      </c>
      <c r="L6" s="44">
        <v>1</v>
      </c>
      <c r="M6" s="45">
        <f>H6*I6*L6</f>
        <v>223.8</v>
      </c>
      <c r="N6" s="42">
        <v>7500</v>
      </c>
      <c r="O6" s="42" t="s">
        <v>116</v>
      </c>
      <c r="P6" s="33">
        <v>244.16</v>
      </c>
      <c r="Q6" s="33">
        <v>54642.22</v>
      </c>
      <c r="R6" s="33">
        <f>SUM('Bundle Equipment'!E20:E20)</f>
        <v>584.28</v>
      </c>
      <c r="S6" s="33">
        <v>2238</v>
      </c>
      <c r="T6" s="46">
        <v>57464.5</v>
      </c>
      <c r="U6" s="34">
        <f>V$2</f>
        <v>0.131865</v>
      </c>
      <c r="V6" s="46">
        <v>123405.56</v>
      </c>
      <c r="W6" s="33">
        <v>16272.83</v>
      </c>
      <c r="X6" s="45">
        <v>1132</v>
      </c>
      <c r="Y6" s="45">
        <v>10268</v>
      </c>
      <c r="Z6" s="45">
        <f>Y6*3.412</f>
        <v>35034</v>
      </c>
    </row>
    <row r="7" spans="1:26" x14ac:dyDescent="0.25">
      <c r="A7" s="25" t="s">
        <v>58</v>
      </c>
      <c r="B7" s="47">
        <v>12.6</v>
      </c>
      <c r="C7" s="47">
        <v>29.92</v>
      </c>
      <c r="D7">
        <v>8000</v>
      </c>
      <c r="E7" t="s">
        <v>113</v>
      </c>
      <c r="F7" t="s">
        <v>114</v>
      </c>
      <c r="G7" s="48" t="s">
        <v>115</v>
      </c>
      <c r="H7" s="47">
        <v>12.6</v>
      </c>
      <c r="I7" s="47">
        <v>29.92</v>
      </c>
      <c r="J7" s="49">
        <v>985</v>
      </c>
      <c r="K7" s="49">
        <v>2338</v>
      </c>
      <c r="L7" s="50">
        <v>1</v>
      </c>
      <c r="M7" s="51">
        <f>H7*I7*L7</f>
        <v>376.99</v>
      </c>
      <c r="N7" s="48">
        <v>7500</v>
      </c>
      <c r="O7" s="48" t="s">
        <v>116</v>
      </c>
      <c r="P7" s="19">
        <v>244.16</v>
      </c>
      <c r="Q7" s="19">
        <v>92044.55</v>
      </c>
      <c r="R7" s="19">
        <f>SUM('Bundle Equipment'!E26:E26)</f>
        <v>12676.19</v>
      </c>
      <c r="S7" s="19">
        <v>3769.9</v>
      </c>
      <c r="T7" s="52">
        <v>108490.64</v>
      </c>
      <c r="U7" s="26">
        <f>V$2</f>
        <v>0.131243</v>
      </c>
      <c r="V7" s="52">
        <v>200987.02</v>
      </c>
      <c r="W7" s="19">
        <v>26378.15</v>
      </c>
      <c r="X7" s="51">
        <v>1907</v>
      </c>
      <c r="Y7" s="51">
        <v>17296</v>
      </c>
      <c r="Z7" s="51">
        <f>Y7*3.412</f>
        <v>59014</v>
      </c>
    </row>
    <row r="8" spans="1:26" x14ac:dyDescent="0.25">
      <c r="A8" s="40" t="s">
        <v>59</v>
      </c>
      <c r="B8" s="41">
        <v>9.45</v>
      </c>
      <c r="C8" s="41">
        <v>280.31</v>
      </c>
      <c r="D8" s="32">
        <v>8000</v>
      </c>
      <c r="E8" s="32" t="s">
        <v>113</v>
      </c>
      <c r="F8" s="32" t="s">
        <v>114</v>
      </c>
      <c r="G8" s="42" t="s">
        <v>115</v>
      </c>
      <c r="H8" s="41">
        <v>9.45</v>
      </c>
      <c r="I8" s="41">
        <v>280.31</v>
      </c>
      <c r="J8" s="43">
        <v>739</v>
      </c>
      <c r="K8" s="43">
        <v>21907</v>
      </c>
      <c r="L8" s="44">
        <v>1</v>
      </c>
      <c r="M8" s="45">
        <f>H8*I8*L8</f>
        <v>2648.93</v>
      </c>
      <c r="N8" s="42">
        <v>7500</v>
      </c>
      <c r="O8" s="42" t="s">
        <v>116</v>
      </c>
      <c r="P8" s="33">
        <v>244.16</v>
      </c>
      <c r="Q8" s="33">
        <v>646753.47</v>
      </c>
      <c r="R8" s="33">
        <f>SUM('Bundle Equipment'!E32:E32)</f>
        <v>30389.36</v>
      </c>
      <c r="S8" s="33">
        <v>26489.3</v>
      </c>
      <c r="T8" s="46">
        <v>703632.13</v>
      </c>
      <c r="U8" s="34">
        <f>V$2</f>
        <v>0.12720499999999998</v>
      </c>
      <c r="V8" s="46">
        <v>1162042.44</v>
      </c>
      <c r="W8" s="33">
        <v>147817.07</v>
      </c>
      <c r="X8" s="45">
        <v>13398</v>
      </c>
      <c r="Y8" s="45">
        <v>121528</v>
      </c>
      <c r="Z8" s="45">
        <f>Y8*3.412</f>
        <v>414654</v>
      </c>
    </row>
    <row r="9" spans="1:26" x14ac:dyDescent="0.25">
      <c r="A9" s="25" t="s">
        <v>60</v>
      </c>
      <c r="B9" s="47">
        <v>71.6</v>
      </c>
      <c r="C9" s="47">
        <v>5.5</v>
      </c>
      <c r="D9">
        <v>8000</v>
      </c>
      <c r="E9" t="s">
        <v>113</v>
      </c>
      <c r="F9" t="s">
        <v>114</v>
      </c>
      <c r="G9" s="48" t="s">
        <v>115</v>
      </c>
      <c r="H9" s="47">
        <v>71.6</v>
      </c>
      <c r="I9" s="47">
        <v>5.5</v>
      </c>
      <c r="J9" s="49">
        <v>5596</v>
      </c>
      <c r="K9" s="49">
        <v>430</v>
      </c>
      <c r="L9" s="50">
        <v>1</v>
      </c>
      <c r="M9" s="51">
        <f>H9*I9*L9</f>
        <v>393.8</v>
      </c>
      <c r="N9" s="48">
        <v>7500</v>
      </c>
      <c r="O9" s="48" t="s">
        <v>116</v>
      </c>
      <c r="P9" s="19">
        <v>244.16</v>
      </c>
      <c r="Q9" s="19">
        <v>96148.83</v>
      </c>
      <c r="R9" s="19">
        <f>SUM('Bundle Equipment'!E38:E38)</f>
        <v>12686.28</v>
      </c>
      <c r="S9" s="19">
        <v>3938</v>
      </c>
      <c r="T9" s="52">
        <v>112773.11</v>
      </c>
      <c r="U9" s="26">
        <f>V$2</f>
        <v>0.131064</v>
      </c>
      <c r="V9" s="52">
        <v>207968.64</v>
      </c>
      <c r="W9" s="19">
        <v>27257.3</v>
      </c>
      <c r="X9" s="51">
        <v>1992</v>
      </c>
      <c r="Y9" s="51">
        <v>18067</v>
      </c>
      <c r="Z9" s="51">
        <f>Y9*3.412</f>
        <v>61645</v>
      </c>
    </row>
    <row r="10" spans="1:26" x14ac:dyDescent="0.25">
      <c r="A10" s="40" t="s">
        <v>61</v>
      </c>
      <c r="B10" s="41">
        <v>48</v>
      </c>
      <c r="C10" s="41">
        <v>14</v>
      </c>
      <c r="D10" s="32">
        <v>8000</v>
      </c>
      <c r="E10" s="32" t="s">
        <v>113</v>
      </c>
      <c r="F10" s="32" t="s">
        <v>114</v>
      </c>
      <c r="G10" s="42" t="s">
        <v>115</v>
      </c>
      <c r="H10" s="41">
        <v>48</v>
      </c>
      <c r="I10" s="41">
        <v>14</v>
      </c>
      <c r="J10" s="43">
        <v>3751</v>
      </c>
      <c r="K10" s="43">
        <v>1094</v>
      </c>
      <c r="L10" s="44">
        <v>1</v>
      </c>
      <c r="M10" s="45">
        <f>H10*I10*L10</f>
        <v>672</v>
      </c>
      <c r="N10" s="42">
        <v>7500</v>
      </c>
      <c r="O10" s="42" t="s">
        <v>116</v>
      </c>
      <c r="P10" s="33">
        <v>244.16</v>
      </c>
      <c r="Q10" s="33">
        <v>164073.17</v>
      </c>
      <c r="R10" s="33">
        <f>SUM('Bundle Equipment'!E44:E44)</f>
        <v>12853.2</v>
      </c>
      <c r="S10" s="33">
        <v>6720</v>
      </c>
      <c r="T10" s="46">
        <v>183646.37</v>
      </c>
      <c r="U10" s="34">
        <f>V$2</f>
        <v>0.129211</v>
      </c>
      <c r="V10" s="46">
        <v>323240.71</v>
      </c>
      <c r="W10" s="33">
        <v>41766.11</v>
      </c>
      <c r="X10" s="45">
        <v>3399</v>
      </c>
      <c r="Y10" s="45">
        <v>30830</v>
      </c>
      <c r="Z10" s="45">
        <f>Y10*3.412</f>
        <v>105192</v>
      </c>
    </row>
    <row r="11" spans="1:26" x14ac:dyDescent="0.25">
      <c r="A11" s="25" t="s">
        <v>62</v>
      </c>
      <c r="B11" s="47">
        <v>65</v>
      </c>
      <c r="C11" s="47">
        <v>13</v>
      </c>
      <c r="D11">
        <v>8000</v>
      </c>
      <c r="E11" t="s">
        <v>113</v>
      </c>
      <c r="F11" t="s">
        <v>114</v>
      </c>
      <c r="G11" s="48" t="s">
        <v>115</v>
      </c>
      <c r="H11" s="47">
        <v>65</v>
      </c>
      <c r="I11" s="47">
        <v>13</v>
      </c>
      <c r="J11" s="49">
        <v>5080</v>
      </c>
      <c r="K11" s="49">
        <v>1016</v>
      </c>
      <c r="L11" s="50">
        <v>1</v>
      </c>
      <c r="M11" s="51">
        <f>H11*I11*L11</f>
        <v>845</v>
      </c>
      <c r="N11" s="48">
        <v>7500</v>
      </c>
      <c r="O11" s="48" t="s">
        <v>116</v>
      </c>
      <c r="P11" s="19">
        <v>244.16</v>
      </c>
      <c r="Q11" s="19">
        <v>206312.24</v>
      </c>
      <c r="R11" s="19">
        <f>SUM('Bundle Equipment'!E50:E50)</f>
        <v>12957</v>
      </c>
      <c r="S11" s="19">
        <v>8450</v>
      </c>
      <c r="T11" s="52">
        <v>227719.24</v>
      </c>
      <c r="U11" s="26">
        <f>V$2</f>
        <v>0.128606</v>
      </c>
      <c r="V11" s="52">
        <v>394961.73</v>
      </c>
      <c r="W11" s="19">
        <v>50794.26</v>
      </c>
      <c r="X11" s="51">
        <v>4274</v>
      </c>
      <c r="Y11" s="51">
        <v>38767</v>
      </c>
      <c r="Z11" s="51">
        <f>Y11*3.412</f>
        <v>132273</v>
      </c>
    </row>
    <row r="12" spans="1:26" x14ac:dyDescent="0.25">
      <c r="A12" s="40" t="s">
        <v>63</v>
      </c>
      <c r="B12" s="41" t="s">
        <v>38</v>
      </c>
      <c r="C12" s="41" t="s">
        <v>38</v>
      </c>
      <c r="D12" s="32">
        <v>8000</v>
      </c>
      <c r="E12" s="32" t="s">
        <v>113</v>
      </c>
      <c r="F12" s="32" t="s">
        <v>114</v>
      </c>
      <c r="G12" s="42" t="s">
        <v>115</v>
      </c>
      <c r="H12" s="41">
        <v>0</v>
      </c>
      <c r="I12" s="41">
        <v>0</v>
      </c>
      <c r="J12" s="43">
        <v>0</v>
      </c>
      <c r="K12" s="43">
        <v>0</v>
      </c>
      <c r="L12" s="44">
        <v>1</v>
      </c>
      <c r="M12" s="45">
        <f>H12*I12*L12</f>
        <v>0</v>
      </c>
      <c r="N12" s="42">
        <v>7500</v>
      </c>
      <c r="O12" s="42" t="s">
        <v>116</v>
      </c>
      <c r="P12" s="33">
        <v>0</v>
      </c>
      <c r="Q12" s="33">
        <v>0</v>
      </c>
      <c r="R12" s="33">
        <f>SUM('Bundle Equipment'!E54:E54)</f>
        <v>0</v>
      </c>
      <c r="S12" s="33">
        <v>0</v>
      </c>
      <c r="T12" s="46">
        <v>0</v>
      </c>
      <c r="U12" s="34">
        <f>V$2</f>
        <v>0.15</v>
      </c>
      <c r="V12" s="46">
        <v>12456.74</v>
      </c>
      <c r="W12" s="33">
        <v>1868.51</v>
      </c>
      <c r="X12" s="32"/>
      <c r="Y12" s="32"/>
      <c r="Z12" s="32"/>
    </row>
    <row r="13" spans="1:26" x14ac:dyDescent="0.25">
      <c r="A13" s="25" t="s">
        <v>64</v>
      </c>
      <c r="B13" s="47">
        <v>7.87</v>
      </c>
      <c r="C13" s="47">
        <v>8.66</v>
      </c>
      <c r="D13">
        <v>8000</v>
      </c>
      <c r="E13" t="s">
        <v>113</v>
      </c>
      <c r="F13" t="s">
        <v>114</v>
      </c>
      <c r="G13" s="48" t="s">
        <v>115</v>
      </c>
      <c r="H13" s="47">
        <v>7.87</v>
      </c>
      <c r="I13" s="47">
        <v>8.66</v>
      </c>
      <c r="J13" s="49">
        <v>615</v>
      </c>
      <c r="K13" s="49">
        <v>677</v>
      </c>
      <c r="L13" s="50">
        <v>1</v>
      </c>
      <c r="M13" s="51">
        <f>H13*I13*L13</f>
        <v>68.15</v>
      </c>
      <c r="N13" s="48">
        <v>7500</v>
      </c>
      <c r="O13" s="48" t="s">
        <v>116</v>
      </c>
      <c r="P13" s="19">
        <v>244.16</v>
      </c>
      <c r="Q13" s="19">
        <v>16639.27</v>
      </c>
      <c r="R13" s="19">
        <f>SUM('Bundle Equipment'!E59:E59)</f>
        <v>490.89</v>
      </c>
      <c r="S13" s="19">
        <v>681.5</v>
      </c>
      <c r="T13" s="52">
        <v>17811.66</v>
      </c>
      <c r="U13" s="26">
        <f>V$2</f>
        <v>0.138422</v>
      </c>
      <c r="V13" s="52">
        <v>58862.82</v>
      </c>
      <c r="W13" s="19">
        <v>8147.92</v>
      </c>
      <c r="X13" s="51">
        <v>345</v>
      </c>
      <c r="Y13" s="51">
        <v>3127</v>
      </c>
      <c r="Z13" s="51">
        <f>Y13*3.412</f>
        <v>10669</v>
      </c>
    </row>
    <row r="15" spans="1:26" x14ac:dyDescent="0.25">
      <c r="A15" s="53" t="s">
        <v>117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>
        <f>M4+M5+M6+M7+M8+M9+M10+M11+M12+M13</f>
        <v>5566.5599999999995</v>
      </c>
      <c r="N15" s="53"/>
      <c r="O15" s="53"/>
      <c r="P15" s="53"/>
      <c r="Q15" s="55">
        <f>Q4+Q5+Q6+Q7+Q8+Q9+Q10+Q11+Q12+Q13</f>
        <v>1359111.79</v>
      </c>
      <c r="R15" s="55">
        <f>R4+R5+R6+R7+R8+R9+R10+R11+R12+R13</f>
        <v>83739.93</v>
      </c>
      <c r="S15" s="55">
        <f>S4+S5+S6+S7+S8+S9+S10+S11+S12+S13</f>
        <v>55665.6</v>
      </c>
      <c r="T15" s="55">
        <f>T4+T5+T6+T7+T8+T9+T10+T11+T12+T13</f>
        <v>1498517.3199999998</v>
      </c>
      <c r="U15" s="56">
        <f>IFERROR(1-T15/V15,0)</f>
        <v>0.15</v>
      </c>
      <c r="V15" s="55">
        <f>V4+V5+V6+V7+V8+V9+V10+V11+V12+V13</f>
        <v>1762961.55</v>
      </c>
      <c r="W15" s="55">
        <f>W4+W5+W6+W7+W8+W9+W10+W11+W12+W13</f>
        <v>264444.23</v>
      </c>
      <c r="X15" s="54">
        <f>X4+X5+X6+X7+X8+X9+X10+X11+X12+X13</f>
        <v>38032</v>
      </c>
      <c r="Y15" s="54">
        <f>Y4+Y5+Y6+Y7+Y8+Y9+Y10+Y11+Y12+Y13</f>
        <v>718675</v>
      </c>
      <c r="Z15" s="54">
        <f>Z4+Z5+Z6+Z7+Z8+Z9+Z10+Z11+Z12+Z13</f>
        <v>2452119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14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7" t="s">
        <v>120</v>
      </c>
      <c r="B4" s="57" t="s">
        <v>101</v>
      </c>
      <c r="C4" s="57" t="s">
        <v>121</v>
      </c>
      <c r="D4" s="57" t="s">
        <v>122</v>
      </c>
      <c r="E4" s="57" t="s">
        <v>123</v>
      </c>
      <c r="F4" s="57" t="s">
        <v>124</v>
      </c>
      <c r="G4" s="57" t="s">
        <v>125</v>
      </c>
      <c r="H4" s="57" t="s">
        <v>126</v>
      </c>
      <c r="I4" s="57" t="s">
        <v>127</v>
      </c>
      <c r="J4" s="57" t="s">
        <v>104</v>
      </c>
      <c r="K4" s="57" t="s">
        <v>13</v>
      </c>
      <c r="L4" s="57" t="s">
        <v>110</v>
      </c>
      <c r="M4" s="57" t="s">
        <v>111</v>
      </c>
      <c r="N4" s="57" t="s">
        <v>128</v>
      </c>
      <c r="O4" s="57" t="s">
        <v>112</v>
      </c>
    </row>
    <row r="5" spans="1:15" x14ac:dyDescent="0.25">
      <c r="A5" s="32" t="str">
        <f>'LED Cost Sheet'!A4</f>
        <v>9A Underpass 1 — Underpass 1</v>
      </c>
      <c r="B5" s="32">
        <f>'LED Cost Sheet'!I4</f>
        <v>1</v>
      </c>
      <c r="C5" s="32" t="str">
        <f>'LED Cost Sheet'!D4</f>
        <v>3.9mm</v>
      </c>
      <c r="D5" s="32">
        <f>'LED Cost Sheet'!E4</f>
        <v>6.3</v>
      </c>
      <c r="E5" s="32">
        <f>'LED Cost Sheet'!F4</f>
        <v>18.11</v>
      </c>
      <c r="F5" s="32">
        <f>'LED Cost Sheet'!G4</f>
        <v>492</v>
      </c>
      <c r="G5" s="32">
        <f>'LED Cost Sheet'!H4</f>
        <v>1415</v>
      </c>
      <c r="H5" s="45">
        <f>D5*E5*B5</f>
        <v>114.09</v>
      </c>
      <c r="I5" s="32">
        <f>'LED Cost Sheet'!K4</f>
        <v>8000</v>
      </c>
      <c r="J5" s="32" t="str">
        <f>'LED Cost Sheet'!L4</f>
        <v>Front</v>
      </c>
      <c r="K5" s="32" t="s">
        <v>129</v>
      </c>
      <c r="L5" s="45">
        <f>'LED Cost Sheet'!U4</f>
        <v>577</v>
      </c>
      <c r="M5" s="45">
        <f>'LED Cost Sheet'!V4</f>
        <v>5234</v>
      </c>
      <c r="N5" s="58">
        <f>IFERROR((F5*G5*B5)/400000,0)</f>
        <v>1.74</v>
      </c>
      <c r="O5" s="45">
        <f>'LED Cost Sheet'!W4</f>
        <v>17858</v>
      </c>
    </row>
    <row r="6" spans="1:15" x14ac:dyDescent="0.25">
      <c r="A6" t="str">
        <f>'LED Cost Sheet'!A5</f>
        <v>9A Underpass 2 — Underpass 2</v>
      </c>
      <c r="B6">
        <f>'LED Cost Sheet'!I5</f>
        <v>1</v>
      </c>
      <c r="C6" t="str">
        <f>'LED Cost Sheet'!D5</f>
        <v>3.9mm</v>
      </c>
      <c r="D6">
        <f>'LED Cost Sheet'!E5</f>
        <v>7.48</v>
      </c>
      <c r="E6">
        <f>'LED Cost Sheet'!F5</f>
        <v>29.92</v>
      </c>
      <c r="F6">
        <f>'LED Cost Sheet'!G5</f>
        <v>585</v>
      </c>
      <c r="G6">
        <f>'LED Cost Sheet'!H5</f>
        <v>2338</v>
      </c>
      <c r="H6" s="51">
        <f>D6*E6*B6</f>
        <v>223.8</v>
      </c>
      <c r="I6">
        <f>'LED Cost Sheet'!K5</f>
        <v>8000</v>
      </c>
      <c r="J6" t="str">
        <f>'LED Cost Sheet'!L5</f>
        <v>Front</v>
      </c>
      <c r="K6" t="s">
        <v>129</v>
      </c>
      <c r="L6" s="51">
        <f>'LED Cost Sheet'!U5</f>
        <v>1132</v>
      </c>
      <c r="M6" s="51">
        <f>'LED Cost Sheet'!V5</f>
        <v>10268</v>
      </c>
      <c r="N6" s="59">
        <f>IFERROR((F6*G6*B6)/400000,0)</f>
        <v>3.42</v>
      </c>
      <c r="O6" s="51">
        <f>'LED Cost Sheet'!W5</f>
        <v>35034</v>
      </c>
    </row>
    <row r="7" spans="1:15" x14ac:dyDescent="0.25">
      <c r="A7" s="32" t="str">
        <f>'LED Cost Sheet'!A6</f>
        <v>9A Underpass 3 — Underpass 3</v>
      </c>
      <c r="B7" s="32">
        <f>'LED Cost Sheet'!I6</f>
        <v>1</v>
      </c>
      <c r="C7" s="32" t="str">
        <f>'LED Cost Sheet'!D6</f>
        <v>3.9mm</v>
      </c>
      <c r="D7" s="32">
        <f>'LED Cost Sheet'!E6</f>
        <v>7.48</v>
      </c>
      <c r="E7" s="32">
        <f>'LED Cost Sheet'!F6</f>
        <v>29.92</v>
      </c>
      <c r="F7" s="32">
        <f>'LED Cost Sheet'!G6</f>
        <v>585</v>
      </c>
      <c r="G7" s="32">
        <f>'LED Cost Sheet'!H6</f>
        <v>2338</v>
      </c>
      <c r="H7" s="45">
        <f>D7*E7*B7</f>
        <v>223.8</v>
      </c>
      <c r="I7" s="32">
        <f>'LED Cost Sheet'!K6</f>
        <v>8000</v>
      </c>
      <c r="J7" s="32" t="str">
        <f>'LED Cost Sheet'!L6</f>
        <v>Front</v>
      </c>
      <c r="K7" s="32" t="s">
        <v>129</v>
      </c>
      <c r="L7" s="45">
        <f>'LED Cost Sheet'!U6</f>
        <v>1132</v>
      </c>
      <c r="M7" s="45">
        <f>'LED Cost Sheet'!V6</f>
        <v>10268</v>
      </c>
      <c r="N7" s="58">
        <f>IFERROR((F7*G7*B7)/400000,0)</f>
        <v>3.42</v>
      </c>
      <c r="O7" s="45">
        <f>'LED Cost Sheet'!W6</f>
        <v>35034</v>
      </c>
    </row>
    <row r="8" spans="1:15" x14ac:dyDescent="0.25">
      <c r="A8" t="str">
        <f>'LED Cost Sheet'!A7</f>
        <v>9A Underpass 4 — Underpass 4</v>
      </c>
      <c r="B8">
        <f>'LED Cost Sheet'!I7</f>
        <v>1</v>
      </c>
      <c r="C8" t="str">
        <f>'LED Cost Sheet'!D7</f>
        <v>3.9mm</v>
      </c>
      <c r="D8">
        <f>'LED Cost Sheet'!E7</f>
        <v>12.6</v>
      </c>
      <c r="E8">
        <f>'LED Cost Sheet'!F7</f>
        <v>29.92</v>
      </c>
      <c r="F8">
        <f>'LED Cost Sheet'!G7</f>
        <v>985</v>
      </c>
      <c r="G8">
        <f>'LED Cost Sheet'!H7</f>
        <v>2338</v>
      </c>
      <c r="H8" s="51">
        <f>D8*E8*B8</f>
        <v>376.99</v>
      </c>
      <c r="I8">
        <f>'LED Cost Sheet'!K7</f>
        <v>8000</v>
      </c>
      <c r="J8" t="str">
        <f>'LED Cost Sheet'!L7</f>
        <v>Front</v>
      </c>
      <c r="K8" t="s">
        <v>129</v>
      </c>
      <c r="L8" s="51">
        <f>'LED Cost Sheet'!U7</f>
        <v>1907</v>
      </c>
      <c r="M8" s="51">
        <f>'LED Cost Sheet'!V7</f>
        <v>17296</v>
      </c>
      <c r="N8" s="59">
        <f>IFERROR((F8*G8*B8)/400000,0)</f>
        <v>5.76</v>
      </c>
      <c r="O8" s="51">
        <f>'LED Cost Sheet'!W7</f>
        <v>59014</v>
      </c>
    </row>
    <row r="9" spans="1:15" x14ac:dyDescent="0.25">
      <c r="A9" s="32" t="str">
        <f>'LED Cost Sheet'!A8</f>
        <v>Concourse — Concourse</v>
      </c>
      <c r="B9" s="32">
        <f>'LED Cost Sheet'!I8</f>
        <v>1</v>
      </c>
      <c r="C9" s="32" t="str">
        <f>'LED Cost Sheet'!D8</f>
        <v>3.9mm</v>
      </c>
      <c r="D9" s="32">
        <f>'LED Cost Sheet'!E8</f>
        <v>9.45</v>
      </c>
      <c r="E9" s="32">
        <f>'LED Cost Sheet'!F8</f>
        <v>280.31</v>
      </c>
      <c r="F9" s="32">
        <f>'LED Cost Sheet'!G8</f>
        <v>739</v>
      </c>
      <c r="G9" s="32">
        <f>'LED Cost Sheet'!H8</f>
        <v>21907</v>
      </c>
      <c r="H9" s="45">
        <f>D9*E9*B9</f>
        <v>2648.93</v>
      </c>
      <c r="I9" s="32">
        <f>'LED Cost Sheet'!K8</f>
        <v>8000</v>
      </c>
      <c r="J9" s="32" t="str">
        <f>'LED Cost Sheet'!L8</f>
        <v>Front</v>
      </c>
      <c r="K9" s="32" t="s">
        <v>129</v>
      </c>
      <c r="L9" s="45">
        <f>'LED Cost Sheet'!U8</f>
        <v>13398</v>
      </c>
      <c r="M9" s="45">
        <f>'LED Cost Sheet'!V8</f>
        <v>121528</v>
      </c>
      <c r="N9" s="58">
        <f>IFERROR((F9*G9*B9)/400000,0)</f>
        <v>40.47</v>
      </c>
      <c r="O9" s="45">
        <f>'LED Cost Sheet'!W8</f>
        <v>414654</v>
      </c>
    </row>
    <row r="10" spans="1:15" x14ac:dyDescent="0.25">
      <c r="A10" t="str">
        <f>'LED Cost Sheet'!A9</f>
        <v>T4 Elevator — T4 Lobby Elevator</v>
      </c>
      <c r="B10">
        <f>'LED Cost Sheet'!I9</f>
        <v>1</v>
      </c>
      <c r="C10" t="str">
        <f>'LED Cost Sheet'!D9</f>
        <v>3.9mm</v>
      </c>
      <c r="D10">
        <f>'LED Cost Sheet'!E9</f>
        <v>71.6</v>
      </c>
      <c r="E10">
        <f>'LED Cost Sheet'!F9</f>
        <v>5.5</v>
      </c>
      <c r="F10">
        <f>'LED Cost Sheet'!G9</f>
        <v>5596</v>
      </c>
      <c r="G10">
        <f>'LED Cost Sheet'!H9</f>
        <v>430</v>
      </c>
      <c r="H10" s="51">
        <f>D10*E10*B10</f>
        <v>393.8</v>
      </c>
      <c r="I10">
        <f>'LED Cost Sheet'!K9</f>
        <v>8000</v>
      </c>
      <c r="J10" t="str">
        <f>'LED Cost Sheet'!L9</f>
        <v>Front</v>
      </c>
      <c r="K10" t="s">
        <v>129</v>
      </c>
      <c r="L10" s="51">
        <f>'LED Cost Sheet'!U9</f>
        <v>1992</v>
      </c>
      <c r="M10" s="51">
        <f>'LED Cost Sheet'!V9</f>
        <v>18067</v>
      </c>
      <c r="N10" s="59">
        <f>IFERROR((F10*G10*B10)/400000,0)</f>
        <v>6.02</v>
      </c>
      <c r="O10" s="51">
        <f>'LED Cost Sheet'!W9</f>
        <v>61645</v>
      </c>
    </row>
    <row r="11" spans="1:15" x14ac:dyDescent="0.25">
      <c r="A11" s="32" t="str">
        <f>'LED Cost Sheet'!A10</f>
        <v>New Path Hall Option 1 — Path Hall</v>
      </c>
      <c r="B11" s="32">
        <f>'LED Cost Sheet'!I10</f>
        <v>1</v>
      </c>
      <c r="C11" s="32" t="str">
        <f>'LED Cost Sheet'!D10</f>
        <v>3.9mm</v>
      </c>
      <c r="D11" s="32">
        <f>'LED Cost Sheet'!E10</f>
        <v>48</v>
      </c>
      <c r="E11" s="32">
        <f>'LED Cost Sheet'!F10</f>
        <v>14</v>
      </c>
      <c r="F11" s="32">
        <f>'LED Cost Sheet'!G10</f>
        <v>3751</v>
      </c>
      <c r="G11" s="32">
        <f>'LED Cost Sheet'!H10</f>
        <v>1094</v>
      </c>
      <c r="H11" s="45">
        <f>D11*E11*B11</f>
        <v>672</v>
      </c>
      <c r="I11" s="32">
        <f>'LED Cost Sheet'!K10</f>
        <v>8000</v>
      </c>
      <c r="J11" s="32" t="str">
        <f>'LED Cost Sheet'!L10</f>
        <v>Front</v>
      </c>
      <c r="K11" s="32" t="s">
        <v>129</v>
      </c>
      <c r="L11" s="45">
        <f>'LED Cost Sheet'!U10</f>
        <v>3399</v>
      </c>
      <c r="M11" s="45">
        <f>'LED Cost Sheet'!V10</f>
        <v>30830</v>
      </c>
      <c r="N11" s="58">
        <f>IFERROR((F11*G11*B11)/400000,0)</f>
        <v>10.26</v>
      </c>
      <c r="O11" s="45">
        <f>'LED Cost Sheet'!W10</f>
        <v>105192</v>
      </c>
    </row>
    <row r="12" spans="1:15" x14ac:dyDescent="0.25">
      <c r="A12" t="str">
        <f>'LED Cost Sheet'!A11</f>
        <v>New Path Hall Option 2 — Path Hall</v>
      </c>
      <c r="B12">
        <f>'LED Cost Sheet'!I11</f>
        <v>1</v>
      </c>
      <c r="C12" t="str">
        <f>'LED Cost Sheet'!D11</f>
        <v>3.9mm</v>
      </c>
      <c r="D12">
        <f>'LED Cost Sheet'!E11</f>
        <v>65</v>
      </c>
      <c r="E12">
        <f>'LED Cost Sheet'!F11</f>
        <v>13</v>
      </c>
      <c r="F12">
        <f>'LED Cost Sheet'!G11</f>
        <v>5080</v>
      </c>
      <c r="G12">
        <f>'LED Cost Sheet'!H11</f>
        <v>1016</v>
      </c>
      <c r="H12" s="51">
        <f>D12*E12*B12</f>
        <v>845</v>
      </c>
      <c r="I12">
        <f>'LED Cost Sheet'!K11</f>
        <v>8000</v>
      </c>
      <c r="J12" t="str">
        <f>'LED Cost Sheet'!L11</f>
        <v>Front</v>
      </c>
      <c r="K12" t="s">
        <v>129</v>
      </c>
      <c r="L12" s="51">
        <f>'LED Cost Sheet'!U11</f>
        <v>4274</v>
      </c>
      <c r="M12" s="51">
        <f>'LED Cost Sheet'!V11</f>
        <v>38767</v>
      </c>
      <c r="N12" s="59">
        <f>IFERROR((F12*G12*B12)/400000,0)</f>
        <v>12.9</v>
      </c>
      <c r="O12" s="51">
        <f>'LED Cost Sheet'!W11</f>
        <v>132273</v>
      </c>
    </row>
    <row r="13" spans="1:15" x14ac:dyDescent="0.25">
      <c r="A13" s="32" t="str">
        <f>'LED Cost Sheet'!A12</f>
        <v>One Train — One Train</v>
      </c>
      <c r="B13" s="32">
        <f>'LED Cost Sheet'!I12</f>
        <v>1</v>
      </c>
      <c r="C13" s="32" t="str">
        <f>'LED Cost Sheet'!D12</f>
        <v>3.9mm</v>
      </c>
      <c r="D13" s="32">
        <f>'LED Cost Sheet'!E12</f>
        <v>0</v>
      </c>
      <c r="E13" s="32">
        <f>'LED Cost Sheet'!F12</f>
        <v>0</v>
      </c>
      <c r="F13" s="32">
        <f>'LED Cost Sheet'!G12</f>
        <v>0</v>
      </c>
      <c r="G13" s="32">
        <f>'LED Cost Sheet'!H12</f>
        <v>0</v>
      </c>
      <c r="H13" s="45">
        <f>D13*E13*B13</f>
        <v>0</v>
      </c>
      <c r="I13" s="32">
        <f>'LED Cost Sheet'!K12</f>
        <v>8000</v>
      </c>
      <c r="J13" s="32" t="str">
        <f>'LED Cost Sheet'!L12</f>
        <v>Front</v>
      </c>
      <c r="K13" s="32" t="s">
        <v>129</v>
      </c>
      <c r="L13" s="45">
        <f>'LED Cost Sheet'!U12</f>
        <v>0</v>
      </c>
      <c r="M13" s="45">
        <f>'LED Cost Sheet'!V12</f>
        <v>0</v>
      </c>
      <c r="N13" s="58">
        <f>IFERROR((F13*G13*B13)/400000,0)</f>
        <v>0</v>
      </c>
      <c r="O13" s="45">
        <f>'LED Cost Sheet'!W12</f>
        <v>0</v>
      </c>
    </row>
    <row r="14" spans="1:15" x14ac:dyDescent="0.25">
      <c r="A14" t="str">
        <f>'LED Cost Sheet'!A13</f>
        <v>T4-B2 — T4-B2</v>
      </c>
      <c r="B14">
        <f>'LED Cost Sheet'!I13</f>
        <v>1</v>
      </c>
      <c r="C14" t="str">
        <f>'LED Cost Sheet'!D13</f>
        <v>3.9mm</v>
      </c>
      <c r="D14">
        <f>'LED Cost Sheet'!E13</f>
        <v>7.87</v>
      </c>
      <c r="E14">
        <f>'LED Cost Sheet'!F13</f>
        <v>8.66</v>
      </c>
      <c r="F14">
        <f>'LED Cost Sheet'!G13</f>
        <v>615</v>
      </c>
      <c r="G14">
        <f>'LED Cost Sheet'!H13</f>
        <v>677</v>
      </c>
      <c r="H14" s="51">
        <f>D14*E14*B14</f>
        <v>68.15</v>
      </c>
      <c r="I14">
        <f>'LED Cost Sheet'!K13</f>
        <v>8000</v>
      </c>
      <c r="J14" t="str">
        <f>'LED Cost Sheet'!L13</f>
        <v>Front</v>
      </c>
      <c r="K14" t="s">
        <v>129</v>
      </c>
      <c r="L14" s="51">
        <f>'LED Cost Sheet'!U13</f>
        <v>345</v>
      </c>
      <c r="M14" s="51">
        <f>'LED Cost Sheet'!V13</f>
        <v>3127</v>
      </c>
      <c r="N14" s="59">
        <f>IFERROR((F14*G14*B14)/400000,0)</f>
        <v>1.04</v>
      </c>
      <c r="O14" s="51">
        <f>'LED Cost Sheet'!W13</f>
        <v>10669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136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6.3</v>
      </c>
      <c r="C17" s="47">
        <v>18.11</v>
      </c>
      <c r="D17" s="62">
        <v>114.09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1312.5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1312.5</v>
      </c>
      <c r="J22" s="34">
        <f>$D$8</f>
        <v>0.15</v>
      </c>
      <c r="K22" s="33">
        <f>I22/(1-J22)</f>
        <v>1544.12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1312.5</v>
      </c>
      <c r="J26" s="65"/>
      <c r="K26" s="66">
        <f>SUM(K20:K25)</f>
        <v>1544.12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5468.75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5468.75</v>
      </c>
      <c r="J31" s="34">
        <f>$D$8</f>
        <v>0.15</v>
      </c>
      <c r="K31" s="33">
        <f>I31/(1-J31)</f>
        <v>6433.82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26351.1</v>
      </c>
      <c r="J35" s="65"/>
      <c r="K35" s="66">
        <f>SUM(K29:K34)</f>
        <v>31001.29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5468.75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5468.75</v>
      </c>
      <c r="J38" s="34">
        <f>$D$9</f>
        <v>0.15</v>
      </c>
      <c r="K38" s="33">
        <f>I38/(1-J38)</f>
        <v>6433.82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5468.75</v>
      </c>
      <c r="J44" s="65"/>
      <c r="K44" s="66">
        <f>SUM(K38:K43)</f>
        <v>6433.82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67353.4</v>
      </c>
      <c r="J54" s="27"/>
      <c r="K54" s="29">
        <f>K26+K35+K44+K52</f>
        <v>77897.05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173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7.48</v>
      </c>
      <c r="C17" s="47">
        <v>29.92</v>
      </c>
      <c r="D17" s="62">
        <v>223.8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2580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2580</v>
      </c>
      <c r="J22" s="34">
        <f>$D$8</f>
        <v>0.15</v>
      </c>
      <c r="K22" s="33">
        <f>I22/(1-J22)</f>
        <v>3035.29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2580</v>
      </c>
      <c r="J26" s="65"/>
      <c r="K26" s="66">
        <f>SUM(K20:K25)</f>
        <v>3035.29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10750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10750</v>
      </c>
      <c r="J31" s="34">
        <f>$D$8</f>
        <v>0.15</v>
      </c>
      <c r="K31" s="33">
        <f>I31/(1-J31)</f>
        <v>12647.06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31632.35</v>
      </c>
      <c r="J35" s="65"/>
      <c r="K35" s="66">
        <f>SUM(K29:K34)</f>
        <v>37214.53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10750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10750</v>
      </c>
      <c r="J38" s="34">
        <f>$D$9</f>
        <v>0.15</v>
      </c>
      <c r="K38" s="33">
        <f>I38/(1-J38)</f>
        <v>12647.06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10750</v>
      </c>
      <c r="J44" s="65"/>
      <c r="K44" s="66">
        <f>SUM(K38:K43)</f>
        <v>12647.06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107132.73</v>
      </c>
      <c r="J54" s="27"/>
      <c r="K54" s="29">
        <f>K26+K35+K44+K52</f>
        <v>123405.56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174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7.48</v>
      </c>
      <c r="C17" s="47">
        <v>29.92</v>
      </c>
      <c r="D17" s="62">
        <v>223.8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2580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2580</v>
      </c>
      <c r="J22" s="34">
        <f>$D$8</f>
        <v>0.15</v>
      </c>
      <c r="K22" s="33">
        <f>I22/(1-J22)</f>
        <v>3035.29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2580</v>
      </c>
      <c r="J26" s="65"/>
      <c r="K26" s="66">
        <f>SUM(K20:K25)</f>
        <v>3035.29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10750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10750</v>
      </c>
      <c r="J31" s="34">
        <f>$D$8</f>
        <v>0.15</v>
      </c>
      <c r="K31" s="33">
        <f>I31/(1-J31)</f>
        <v>12647.06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31632.35</v>
      </c>
      <c r="J35" s="65"/>
      <c r="K35" s="66">
        <f>SUM(K29:K34)</f>
        <v>37214.53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10750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10750</v>
      </c>
      <c r="J38" s="34">
        <f>$D$9</f>
        <v>0.15</v>
      </c>
      <c r="K38" s="33">
        <f>I38/(1-J38)</f>
        <v>12647.06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10750</v>
      </c>
      <c r="J44" s="65"/>
      <c r="K44" s="66">
        <f>SUM(K38:K43)</f>
        <v>12647.06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107132.73</v>
      </c>
      <c r="J54" s="27"/>
      <c r="K54" s="29">
        <f>K26+K35+K44+K52</f>
        <v>123405.56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175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12.6</v>
      </c>
      <c r="C17" s="47">
        <v>29.92</v>
      </c>
      <c r="D17" s="62">
        <v>376.99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4342.5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4342.5</v>
      </c>
      <c r="J22" s="34">
        <f>$D$8</f>
        <v>0.15</v>
      </c>
      <c r="K22" s="33">
        <f>I22/(1-J22)</f>
        <v>5108.82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4342.5</v>
      </c>
      <c r="J26" s="65"/>
      <c r="K26" s="66">
        <f>SUM(K20:K25)</f>
        <v>5108.82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18093.75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18093.75</v>
      </c>
      <c r="J31" s="34">
        <f>$D$8</f>
        <v>0.15</v>
      </c>
      <c r="K31" s="33">
        <f>I31/(1-J31)</f>
        <v>21286.76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38976.1</v>
      </c>
      <c r="J35" s="65"/>
      <c r="K35" s="66">
        <f>SUM(K29:K34)</f>
        <v>45854.24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18093.75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18093.75</v>
      </c>
      <c r="J38" s="34">
        <f>$D$9</f>
        <v>0.15</v>
      </c>
      <c r="K38" s="33">
        <f>I38/(1-J38)</f>
        <v>21286.76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18093.75</v>
      </c>
      <c r="J44" s="65"/>
      <c r="K44" s="66">
        <f>SUM(K38:K43)</f>
        <v>21286.76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174608.87</v>
      </c>
      <c r="J54" s="27"/>
      <c r="K54" s="29">
        <f>K26+K35+K44+K52</f>
        <v>200987.02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176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9.45</v>
      </c>
      <c r="C17" s="47">
        <v>280.31</v>
      </c>
      <c r="D17" s="62">
        <v>2648.93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30536.25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30536.25</v>
      </c>
      <c r="J22" s="34">
        <f>$D$8</f>
        <v>0.15</v>
      </c>
      <c r="K22" s="33">
        <f>I22/(1-J22)</f>
        <v>35925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30536.25</v>
      </c>
      <c r="J26" s="65"/>
      <c r="K26" s="66">
        <f>SUM(K20:K25)</f>
        <v>35925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127234.38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127234.38</v>
      </c>
      <c r="J31" s="34">
        <f>$D$8</f>
        <v>0.15</v>
      </c>
      <c r="K31" s="33">
        <f>I31/(1-J31)</f>
        <v>149687.51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148116.73</v>
      </c>
      <c r="J35" s="65"/>
      <c r="K35" s="66">
        <f>SUM(K29:K34)</f>
        <v>174254.98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127234.38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127234.38</v>
      </c>
      <c r="J38" s="34">
        <f>$D$9</f>
        <v>0.15</v>
      </c>
      <c r="K38" s="33">
        <f>I38/(1-J38)</f>
        <v>149687.51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127234.38</v>
      </c>
      <c r="J44" s="65"/>
      <c r="K44" s="66">
        <f>SUM(K38:K43)</f>
        <v>149687.51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1014225.37</v>
      </c>
      <c r="J54" s="27"/>
      <c r="K54" s="29">
        <f>K26+K35+K44+K52</f>
        <v>1162042.44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177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71.6</v>
      </c>
      <c r="C17" s="47">
        <v>5.5</v>
      </c>
      <c r="D17" s="62">
        <v>393.8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4537.5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4537.5</v>
      </c>
      <c r="J22" s="34">
        <f>$D$8</f>
        <v>0.15</v>
      </c>
      <c r="K22" s="33">
        <f>I22/(1-J22)</f>
        <v>5338.24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4537.5</v>
      </c>
      <c r="J26" s="65"/>
      <c r="K26" s="66">
        <f>SUM(K20:K25)</f>
        <v>5338.24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18906.25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18906.25</v>
      </c>
      <c r="J31" s="34">
        <f>$D$8</f>
        <v>0.15</v>
      </c>
      <c r="K31" s="33">
        <f>I31/(1-J31)</f>
        <v>22242.65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39788.6</v>
      </c>
      <c r="J35" s="65"/>
      <c r="K35" s="66">
        <f>SUM(K29:K34)</f>
        <v>46810.12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18906.25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18906.25</v>
      </c>
      <c r="J38" s="34">
        <f>$D$9</f>
        <v>0.15</v>
      </c>
      <c r="K38" s="33">
        <f>I38/(1-J38)</f>
        <v>22242.65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18906.25</v>
      </c>
      <c r="J44" s="65"/>
      <c r="K44" s="66">
        <f>SUM(K38:K43)</f>
        <v>22242.65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180711.34</v>
      </c>
      <c r="J54" s="27"/>
      <c r="K54" s="29">
        <f>K26+K35+K44+K52</f>
        <v>207968.64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178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48</v>
      </c>
      <c r="C17" s="47">
        <v>14</v>
      </c>
      <c r="D17" s="62">
        <v>672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7740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7740</v>
      </c>
      <c r="J22" s="34">
        <f>$D$8</f>
        <v>0.15</v>
      </c>
      <c r="K22" s="33">
        <f>I22/(1-J22)</f>
        <v>9105.88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7740</v>
      </c>
      <c r="J26" s="65"/>
      <c r="K26" s="66">
        <f>SUM(K20:K25)</f>
        <v>9105.88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32250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32250</v>
      </c>
      <c r="J31" s="34">
        <f>$D$8</f>
        <v>0.15</v>
      </c>
      <c r="K31" s="33">
        <f>I31/(1-J31)</f>
        <v>37941.18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53132.35</v>
      </c>
      <c r="J35" s="65"/>
      <c r="K35" s="66">
        <f>SUM(K29:K34)</f>
        <v>62508.65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32250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32250</v>
      </c>
      <c r="J38" s="34">
        <f>$D$9</f>
        <v>0.15</v>
      </c>
      <c r="K38" s="33">
        <f>I38/(1-J38)</f>
        <v>37941.18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32250</v>
      </c>
      <c r="J44" s="65"/>
      <c r="K44" s="66">
        <f>SUM(K38:K43)</f>
        <v>37941.18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281474.6</v>
      </c>
      <c r="J54" s="27"/>
      <c r="K54" s="29">
        <f>K26+K35+K44+K52</f>
        <v>323240.71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179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65</v>
      </c>
      <c r="C17" s="47">
        <v>13</v>
      </c>
      <c r="D17" s="62">
        <v>845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9735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9735</v>
      </c>
      <c r="J22" s="34">
        <f>$D$8</f>
        <v>0.15</v>
      </c>
      <c r="K22" s="33">
        <f>I22/(1-J22)</f>
        <v>11452.94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9735</v>
      </c>
      <c r="J26" s="65"/>
      <c r="K26" s="66">
        <f>SUM(K20:K25)</f>
        <v>11452.94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40562.5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40562.5</v>
      </c>
      <c r="J31" s="34">
        <f>$D$8</f>
        <v>0.15</v>
      </c>
      <c r="K31" s="33">
        <f>I31/(1-J31)</f>
        <v>47720.59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61444.85</v>
      </c>
      <c r="J35" s="65"/>
      <c r="K35" s="66">
        <f>SUM(K29:K34)</f>
        <v>72288.06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40562.5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40562.5</v>
      </c>
      <c r="J38" s="34">
        <f>$D$9</f>
        <v>0.15</v>
      </c>
      <c r="K38" s="33">
        <f>I38/(1-J38)</f>
        <v>47720.59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40562.5</v>
      </c>
      <c r="J44" s="65"/>
      <c r="K44" s="66">
        <f>SUM(K38:K43)</f>
        <v>47720.59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344167.47</v>
      </c>
      <c r="J54" s="27"/>
      <c r="K54" s="29">
        <f>K26+K35+K44+K52</f>
        <v>394961.73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180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0</v>
      </c>
      <c r="C17" s="47">
        <v>0</v>
      </c>
      <c r="D17" s="62">
        <v>0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0</v>
      </c>
      <c r="J22" s="34">
        <f>$D$8</f>
        <v>0.15</v>
      </c>
      <c r="K22" s="33">
        <f>I22/(1-J22)</f>
        <v>0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0</v>
      </c>
      <c r="J26" s="65"/>
      <c r="K26" s="66">
        <f>SUM(K20:K25)</f>
        <v>0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0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0</v>
      </c>
      <c r="J31" s="34">
        <f>$D$8</f>
        <v>0.15</v>
      </c>
      <c r="K31" s="33">
        <f>I31/(1-J31)</f>
        <v>0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5882.35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5882.35</v>
      </c>
      <c r="J34" s="26">
        <f>$D$8</f>
        <v>0.15</v>
      </c>
      <c r="K34" s="19">
        <f>I34/(1-J34)</f>
        <v>6920.41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5882.35</v>
      </c>
      <c r="J35" s="65"/>
      <c r="K35" s="66">
        <f>SUM(K29:K34)</f>
        <v>6920.41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0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0</v>
      </c>
      <c r="J38" s="34">
        <f>$D$9</f>
        <v>0.15</v>
      </c>
      <c r="K38" s="33">
        <f>I38/(1-J38)</f>
        <v>0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0</v>
      </c>
      <c r="J44" s="65"/>
      <c r="K44" s="66">
        <f>SUM(K38:K43)</f>
        <v>0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10588.23</v>
      </c>
      <c r="J54" s="27"/>
      <c r="K54" s="29">
        <f>K26+K35+K44+K52</f>
        <v>12456.74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130</v>
      </c>
    </row>
    <row r="4" spans="1:1" x14ac:dyDescent="0.25">
      <c r="A4" s="14" t="s">
        <v>10</v>
      </c>
    </row>
    <row r="5" spans="1:1" x14ac:dyDescent="0.25">
      <c r="A5" s="14" t="s">
        <v>131</v>
      </c>
    </row>
    <row r="7" spans="3:3" x14ac:dyDescent="0.25">
      <c r="C7" s="25" t="s">
        <v>132</v>
      </c>
    </row>
    <row r="8" spans="3:4" x14ac:dyDescent="0.25">
      <c r="C8" t="s">
        <v>133</v>
      </c>
      <c r="D8" s="20">
        <v>0.15</v>
      </c>
    </row>
    <row r="9" spans="3:4" x14ac:dyDescent="0.25">
      <c r="C9" t="s">
        <v>134</v>
      </c>
      <c r="D9" s="20">
        <v>0.15</v>
      </c>
    </row>
    <row r="10" spans="3:4" x14ac:dyDescent="0.25">
      <c r="C10" t="s">
        <v>109</v>
      </c>
      <c r="D10" s="20">
        <v>0.15</v>
      </c>
    </row>
    <row r="11" spans="3:4" x14ac:dyDescent="0.25">
      <c r="C11" t="s">
        <v>135</v>
      </c>
      <c r="D11" s="20">
        <v>0.15</v>
      </c>
    </row>
    <row r="15" spans="2:2" x14ac:dyDescent="0.25">
      <c r="B15" s="61" t="s">
        <v>181</v>
      </c>
    </row>
    <row r="16" spans="2:5" x14ac:dyDescent="0.25">
      <c r="B16" s="4" t="s">
        <v>137</v>
      </c>
      <c r="C16" s="4" t="s">
        <v>138</v>
      </c>
      <c r="D16" s="4" t="s">
        <v>139</v>
      </c>
      <c r="E16" s="4" t="s">
        <v>140</v>
      </c>
    </row>
    <row r="17" spans="2:5" x14ac:dyDescent="0.25">
      <c r="B17" s="47">
        <v>7.87</v>
      </c>
      <c r="C17" s="47">
        <v>8.66</v>
      </c>
      <c r="D17" s="62">
        <v>68.15</v>
      </c>
      <c r="E17">
        <v>1</v>
      </c>
    </row>
    <row r="19" ht="24" customHeight="1" spans="1:11" x14ac:dyDescent="0.25">
      <c r="A19" s="24" t="s">
        <v>38</v>
      </c>
      <c r="B19" s="24" t="s">
        <v>141</v>
      </c>
      <c r="C19" s="24" t="s">
        <v>142</v>
      </c>
      <c r="D19" s="24" t="s">
        <v>143</v>
      </c>
      <c r="E19" s="24" t="s">
        <v>144</v>
      </c>
      <c r="F19" s="24" t="s">
        <v>145</v>
      </c>
      <c r="G19" s="24" t="s">
        <v>146</v>
      </c>
      <c r="H19" s="24" t="s">
        <v>38</v>
      </c>
      <c r="I19" s="24" t="s">
        <v>32</v>
      </c>
      <c r="J19" s="24" t="s">
        <v>133</v>
      </c>
      <c r="K19" s="24" t="s">
        <v>41</v>
      </c>
    </row>
    <row r="20" spans="1:11" x14ac:dyDescent="0.25">
      <c r="A20" s="32"/>
      <c r="B20" s="32" t="s">
        <v>147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148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149</v>
      </c>
      <c r="C22" s="63">
        <v>783.75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783.75</v>
      </c>
      <c r="J22" s="34">
        <f>$D$8</f>
        <v>0.15</v>
      </c>
      <c r="K22" s="33">
        <f>I22/(1-J22)</f>
        <v>922.06</v>
      </c>
    </row>
    <row r="23" spans="2:11" x14ac:dyDescent="0.25">
      <c r="B23" t="s">
        <v>150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151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151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84</v>
      </c>
      <c r="C26" s="65"/>
      <c r="D26" s="65"/>
      <c r="E26" s="65"/>
      <c r="F26" s="65"/>
      <c r="G26" s="65"/>
      <c r="H26" s="65"/>
      <c r="I26" s="66">
        <f>SUM(I20:I25)</f>
        <v>783.75</v>
      </c>
      <c r="J26" s="65"/>
      <c r="K26" s="66">
        <f>SUM(K20:K25)</f>
        <v>922.06</v>
      </c>
    </row>
    <row r="28" ht="24" customHeight="1" spans="1:11" x14ac:dyDescent="0.25">
      <c r="A28" s="24" t="s">
        <v>38</v>
      </c>
      <c r="B28" s="24" t="s">
        <v>152</v>
      </c>
      <c r="C28" s="24" t="s">
        <v>142</v>
      </c>
      <c r="D28" s="24" t="s">
        <v>143</v>
      </c>
      <c r="E28" s="24" t="s">
        <v>144</v>
      </c>
      <c r="F28" s="24" t="s">
        <v>145</v>
      </c>
      <c r="G28" s="24" t="s">
        <v>146</v>
      </c>
      <c r="H28" s="24" t="s">
        <v>38</v>
      </c>
      <c r="I28" s="24" t="s">
        <v>32</v>
      </c>
      <c r="J28" s="24" t="s">
        <v>133</v>
      </c>
      <c r="K28" s="24" t="s">
        <v>41</v>
      </c>
    </row>
    <row r="29" spans="1:11" x14ac:dyDescent="0.25">
      <c r="A29" s="32"/>
      <c r="B29" s="32" t="s">
        <v>153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154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155</v>
      </c>
      <c r="C31" s="63">
        <v>3265.63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3265.63</v>
      </c>
      <c r="J31" s="34">
        <f>$D$8</f>
        <v>0.15</v>
      </c>
      <c r="K31" s="33">
        <f>I31/(1-J31)</f>
        <v>3841.92</v>
      </c>
    </row>
    <row r="32" spans="2:11" x14ac:dyDescent="0.25">
      <c r="B32" t="s">
        <v>156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157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158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84</v>
      </c>
      <c r="C35" s="65"/>
      <c r="D35" s="65"/>
      <c r="E35" s="65"/>
      <c r="F35" s="65"/>
      <c r="G35" s="65"/>
      <c r="H35" s="65"/>
      <c r="I35" s="66">
        <f>SUM(I29:I34)</f>
        <v>24147.98</v>
      </c>
      <c r="J35" s="65"/>
      <c r="K35" s="66">
        <f>SUM(K29:K34)</f>
        <v>28409.39</v>
      </c>
    </row>
    <row r="37" ht="24" customHeight="1" spans="1:11" x14ac:dyDescent="0.25">
      <c r="A37" s="24" t="s">
        <v>38</v>
      </c>
      <c r="B37" s="24" t="s">
        <v>159</v>
      </c>
      <c r="C37" s="24" t="s">
        <v>142</v>
      </c>
      <c r="D37" s="24" t="s">
        <v>143</v>
      </c>
      <c r="E37" s="24" t="s">
        <v>144</v>
      </c>
      <c r="F37" s="24" t="s">
        <v>145</v>
      </c>
      <c r="G37" s="24" t="s">
        <v>146</v>
      </c>
      <c r="H37" s="24" t="s">
        <v>38</v>
      </c>
      <c r="I37" s="24" t="s">
        <v>32</v>
      </c>
      <c r="J37" s="24" t="s">
        <v>133</v>
      </c>
      <c r="K37" s="24" t="s">
        <v>41</v>
      </c>
    </row>
    <row r="38" spans="1:11" x14ac:dyDescent="0.25">
      <c r="A38" s="32"/>
      <c r="B38" s="32" t="s">
        <v>160</v>
      </c>
      <c r="C38" s="63">
        <v>3265.63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3265.63</v>
      </c>
      <c r="J38" s="34">
        <f>$D$9</f>
        <v>0.15</v>
      </c>
      <c r="K38" s="33">
        <f>I38/(1-J38)</f>
        <v>3841.92</v>
      </c>
    </row>
    <row r="39" spans="2:11" x14ac:dyDescent="0.25">
      <c r="B39" t="s">
        <v>161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162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163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164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165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84</v>
      </c>
      <c r="C44" s="65"/>
      <c r="D44" s="65"/>
      <c r="E44" s="65"/>
      <c r="F44" s="65"/>
      <c r="G44" s="65"/>
      <c r="H44" s="65"/>
      <c r="I44" s="66">
        <f>SUM(I38:I43)</f>
        <v>3265.63</v>
      </c>
      <c r="J44" s="65"/>
      <c r="K44" s="66">
        <f>SUM(K38:K43)</f>
        <v>3841.92</v>
      </c>
    </row>
    <row r="46" ht="24" customHeight="1" spans="1:11" x14ac:dyDescent="0.25">
      <c r="A46" s="24" t="s">
        <v>38</v>
      </c>
      <c r="B46" s="24" t="s">
        <v>166</v>
      </c>
      <c r="C46" s="24" t="s">
        <v>142</v>
      </c>
      <c r="D46" s="24" t="s">
        <v>143</v>
      </c>
      <c r="E46" s="24" t="s">
        <v>144</v>
      </c>
      <c r="F46" s="24" t="s">
        <v>145</v>
      </c>
      <c r="G46" s="24" t="s">
        <v>146</v>
      </c>
      <c r="H46" s="24" t="s">
        <v>38</v>
      </c>
      <c r="I46" s="24" t="s">
        <v>32</v>
      </c>
      <c r="J46" s="24" t="s">
        <v>133</v>
      </c>
      <c r="K46" s="24" t="s">
        <v>41</v>
      </c>
    </row>
    <row r="47" spans="1:11" x14ac:dyDescent="0.25">
      <c r="A47" s="32"/>
      <c r="B47" s="32" t="s">
        <v>167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168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169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170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171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84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172</v>
      </c>
      <c r="C54" s="27"/>
      <c r="D54" s="27"/>
      <c r="E54" s="27"/>
      <c r="F54" s="27"/>
      <c r="G54" s="27"/>
      <c r="H54" s="27"/>
      <c r="I54" s="29">
        <f>I26+I35+I44+I52</f>
        <v>50714.9</v>
      </c>
      <c r="J54" s="27"/>
      <c r="K54" s="29">
        <f>K26+K35+K44+K52</f>
        <v>58862.82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2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182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38</v>
      </c>
      <c r="B4" s="24" t="s">
        <v>90</v>
      </c>
      <c r="C4" s="24" t="s">
        <v>183</v>
      </c>
      <c r="D4" s="24" t="s">
        <v>184</v>
      </c>
      <c r="E4" s="24" t="s">
        <v>185</v>
      </c>
      <c r="F4" s="24" t="s">
        <v>186</v>
      </c>
      <c r="G4" s="24" t="s">
        <v>187</v>
      </c>
      <c r="H4" s="24" t="s">
        <v>188</v>
      </c>
      <c r="I4" s="24" t="s">
        <v>189</v>
      </c>
    </row>
    <row r="5" spans="1:9" x14ac:dyDescent="0.25">
      <c r="A5" s="32"/>
      <c r="B5" s="40" t="s">
        <v>190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191</v>
      </c>
      <c r="C6" s="51">
        <v>3840</v>
      </c>
      <c r="D6" s="51">
        <v>2160</v>
      </c>
      <c r="E6">
        <v>16</v>
      </c>
      <c r="G6" s="51">
        <v>650000</v>
      </c>
      <c r="H6" s="51">
        <v>455000</v>
      </c>
      <c r="I6" s="51">
        <v>320000</v>
      </c>
    </row>
    <row r="7" spans="1:9" x14ac:dyDescent="0.25">
      <c r="A7" s="32"/>
      <c r="B7" s="40" t="s">
        <v>192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61" t="s">
        <v>193</v>
      </c>
    </row>
    <row r="11" ht="28" customHeight="1" spans="1:9" x14ac:dyDescent="0.25">
      <c r="A11" s="3" t="s">
        <v>38</v>
      </c>
      <c r="B11" s="3" t="s">
        <v>90</v>
      </c>
      <c r="C11" s="3" t="s">
        <v>183</v>
      </c>
      <c r="D11" s="3" t="s">
        <v>184</v>
      </c>
      <c r="E11" s="3" t="s">
        <v>101</v>
      </c>
      <c r="F11" s="3" t="s">
        <v>194</v>
      </c>
      <c r="G11" s="3" t="s">
        <v>195</v>
      </c>
      <c r="H11" s="3" t="s">
        <v>196</v>
      </c>
      <c r="I11" s="3" t="s">
        <v>197</v>
      </c>
    </row>
    <row r="12" spans="1:9" x14ac:dyDescent="0.25">
      <c r="A12" s="32"/>
      <c r="B12" s="32" t="str">
        <f>'LED Cost Sheet'!A4</f>
        <v>9A Underpass 1</v>
      </c>
      <c r="C12" s="45">
        <f>'LED Cost Sheet'!H4</f>
        <v>0</v>
      </c>
      <c r="D12" s="45">
        <f>'LED Cost Sheet'!G4</f>
        <v>0</v>
      </c>
      <c r="E12" s="32">
        <f>'LED Cost Sheet'!I4</f>
        <v>1</v>
      </c>
      <c r="F12" s="45">
        <f>C12*D12*E12</f>
        <v>696180</v>
      </c>
      <c r="G12" s="32">
        <f>IFERROR(CEILING(F12/650000,1),0)</f>
        <v>2</v>
      </c>
      <c r="H12" s="32" t="str">
        <f>IF(G12&gt;8,"MCTRL4K","660 Pro")</f>
        <v>660 Pro</v>
      </c>
      <c r="I12" s="32">
        <f>IFERROR(CEILING(G12/IF(G12&gt;8,16,8),1),0)</f>
        <v>1</v>
      </c>
    </row>
    <row r="13" spans="2:9" x14ac:dyDescent="0.25">
      <c r="B13" t="str">
        <f>'LED Cost Sheet'!A5</f>
        <v>9A Underpass 2</v>
      </c>
      <c r="C13" s="51">
        <f>'LED Cost Sheet'!H5</f>
        <v>0</v>
      </c>
      <c r="D13" s="51">
        <f>'LED Cost Sheet'!G5</f>
        <v>0</v>
      </c>
      <c r="E13">
        <f>'LED Cost Sheet'!I5</f>
        <v>1</v>
      </c>
      <c r="F13" s="51">
        <f>C13*D13*E13</f>
        <v>1367730</v>
      </c>
      <c r="G13">
        <f>IFERROR(CEILING(F13/650000,1),0)</f>
        <v>3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2"/>
      <c r="B14" s="32" t="str">
        <f>'LED Cost Sheet'!A6</f>
        <v>9A Underpass 3</v>
      </c>
      <c r="C14" s="45">
        <f>'LED Cost Sheet'!H6</f>
        <v>0</v>
      </c>
      <c r="D14" s="45">
        <f>'LED Cost Sheet'!G6</f>
        <v>0</v>
      </c>
      <c r="E14" s="32">
        <f>'LED Cost Sheet'!I6</f>
        <v>1</v>
      </c>
      <c r="F14" s="45">
        <f>C14*D14*E14</f>
        <v>1367730</v>
      </c>
      <c r="G14" s="32">
        <f>IFERROR(CEILING(F14/650000,1),0)</f>
        <v>3</v>
      </c>
      <c r="H14" s="32" t="str">
        <f>IF(G14&gt;8,"MCTRL4K","660 Pro")</f>
        <v>660 Pro</v>
      </c>
      <c r="I14" s="32">
        <f>IFERROR(CEILING(G14/IF(G14&gt;8,16,8),1),0)</f>
        <v>1</v>
      </c>
    </row>
    <row r="15" spans="2:9" x14ac:dyDescent="0.25">
      <c r="B15" t="str">
        <f>'LED Cost Sheet'!A7</f>
        <v>9A Underpass 4</v>
      </c>
      <c r="C15" s="51">
        <f>'LED Cost Sheet'!H7</f>
        <v>0</v>
      </c>
      <c r="D15" s="51">
        <f>'LED Cost Sheet'!G7</f>
        <v>0</v>
      </c>
      <c r="E15">
        <f>'LED Cost Sheet'!I7</f>
        <v>1</v>
      </c>
      <c r="F15" s="51">
        <f>C15*D15*E15</f>
        <v>2302930</v>
      </c>
      <c r="G15">
        <f>IFERROR(CEILING(F15/650000,1),0)</f>
        <v>4</v>
      </c>
      <c r="H15" t="str">
        <f>IF(G15&gt;8,"MCTRL4K","660 Pro")</f>
        <v>660 Pro</v>
      </c>
      <c r="I15">
        <f>IFERROR(CEILING(G15/IF(G15&gt;8,16,8),1),0)</f>
        <v>1</v>
      </c>
    </row>
    <row r="16" spans="1:9" x14ac:dyDescent="0.25">
      <c r="A16" s="32"/>
      <c r="B16" s="32" t="str">
        <f>'LED Cost Sheet'!A8</f>
        <v>Concourse</v>
      </c>
      <c r="C16" s="45">
        <f>'LED Cost Sheet'!H8</f>
        <v>0</v>
      </c>
      <c r="D16" s="45">
        <f>'LED Cost Sheet'!G8</f>
        <v>0</v>
      </c>
      <c r="E16" s="32">
        <f>'LED Cost Sheet'!I8</f>
        <v>1</v>
      </c>
      <c r="F16" s="45">
        <f>C16*D16*E16</f>
        <v>16189273</v>
      </c>
      <c r="G16" s="32">
        <f>IFERROR(CEILING(F16/650000,1),0)</f>
        <v>25</v>
      </c>
      <c r="H16" s="32" t="str">
        <f>IF(G16&gt;8,"MCTRL4K","660 Pro")</f>
        <v>MCTRL4K</v>
      </c>
      <c r="I16" s="32">
        <f>IFERROR(CEILING(G16/IF(G16&gt;8,16,8),1),0)</f>
        <v>2</v>
      </c>
    </row>
    <row r="17" spans="2:9" x14ac:dyDescent="0.25">
      <c r="B17" t="str">
        <f>'LED Cost Sheet'!A9</f>
        <v>T4 Elevator</v>
      </c>
      <c r="C17" s="51">
        <f>'LED Cost Sheet'!H9</f>
        <v>0</v>
      </c>
      <c r="D17" s="51">
        <f>'LED Cost Sheet'!G9</f>
        <v>0</v>
      </c>
      <c r="E17">
        <f>'LED Cost Sheet'!I9</f>
        <v>1</v>
      </c>
      <c r="F17" s="51">
        <f>C17*D17*E17</f>
        <v>2406280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2"/>
      <c r="B18" s="32" t="str">
        <f>'LED Cost Sheet'!A10</f>
        <v>New Path Hall Option 1</v>
      </c>
      <c r="C18" s="45">
        <f>'LED Cost Sheet'!H10</f>
        <v>0</v>
      </c>
      <c r="D18" s="45">
        <f>'LED Cost Sheet'!G10</f>
        <v>0</v>
      </c>
      <c r="E18" s="32">
        <f>'LED Cost Sheet'!I10</f>
        <v>1</v>
      </c>
      <c r="F18" s="45">
        <f>C18*D18*E18</f>
        <v>4103594</v>
      </c>
      <c r="G18" s="32">
        <f>IFERROR(CEILING(F18/650000,1),0)</f>
        <v>7</v>
      </c>
      <c r="H18" s="32" t="str">
        <f>IF(G18&gt;8,"MCTRL4K","660 Pro")</f>
        <v>660 Pro</v>
      </c>
      <c r="I18" s="32">
        <f>IFERROR(CEILING(G18/IF(G18&gt;8,16,8),1),0)</f>
        <v>1</v>
      </c>
    </row>
    <row r="19" spans="2:9" x14ac:dyDescent="0.25">
      <c r="B19" t="str">
        <f>'LED Cost Sheet'!A11</f>
        <v>New Path Hall Option 2</v>
      </c>
      <c r="C19" s="51">
        <f>'LED Cost Sheet'!H11</f>
        <v>0</v>
      </c>
      <c r="D19" s="51">
        <f>'LED Cost Sheet'!G11</f>
        <v>0</v>
      </c>
      <c r="E19">
        <f>'LED Cost Sheet'!I11</f>
        <v>1</v>
      </c>
      <c r="F19" s="51">
        <f>C19*D19*E19</f>
        <v>5161280</v>
      </c>
      <c r="G19">
        <f>IFERROR(CEILING(F19/650000,1),0)</f>
        <v>8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2"/>
      <c r="B20" s="32" t="str">
        <f>'LED Cost Sheet'!A12</f>
        <v>One Train</v>
      </c>
      <c r="C20" s="45">
        <f>'LED Cost Sheet'!H12</f>
        <v>0</v>
      </c>
      <c r="D20" s="45">
        <f>'LED Cost Sheet'!G12</f>
        <v>0</v>
      </c>
      <c r="E20" s="32">
        <f>'LED Cost Sheet'!I12</f>
        <v>1</v>
      </c>
      <c r="F20" s="45">
        <f>C20*D20*E20</f>
        <v>0</v>
      </c>
      <c r="G20" s="32">
        <f>IFERROR(CEILING(F20/650000,1),0)</f>
        <v>0</v>
      </c>
      <c r="H20" s="32" t="str">
        <f>IF(G20&gt;8,"MCTRL4K","660 Pro")</f>
        <v>660 Pro</v>
      </c>
      <c r="I20" s="32">
        <f>IFERROR(CEILING(G20/IF(G20&gt;8,16,8),1),0)</f>
        <v>0</v>
      </c>
    </row>
    <row r="21" spans="2:9" x14ac:dyDescent="0.25">
      <c r="B21" t="str">
        <f>'LED Cost Sheet'!A13</f>
        <v>T4-B2</v>
      </c>
      <c r="C21" s="51">
        <f>'LED Cost Sheet'!H13</f>
        <v>0</v>
      </c>
      <c r="D21" s="51">
        <f>'LED Cost Sheet'!G13</f>
        <v>0</v>
      </c>
      <c r="E21">
        <f>'LED Cost Sheet'!I13</f>
        <v>1</v>
      </c>
      <c r="F21" s="51">
        <f>C21*D21*E21</f>
        <v>416355</v>
      </c>
      <c r="G21">
        <f>IFERROR(CEILING(F21/650000,1),0)</f>
        <v>1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53"/>
      <c r="B22" s="53" t="s">
        <v>198</v>
      </c>
      <c r="C22" s="53"/>
      <c r="D22" s="53"/>
      <c r="E22" s="53"/>
      <c r="F22" s="54">
        <f>SUM(F12:F21)</f>
        <v>34011352</v>
      </c>
      <c r="G22" s="53">
        <f>SUM(G12:G21)</f>
        <v>57</v>
      </c>
      <c r="H22" s="53"/>
      <c r="I22" s="53">
        <f>SUM(I12:I21)</f>
        <v>10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61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199</v>
      </c>
      <c r="B1" s="1"/>
      <c r="C1" s="1"/>
      <c r="D1" s="1"/>
    </row>
    <row r="2" spans="1:4" x14ac:dyDescent="0.25">
      <c r="A2" s="2" t="s">
        <v>200</v>
      </c>
      <c r="B2" s="2"/>
      <c r="C2" s="2"/>
      <c r="D2" s="2"/>
    </row>
    <row r="6" ht="28" customHeight="1" spans="1:8" x14ac:dyDescent="0.25">
      <c r="A6" s="24" t="s">
        <v>76</v>
      </c>
      <c r="B6" s="24" t="s">
        <v>201</v>
      </c>
      <c r="C6" s="24" t="s">
        <v>40</v>
      </c>
      <c r="D6" s="24" t="s">
        <v>101</v>
      </c>
      <c r="E6" s="24" t="s">
        <v>32</v>
      </c>
      <c r="F6" s="24" t="s">
        <v>202</v>
      </c>
      <c r="G6" s="24" t="s">
        <v>41</v>
      </c>
      <c r="H6" s="24" t="s">
        <v>42</v>
      </c>
    </row>
    <row r="7" spans="1:1" s="32" customFormat="1" x14ac:dyDescent="0.25">
      <c r="A7" s="40" t="s">
        <v>44</v>
      </c>
    </row>
    <row r="8" spans="1:8" x14ac:dyDescent="0.25">
      <c r="A8" s="32" t="s">
        <v>203</v>
      </c>
      <c r="B8" s="32" t="s">
        <v>204</v>
      </c>
      <c r="C8" s="63">
        <v>450</v>
      </c>
      <c r="D8" s="42">
        <v>1</v>
      </c>
      <c r="E8" s="33">
        <f>C8*D8</f>
        <v>450</v>
      </c>
      <c r="F8" s="67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203</v>
      </c>
      <c r="B9" t="s">
        <v>205</v>
      </c>
      <c r="C9" s="64">
        <v>68.45</v>
      </c>
      <c r="D9" s="48">
        <v>1</v>
      </c>
      <c r="E9" s="19">
        <f>C9*D9</f>
        <v>68.45</v>
      </c>
      <c r="F9" s="20">
        <v>0.15</v>
      </c>
      <c r="G9" s="19">
        <f>IFERROR(E9/(1-F9),0)</f>
        <v>80.53</v>
      </c>
      <c r="H9" s="19">
        <f>IFERROR(G9-E9,0)</f>
        <v>12.08</v>
      </c>
    </row>
    <row r="10" spans="2:8" x14ac:dyDescent="0.25">
      <c r="B10" s="25" t="s">
        <v>206</v>
      </c>
      <c r="E10" s="52">
        <f>SUM(E8:E9)</f>
        <v>518.45</v>
      </c>
      <c r="G10" s="19">
        <f>SUM(G8:G9)</f>
        <v>609.9399999999999</v>
      </c>
      <c r="H10" s="19">
        <f>IFERROR(G10-E10,0)</f>
        <v>91.48999999999997</v>
      </c>
    </row>
    <row r="12" spans="1:1" s="32" customFormat="1" x14ac:dyDescent="0.25">
      <c r="A12" s="40" t="s">
        <v>56</v>
      </c>
    </row>
    <row r="13" spans="1:8" x14ac:dyDescent="0.25">
      <c r="A13" t="s">
        <v>203</v>
      </c>
      <c r="B13" t="s">
        <v>204</v>
      </c>
      <c r="C13" s="64">
        <v>450</v>
      </c>
      <c r="D13" s="48">
        <v>1</v>
      </c>
      <c r="E13" s="19">
        <f>C13*D13</f>
        <v>450</v>
      </c>
      <c r="F13" s="20">
        <v>0.15</v>
      </c>
      <c r="G13" s="19">
        <f>IFERROR(E13/(1-F13),0)</f>
        <v>529.41</v>
      </c>
      <c r="H13" s="19">
        <f>IFERROR(G13-E13,0)</f>
        <v>79.41</v>
      </c>
    </row>
    <row r="14" spans="1:8" x14ac:dyDescent="0.25">
      <c r="A14" s="32" t="s">
        <v>203</v>
      </c>
      <c r="B14" s="32" t="s">
        <v>205</v>
      </c>
      <c r="C14" s="63">
        <v>134.28</v>
      </c>
      <c r="D14" s="42">
        <v>1</v>
      </c>
      <c r="E14" s="33">
        <f>C14*D14</f>
        <v>134.28</v>
      </c>
      <c r="F14" s="67">
        <v>0.15</v>
      </c>
      <c r="G14" s="33">
        <f>IFERROR(E14/(1-F14),0)</f>
        <v>157.98</v>
      </c>
      <c r="H14" s="33">
        <f>IFERROR(G14-E14,0)</f>
        <v>23.7</v>
      </c>
    </row>
    <row r="15" spans="2:8" x14ac:dyDescent="0.25">
      <c r="B15" s="25" t="s">
        <v>206</v>
      </c>
      <c r="E15" s="52">
        <f>SUM(E13:E14)</f>
        <v>584.28</v>
      </c>
      <c r="G15" s="19">
        <f>SUM(G13:G14)</f>
        <v>687.39</v>
      </c>
      <c r="H15" s="19">
        <f>IFERROR(G15-E15,0)</f>
        <v>103.10999999999996</v>
      </c>
    </row>
    <row r="17" spans="1:1" s="32" customFormat="1" x14ac:dyDescent="0.25">
      <c r="A17" s="40" t="s">
        <v>57</v>
      </c>
    </row>
    <row r="18" spans="1:8" x14ac:dyDescent="0.25">
      <c r="A18" s="32" t="s">
        <v>203</v>
      </c>
      <c r="B18" s="32" t="s">
        <v>204</v>
      </c>
      <c r="C18" s="63">
        <v>450</v>
      </c>
      <c r="D18" s="42">
        <v>1</v>
      </c>
      <c r="E18" s="33">
        <f>C18*D18</f>
        <v>450</v>
      </c>
      <c r="F18" s="67">
        <v>0.15</v>
      </c>
      <c r="G18" s="33">
        <f>IFERROR(E18/(1-F18),0)</f>
        <v>529.41</v>
      </c>
      <c r="H18" s="33">
        <f>IFERROR(G18-E18,0)</f>
        <v>79.41</v>
      </c>
    </row>
    <row r="19" spans="1:8" x14ac:dyDescent="0.25">
      <c r="A19" t="s">
        <v>203</v>
      </c>
      <c r="B19" t="s">
        <v>205</v>
      </c>
      <c r="C19" s="64">
        <v>134.28</v>
      </c>
      <c r="D19" s="48">
        <v>1</v>
      </c>
      <c r="E19" s="19">
        <f>C19*D19</f>
        <v>134.28</v>
      </c>
      <c r="F19" s="20">
        <v>0.15</v>
      </c>
      <c r="G19" s="19">
        <f>IFERROR(E19/(1-F19),0)</f>
        <v>157.98</v>
      </c>
      <c r="H19" s="19">
        <f>IFERROR(G19-E19,0)</f>
        <v>23.7</v>
      </c>
    </row>
    <row r="20" spans="2:8" x14ac:dyDescent="0.25">
      <c r="B20" s="25" t="s">
        <v>206</v>
      </c>
      <c r="E20" s="52">
        <f>SUM(E18:E19)</f>
        <v>584.28</v>
      </c>
      <c r="G20" s="19">
        <f>SUM(G18:G19)</f>
        <v>687.39</v>
      </c>
      <c r="H20" s="19">
        <f>IFERROR(G20-E20,0)</f>
        <v>103.10999999999996</v>
      </c>
    </row>
    <row r="22" spans="1:1" s="32" customFormat="1" x14ac:dyDescent="0.25">
      <c r="A22" s="40" t="s">
        <v>58</v>
      </c>
    </row>
    <row r="23" spans="1:8" x14ac:dyDescent="0.25">
      <c r="A23" t="s">
        <v>203</v>
      </c>
      <c r="B23" t="s">
        <v>204</v>
      </c>
      <c r="C23" s="64">
        <v>450</v>
      </c>
      <c r="D23" s="48">
        <v>1</v>
      </c>
      <c r="E23" s="19">
        <f>C23*D23</f>
        <v>450</v>
      </c>
      <c r="F23" s="20">
        <v>0.15</v>
      </c>
      <c r="G23" s="19">
        <f>IFERROR(E23/(1-F23),0)</f>
        <v>529.41</v>
      </c>
      <c r="H23" s="19">
        <f>IFERROR(G23-E23,0)</f>
        <v>79.41</v>
      </c>
    </row>
    <row r="24" spans="1:8" x14ac:dyDescent="0.25">
      <c r="A24" s="32" t="s">
        <v>203</v>
      </c>
      <c r="B24" s="32" t="s">
        <v>205</v>
      </c>
      <c r="C24" s="63">
        <v>226.19</v>
      </c>
      <c r="D24" s="42">
        <v>1</v>
      </c>
      <c r="E24" s="33">
        <f>C24*D24</f>
        <v>226.19</v>
      </c>
      <c r="F24" s="67">
        <v>0.15</v>
      </c>
      <c r="G24" s="33">
        <f>IFERROR(E24/(1-F24),0)</f>
        <v>266.11</v>
      </c>
      <c r="H24" s="33">
        <f>IFERROR(G24-E24,0)</f>
        <v>39.92</v>
      </c>
    </row>
    <row r="25" spans="1:8" x14ac:dyDescent="0.25">
      <c r="A25" t="s">
        <v>203</v>
      </c>
      <c r="B25" t="s">
        <v>207</v>
      </c>
      <c r="C25" s="64">
        <v>12000</v>
      </c>
      <c r="D25" s="48">
        <v>1</v>
      </c>
      <c r="E25" s="19">
        <f>C25*D25</f>
        <v>12000</v>
      </c>
      <c r="F25" s="20">
        <v>0.15</v>
      </c>
      <c r="G25" s="19">
        <f>IFERROR(E25/(1-F25),0)</f>
        <v>14117.65</v>
      </c>
      <c r="H25" s="19">
        <f>IFERROR(G25-E25,0)</f>
        <v>2117.65</v>
      </c>
    </row>
    <row r="26" spans="2:8" x14ac:dyDescent="0.25">
      <c r="B26" s="25" t="s">
        <v>206</v>
      </c>
      <c r="E26" s="52">
        <f>SUM(E23:E25)</f>
        <v>12676.19</v>
      </c>
      <c r="G26" s="19">
        <f>SUM(G23:G25)</f>
        <v>14913.17</v>
      </c>
      <c r="H26" s="19">
        <f>IFERROR(G26-E26,0)</f>
        <v>2236.9799999999996</v>
      </c>
    </row>
    <row r="28" spans="1:1" s="32" customFormat="1" x14ac:dyDescent="0.25">
      <c r="A28" s="40" t="s">
        <v>59</v>
      </c>
    </row>
    <row r="29" spans="1:8" x14ac:dyDescent="0.25">
      <c r="A29" t="s">
        <v>203</v>
      </c>
      <c r="B29" t="s">
        <v>204</v>
      </c>
      <c r="C29" s="64">
        <v>16800</v>
      </c>
      <c r="D29" s="48">
        <v>1</v>
      </c>
      <c r="E29" s="19">
        <f>C29*D29</f>
        <v>16800</v>
      </c>
      <c r="F29" s="20">
        <v>0.15</v>
      </c>
      <c r="G29" s="19">
        <f>IFERROR(E29/(1-F29),0)</f>
        <v>19764.71</v>
      </c>
      <c r="H29" s="19">
        <f>IFERROR(G29-E29,0)</f>
        <v>2964.71</v>
      </c>
    </row>
    <row r="30" spans="1:8" x14ac:dyDescent="0.25">
      <c r="A30" s="32" t="s">
        <v>203</v>
      </c>
      <c r="B30" s="32" t="s">
        <v>205</v>
      </c>
      <c r="C30" s="63">
        <v>1589.36</v>
      </c>
      <c r="D30" s="42">
        <v>1</v>
      </c>
      <c r="E30" s="33">
        <f>C30*D30</f>
        <v>1589.36</v>
      </c>
      <c r="F30" s="67">
        <v>0.15</v>
      </c>
      <c r="G30" s="33">
        <f>IFERROR(E30/(1-F30),0)</f>
        <v>1869.84</v>
      </c>
      <c r="H30" s="33">
        <f>IFERROR(G30-E30,0)</f>
        <v>280.48</v>
      </c>
    </row>
    <row r="31" spans="1:8" x14ac:dyDescent="0.25">
      <c r="A31" t="s">
        <v>203</v>
      </c>
      <c r="B31" t="s">
        <v>207</v>
      </c>
      <c r="C31" s="64">
        <v>12000</v>
      </c>
      <c r="D31" s="48">
        <v>1</v>
      </c>
      <c r="E31" s="19">
        <f>C31*D31</f>
        <v>12000</v>
      </c>
      <c r="F31" s="20">
        <v>0.15</v>
      </c>
      <c r="G31" s="19">
        <f>IFERROR(E31/(1-F31),0)</f>
        <v>14117.65</v>
      </c>
      <c r="H31" s="19">
        <f>IFERROR(G31-E31,0)</f>
        <v>2117.65</v>
      </c>
    </row>
    <row r="32" spans="2:8" x14ac:dyDescent="0.25">
      <c r="B32" s="25" t="s">
        <v>206</v>
      </c>
      <c r="E32" s="52">
        <f>SUM(E29:E31)</f>
        <v>30389.36</v>
      </c>
      <c r="G32" s="19">
        <f>SUM(G29:G31)</f>
        <v>35752.2</v>
      </c>
      <c r="H32" s="19">
        <f>IFERROR(G32-E32,0)</f>
        <v>5362.84</v>
      </c>
    </row>
    <row r="34" spans="1:1" s="32" customFormat="1" x14ac:dyDescent="0.25">
      <c r="A34" s="40" t="s">
        <v>60</v>
      </c>
    </row>
    <row r="35" spans="1:8" x14ac:dyDescent="0.25">
      <c r="A35" t="s">
        <v>203</v>
      </c>
      <c r="B35" t="s">
        <v>204</v>
      </c>
      <c r="C35" s="64">
        <v>450</v>
      </c>
      <c r="D35" s="48">
        <v>1</v>
      </c>
      <c r="E35" s="19">
        <f>C35*D35</f>
        <v>450</v>
      </c>
      <c r="F35" s="20">
        <v>0.15</v>
      </c>
      <c r="G35" s="19">
        <f>IFERROR(E35/(1-F35),0)</f>
        <v>529.41</v>
      </c>
      <c r="H35" s="19">
        <f>IFERROR(G35-E35,0)</f>
        <v>79.41</v>
      </c>
    </row>
    <row r="36" spans="1:8" x14ac:dyDescent="0.25">
      <c r="A36" s="32" t="s">
        <v>203</v>
      </c>
      <c r="B36" s="32" t="s">
        <v>205</v>
      </c>
      <c r="C36" s="63">
        <v>236.28</v>
      </c>
      <c r="D36" s="42">
        <v>1</v>
      </c>
      <c r="E36" s="33">
        <f>C36*D36</f>
        <v>236.28</v>
      </c>
      <c r="F36" s="67">
        <v>0.15</v>
      </c>
      <c r="G36" s="33">
        <f>IFERROR(E36/(1-F36),0)</f>
        <v>277.98</v>
      </c>
      <c r="H36" s="33">
        <f>IFERROR(G36-E36,0)</f>
        <v>41.7</v>
      </c>
    </row>
    <row r="37" spans="1:8" x14ac:dyDescent="0.25">
      <c r="A37" t="s">
        <v>203</v>
      </c>
      <c r="B37" t="s">
        <v>207</v>
      </c>
      <c r="C37" s="64">
        <v>12000</v>
      </c>
      <c r="D37" s="48">
        <v>1</v>
      </c>
      <c r="E37" s="19">
        <f>C37*D37</f>
        <v>12000</v>
      </c>
      <c r="F37" s="20">
        <v>0.15</v>
      </c>
      <c r="G37" s="19">
        <f>IFERROR(E37/(1-F37),0)</f>
        <v>14117.65</v>
      </c>
      <c r="H37" s="19">
        <f>IFERROR(G37-E37,0)</f>
        <v>2117.65</v>
      </c>
    </row>
    <row r="38" spans="2:8" x14ac:dyDescent="0.25">
      <c r="B38" s="25" t="s">
        <v>206</v>
      </c>
      <c r="E38" s="52">
        <f>SUM(E35:E37)</f>
        <v>12686.28</v>
      </c>
      <c r="G38" s="19">
        <f>SUM(G35:G37)</f>
        <v>14925.039999999999</v>
      </c>
      <c r="H38" s="19">
        <f>IFERROR(G38-E38,0)</f>
        <v>2238.76</v>
      </c>
    </row>
    <row r="40" spans="1:1" s="32" customFormat="1" x14ac:dyDescent="0.25">
      <c r="A40" s="40" t="s">
        <v>61</v>
      </c>
    </row>
    <row r="41" spans="1:8" x14ac:dyDescent="0.25">
      <c r="A41" t="s">
        <v>203</v>
      </c>
      <c r="B41" t="s">
        <v>204</v>
      </c>
      <c r="C41" s="64">
        <v>450</v>
      </c>
      <c r="D41" s="48">
        <v>1</v>
      </c>
      <c r="E41" s="19">
        <f>C41*D41</f>
        <v>450</v>
      </c>
      <c r="F41" s="20">
        <v>0.15</v>
      </c>
      <c r="G41" s="19">
        <f>IFERROR(E41/(1-F41),0)</f>
        <v>529.41</v>
      </c>
      <c r="H41" s="19">
        <f>IFERROR(G41-E41,0)</f>
        <v>79.41</v>
      </c>
    </row>
    <row r="42" spans="1:8" x14ac:dyDescent="0.25">
      <c r="A42" s="32" t="s">
        <v>203</v>
      </c>
      <c r="B42" s="32" t="s">
        <v>205</v>
      </c>
      <c r="C42" s="63">
        <v>403.2</v>
      </c>
      <c r="D42" s="42">
        <v>1</v>
      </c>
      <c r="E42" s="33">
        <f>C42*D42</f>
        <v>403.2</v>
      </c>
      <c r="F42" s="67">
        <v>0.15</v>
      </c>
      <c r="G42" s="33">
        <f>IFERROR(E42/(1-F42),0)</f>
        <v>474.35</v>
      </c>
      <c r="H42" s="33">
        <f>IFERROR(G42-E42,0)</f>
        <v>71.15</v>
      </c>
    </row>
    <row r="43" spans="1:8" x14ac:dyDescent="0.25">
      <c r="A43" t="s">
        <v>203</v>
      </c>
      <c r="B43" t="s">
        <v>207</v>
      </c>
      <c r="C43" s="64">
        <v>12000</v>
      </c>
      <c r="D43" s="48">
        <v>1</v>
      </c>
      <c r="E43" s="19">
        <f>C43*D43</f>
        <v>12000</v>
      </c>
      <c r="F43" s="20">
        <v>0.15</v>
      </c>
      <c r="G43" s="19">
        <f>IFERROR(E43/(1-F43),0)</f>
        <v>14117.65</v>
      </c>
      <c r="H43" s="19">
        <f>IFERROR(G43-E43,0)</f>
        <v>2117.65</v>
      </c>
    </row>
    <row r="44" spans="2:8" x14ac:dyDescent="0.25">
      <c r="B44" s="25" t="s">
        <v>206</v>
      </c>
      <c r="E44" s="52">
        <f>SUM(E41:E43)</f>
        <v>12853.2</v>
      </c>
      <c r="G44" s="19">
        <f>SUM(G41:G43)</f>
        <v>15121.41</v>
      </c>
      <c r="H44" s="19">
        <f>IFERROR(G44-E44,0)</f>
        <v>2268.209999999999</v>
      </c>
    </row>
    <row r="46" spans="1:1" s="32" customFormat="1" x14ac:dyDescent="0.25">
      <c r="A46" s="40" t="s">
        <v>62</v>
      </c>
    </row>
    <row r="47" spans="1:8" x14ac:dyDescent="0.25">
      <c r="A47" t="s">
        <v>203</v>
      </c>
      <c r="B47" t="s">
        <v>204</v>
      </c>
      <c r="C47" s="64">
        <v>450</v>
      </c>
      <c r="D47" s="48">
        <v>1</v>
      </c>
      <c r="E47" s="19">
        <f>C47*D47</f>
        <v>450</v>
      </c>
      <c r="F47" s="20">
        <v>0.15</v>
      </c>
      <c r="G47" s="19">
        <f>IFERROR(E47/(1-F47),0)</f>
        <v>529.41</v>
      </c>
      <c r="H47" s="19">
        <f>IFERROR(G47-E47,0)</f>
        <v>79.41</v>
      </c>
    </row>
    <row r="48" spans="1:8" x14ac:dyDescent="0.25">
      <c r="A48" s="32" t="s">
        <v>203</v>
      </c>
      <c r="B48" s="32" t="s">
        <v>205</v>
      </c>
      <c r="C48" s="63">
        <v>507</v>
      </c>
      <c r="D48" s="42">
        <v>1</v>
      </c>
      <c r="E48" s="33">
        <f>C48*D48</f>
        <v>507</v>
      </c>
      <c r="F48" s="67">
        <v>0.15</v>
      </c>
      <c r="G48" s="33">
        <f>IFERROR(E48/(1-F48),0)</f>
        <v>596.47</v>
      </c>
      <c r="H48" s="33">
        <f>IFERROR(G48-E48,0)</f>
        <v>89.47</v>
      </c>
    </row>
    <row r="49" spans="1:8" x14ac:dyDescent="0.25">
      <c r="A49" t="s">
        <v>203</v>
      </c>
      <c r="B49" t="s">
        <v>207</v>
      </c>
      <c r="C49" s="64">
        <v>12000</v>
      </c>
      <c r="D49" s="48">
        <v>1</v>
      </c>
      <c r="E49" s="19">
        <f>C49*D49</f>
        <v>12000</v>
      </c>
      <c r="F49" s="20">
        <v>0.15</v>
      </c>
      <c r="G49" s="19">
        <f>IFERROR(E49/(1-F49),0)</f>
        <v>14117.65</v>
      </c>
      <c r="H49" s="19">
        <f>IFERROR(G49-E49,0)</f>
        <v>2117.65</v>
      </c>
    </row>
    <row r="50" spans="2:8" x14ac:dyDescent="0.25">
      <c r="B50" s="25" t="s">
        <v>206</v>
      </c>
      <c r="E50" s="52">
        <f>SUM(E47:E49)</f>
        <v>12957</v>
      </c>
      <c r="G50" s="19">
        <f>SUM(G47:G49)</f>
        <v>15243.529999999999</v>
      </c>
      <c r="H50" s="19">
        <f>IFERROR(G50-E50,0)</f>
        <v>2286.529999999999</v>
      </c>
    </row>
    <row r="52" spans="1:1" s="32" customFormat="1" x14ac:dyDescent="0.25">
      <c r="A52" s="40" t="s">
        <v>63</v>
      </c>
    </row>
    <row r="53" spans="2:2" x14ac:dyDescent="0.25">
      <c r="B53" s="68" t="s">
        <v>208</v>
      </c>
    </row>
    <row r="54" spans="2:8" x14ac:dyDescent="0.25">
      <c r="B54" s="25" t="s">
        <v>206</v>
      </c>
      <c r="E54" s="52">
        <f>0</f>
        <v>0</v>
      </c>
      <c r="G54" s="19">
        <f>0</f>
        <v>0</v>
      </c>
      <c r="H54" s="19">
        <f>IFERROR(G54-E54,0)</f>
        <v>0</v>
      </c>
    </row>
    <row r="56" spans="1:1" s="32" customFormat="1" x14ac:dyDescent="0.25">
      <c r="A56" s="40" t="s">
        <v>64</v>
      </c>
    </row>
    <row r="57" spans="1:8" x14ac:dyDescent="0.25">
      <c r="A57" t="s">
        <v>203</v>
      </c>
      <c r="B57" t="s">
        <v>204</v>
      </c>
      <c r="C57" s="64">
        <v>450</v>
      </c>
      <c r="D57" s="48">
        <v>1</v>
      </c>
      <c r="E57" s="19">
        <f>C57*D57</f>
        <v>450</v>
      </c>
      <c r="F57" s="20">
        <v>0.15</v>
      </c>
      <c r="G57" s="19">
        <f>IFERROR(E57/(1-F57),0)</f>
        <v>529.41</v>
      </c>
      <c r="H57" s="19">
        <f>IFERROR(G57-E57,0)</f>
        <v>79.41</v>
      </c>
    </row>
    <row r="58" spans="1:8" x14ac:dyDescent="0.25">
      <c r="A58" s="32" t="s">
        <v>203</v>
      </c>
      <c r="B58" s="32" t="s">
        <v>205</v>
      </c>
      <c r="C58" s="63">
        <v>40.89</v>
      </c>
      <c r="D58" s="42">
        <v>1</v>
      </c>
      <c r="E58" s="33">
        <f>C58*D58</f>
        <v>40.89</v>
      </c>
      <c r="F58" s="67">
        <v>0.15</v>
      </c>
      <c r="G58" s="33">
        <f>IFERROR(E58/(1-F58),0)</f>
        <v>48.11</v>
      </c>
      <c r="H58" s="33">
        <f>IFERROR(G58-E58,0)</f>
        <v>7.22</v>
      </c>
    </row>
    <row r="59" spans="2:8" x14ac:dyDescent="0.25">
      <c r="B59" s="25" t="s">
        <v>206</v>
      </c>
      <c r="E59" s="52">
        <f>SUM(E57:E58)</f>
        <v>490.89</v>
      </c>
      <c r="G59" s="19">
        <f>SUM(G57:G58)</f>
        <v>577.52</v>
      </c>
      <c r="H59" s="19">
        <f>IFERROR(G59-E59,0)</f>
        <v>86.62999999999997</v>
      </c>
    </row>
    <row r="61" spans="1:8" x14ac:dyDescent="0.25">
      <c r="A61" s="27" t="s">
        <v>209</v>
      </c>
      <c r="B61" s="27"/>
      <c r="C61" s="27"/>
      <c r="D61" s="27"/>
      <c r="E61" s="69">
        <f>E10+E15+E20+E26+E32+E38+E44+E50+E54+E59</f>
        <v>83739.93</v>
      </c>
      <c r="F61" s="27"/>
      <c r="G61" s="69">
        <f>G10+G15+G20+G26+G32+G38+G44+G50+G54+G59</f>
        <v>98517.57000000002</v>
      </c>
      <c r="H61" s="69">
        <f>IFERROR(G61-E61,0)</f>
        <v>14777.640000000029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210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38</v>
      </c>
      <c r="B4" s="3" t="s">
        <v>211</v>
      </c>
      <c r="C4" s="3" t="s">
        <v>40</v>
      </c>
      <c r="D4" s="3" t="s">
        <v>212</v>
      </c>
      <c r="E4" s="3" t="s">
        <v>32</v>
      </c>
    </row>
    <row r="5" spans="1:7" x14ac:dyDescent="0.25">
      <c r="A5" s="32"/>
      <c r="B5" s="32" t="s">
        <v>213</v>
      </c>
      <c r="C5" s="33">
        <v>300</v>
      </c>
      <c r="D5" s="70">
        <v>0</v>
      </c>
      <c r="E5" s="33">
        <v>0</v>
      </c>
      <c r="G5" s="71" t="s">
        <v>38</v>
      </c>
    </row>
    <row r="6" spans="2:7" x14ac:dyDescent="0.25">
      <c r="B6" t="s">
        <v>214</v>
      </c>
      <c r="C6" s="19">
        <v>1000</v>
      </c>
      <c r="D6" s="72">
        <v>0</v>
      </c>
      <c r="E6" s="19">
        <v>0</v>
      </c>
      <c r="G6" s="71" t="s">
        <v>38</v>
      </c>
    </row>
    <row r="7" spans="1:7" x14ac:dyDescent="0.25">
      <c r="A7" s="32"/>
      <c r="B7" s="32" t="s">
        <v>215</v>
      </c>
      <c r="C7" s="33">
        <v>125</v>
      </c>
      <c r="D7" s="70">
        <v>0</v>
      </c>
      <c r="E7" s="33">
        <v>0</v>
      </c>
      <c r="G7" s="71" t="s">
        <v>38</v>
      </c>
    </row>
    <row r="8" spans="2:7" x14ac:dyDescent="0.25">
      <c r="B8" t="s">
        <v>216</v>
      </c>
      <c r="C8" s="19">
        <v>100</v>
      </c>
      <c r="D8" s="72">
        <v>0</v>
      </c>
      <c r="E8" s="19">
        <v>0</v>
      </c>
      <c r="G8" s="71" t="s">
        <v>38</v>
      </c>
    </row>
    <row r="9" spans="1:7" x14ac:dyDescent="0.25">
      <c r="A9" s="32"/>
      <c r="B9" s="32" t="s">
        <v>217</v>
      </c>
      <c r="C9" s="33">
        <v>10000</v>
      </c>
      <c r="D9" s="70">
        <v>0</v>
      </c>
      <c r="E9" s="33">
        <v>0</v>
      </c>
      <c r="G9" s="71" t="s">
        <v>218</v>
      </c>
    </row>
    <row r="10" spans="1:5" x14ac:dyDescent="0.25">
      <c r="A10" s="65"/>
      <c r="B10" s="65" t="s">
        <v>219</v>
      </c>
      <c r="C10" s="65"/>
      <c r="D10" s="65"/>
      <c r="E10" s="66">
        <v>0</v>
      </c>
    </row>
    <row r="11" spans="1:5" x14ac:dyDescent="0.25">
      <c r="A11" s="35"/>
      <c r="B11" s="35" t="s">
        <v>198</v>
      </c>
      <c r="C11" s="35" t="s">
        <v>220</v>
      </c>
      <c r="D11" s="35"/>
      <c r="E11" s="36">
        <v>0</v>
      </c>
    </row>
    <row r="13" ht="24" customHeight="1" spans="1:5" x14ac:dyDescent="0.25">
      <c r="A13" s="3" t="s">
        <v>38</v>
      </c>
      <c r="B13" s="3" t="s">
        <v>221</v>
      </c>
      <c r="C13" s="3" t="s">
        <v>40</v>
      </c>
      <c r="D13" s="3" t="s">
        <v>212</v>
      </c>
      <c r="E13" s="3" t="s">
        <v>32</v>
      </c>
    </row>
    <row r="14" spans="1:7" x14ac:dyDescent="0.25">
      <c r="A14" s="32"/>
      <c r="B14" s="32" t="s">
        <v>213</v>
      </c>
      <c r="C14" s="33">
        <v>300</v>
      </c>
      <c r="D14" s="70">
        <v>0</v>
      </c>
      <c r="E14" s="33">
        <v>0</v>
      </c>
      <c r="G14" s="71" t="s">
        <v>38</v>
      </c>
    </row>
    <row r="15" spans="2:7" x14ac:dyDescent="0.25">
      <c r="B15" t="s">
        <v>214</v>
      </c>
      <c r="C15" s="19">
        <v>1000</v>
      </c>
      <c r="D15" s="72">
        <v>0</v>
      </c>
      <c r="E15" s="19">
        <v>0</v>
      </c>
      <c r="G15" s="71" t="s">
        <v>38</v>
      </c>
    </row>
    <row r="16" spans="1:7" x14ac:dyDescent="0.25">
      <c r="A16" s="32"/>
      <c r="B16" s="32" t="s">
        <v>215</v>
      </c>
      <c r="C16" s="33">
        <v>125</v>
      </c>
      <c r="D16" s="70">
        <v>0</v>
      </c>
      <c r="E16" s="33">
        <v>0</v>
      </c>
      <c r="G16" s="71" t="s">
        <v>38</v>
      </c>
    </row>
    <row r="17" spans="2:7" x14ac:dyDescent="0.25">
      <c r="B17" t="s">
        <v>216</v>
      </c>
      <c r="C17" s="19">
        <v>100</v>
      </c>
      <c r="D17" s="72">
        <v>0</v>
      </c>
      <c r="E17" s="19">
        <v>0</v>
      </c>
      <c r="G17" s="71" t="s">
        <v>38</v>
      </c>
    </row>
    <row r="18" spans="1:7" x14ac:dyDescent="0.25">
      <c r="A18" s="32"/>
      <c r="B18" s="32" t="s">
        <v>217</v>
      </c>
      <c r="C18" s="33">
        <v>10000</v>
      </c>
      <c r="D18" s="70">
        <v>0</v>
      </c>
      <c r="E18" s="33">
        <v>0</v>
      </c>
      <c r="G18" s="71" t="s">
        <v>218</v>
      </c>
    </row>
    <row r="19" spans="1:5" x14ac:dyDescent="0.25">
      <c r="A19" s="65"/>
      <c r="B19" s="65" t="s">
        <v>219</v>
      </c>
      <c r="C19" s="65"/>
      <c r="D19" s="65"/>
      <c r="E19" s="66">
        <v>0</v>
      </c>
    </row>
    <row r="20" spans="1:5" x14ac:dyDescent="0.25">
      <c r="A20" s="35"/>
      <c r="B20" s="35" t="s">
        <v>198</v>
      </c>
      <c r="C20" s="35" t="s">
        <v>220</v>
      </c>
      <c r="D20" s="35"/>
      <c r="E20" s="36">
        <v>0</v>
      </c>
    </row>
    <row r="22" ht="24" customHeight="1" spans="1:5" x14ac:dyDescent="0.25">
      <c r="A22" s="3" t="s">
        <v>38</v>
      </c>
      <c r="B22" s="3" t="s">
        <v>222</v>
      </c>
      <c r="C22" s="3" t="s">
        <v>40</v>
      </c>
      <c r="D22" s="3" t="s">
        <v>212</v>
      </c>
      <c r="E22" s="3" t="s">
        <v>32</v>
      </c>
    </row>
    <row r="23" spans="1:7" x14ac:dyDescent="0.25">
      <c r="A23" s="32"/>
      <c r="B23" s="32" t="s">
        <v>213</v>
      </c>
      <c r="C23" s="33">
        <v>300</v>
      </c>
      <c r="D23" s="70">
        <v>0</v>
      </c>
      <c r="E23" s="33">
        <v>0</v>
      </c>
      <c r="G23" s="71" t="s">
        <v>38</v>
      </c>
    </row>
    <row r="24" spans="2:7" x14ac:dyDescent="0.25">
      <c r="B24" t="s">
        <v>214</v>
      </c>
      <c r="C24" s="19">
        <v>1000</v>
      </c>
      <c r="D24" s="72">
        <v>0</v>
      </c>
      <c r="E24" s="19">
        <v>0</v>
      </c>
      <c r="G24" s="71" t="s">
        <v>38</v>
      </c>
    </row>
    <row r="25" spans="1:7" x14ac:dyDescent="0.25">
      <c r="A25" s="32"/>
      <c r="B25" s="32" t="s">
        <v>215</v>
      </c>
      <c r="C25" s="33">
        <v>125</v>
      </c>
      <c r="D25" s="70">
        <v>0</v>
      </c>
      <c r="E25" s="33">
        <v>0</v>
      </c>
      <c r="G25" s="71" t="s">
        <v>38</v>
      </c>
    </row>
    <row r="26" spans="2:7" x14ac:dyDescent="0.25">
      <c r="B26" t="s">
        <v>216</v>
      </c>
      <c r="C26" s="19">
        <v>100</v>
      </c>
      <c r="D26" s="72">
        <v>0</v>
      </c>
      <c r="E26" s="19">
        <v>0</v>
      </c>
      <c r="G26" s="71" t="s">
        <v>38</v>
      </c>
    </row>
    <row r="27" spans="1:7" x14ac:dyDescent="0.25">
      <c r="A27" s="32"/>
      <c r="B27" s="32" t="s">
        <v>217</v>
      </c>
      <c r="C27" s="33">
        <v>10000</v>
      </c>
      <c r="D27" s="70">
        <v>0</v>
      </c>
      <c r="E27" s="33">
        <v>0</v>
      </c>
      <c r="G27" s="71" t="s">
        <v>218</v>
      </c>
    </row>
    <row r="28" spans="2:7" x14ac:dyDescent="0.25">
      <c r="B28" t="s">
        <v>223</v>
      </c>
      <c r="C28" s="19">
        <v>1500</v>
      </c>
      <c r="D28" s="72">
        <v>0</v>
      </c>
      <c r="E28" s="19">
        <v>0</v>
      </c>
      <c r="G28" s="71" t="s">
        <v>38</v>
      </c>
    </row>
    <row r="29" spans="1:5" x14ac:dyDescent="0.25">
      <c r="A29" s="65"/>
      <c r="B29" s="65" t="s">
        <v>219</v>
      </c>
      <c r="C29" s="65"/>
      <c r="D29" s="65"/>
      <c r="E29" s="66">
        <v>0</v>
      </c>
    </row>
    <row r="30" spans="1:5" x14ac:dyDescent="0.25">
      <c r="A30" s="35"/>
      <c r="B30" s="35" t="s">
        <v>198</v>
      </c>
      <c r="C30" s="35" t="s">
        <v>220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224</v>
      </c>
      <c r="B1" s="1"/>
      <c r="C1" s="1"/>
      <c r="D1" s="1"/>
      <c r="E1" s="1"/>
      <c r="F1" s="1"/>
      <c r="G1" s="1"/>
    </row>
    <row r="4" spans="2:2" x14ac:dyDescent="0.25">
      <c r="B4" s="61" t="s">
        <v>225</v>
      </c>
    </row>
    <row r="5" spans="2:2" x14ac:dyDescent="0.25">
      <c r="B5" s="73" t="s">
        <v>226</v>
      </c>
    </row>
    <row r="6" ht="24" customHeight="1" spans="1:9" x14ac:dyDescent="0.25">
      <c r="A6" s="24" t="s">
        <v>38</v>
      </c>
      <c r="B6" s="24" t="s">
        <v>76</v>
      </c>
      <c r="C6" s="24" t="s">
        <v>227</v>
      </c>
      <c r="D6" s="24" t="s">
        <v>40</v>
      </c>
      <c r="E6" s="24" t="s">
        <v>212</v>
      </c>
      <c r="F6" s="24" t="s">
        <v>32</v>
      </c>
      <c r="G6" s="24" t="s">
        <v>202</v>
      </c>
      <c r="H6" s="24" t="s">
        <v>41</v>
      </c>
      <c r="I6" s="24" t="s">
        <v>42</v>
      </c>
    </row>
    <row r="7" spans="1:9" x14ac:dyDescent="0.25">
      <c r="A7" s="32"/>
      <c r="B7" s="6" t="s">
        <v>228</v>
      </c>
      <c r="C7" s="32" t="s">
        <v>229</v>
      </c>
      <c r="D7" s="63">
        <v>0</v>
      </c>
      <c r="E7" s="70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228</v>
      </c>
      <c r="C8" t="s">
        <v>230</v>
      </c>
      <c r="D8" s="64">
        <v>0</v>
      </c>
      <c r="E8" s="72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228</v>
      </c>
      <c r="C9" s="32" t="s">
        <v>231</v>
      </c>
      <c r="D9" s="63">
        <v>0</v>
      </c>
      <c r="E9" s="70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228</v>
      </c>
      <c r="C10" t="s">
        <v>232</v>
      </c>
      <c r="D10" s="64">
        <v>0</v>
      </c>
      <c r="E10" s="72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233</v>
      </c>
      <c r="C11" s="32" t="s">
        <v>229</v>
      </c>
      <c r="D11" s="63">
        <v>0</v>
      </c>
      <c r="E11" s="70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233</v>
      </c>
      <c r="C12" t="s">
        <v>230</v>
      </c>
      <c r="D12" s="64">
        <v>0</v>
      </c>
      <c r="E12" s="72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233</v>
      </c>
      <c r="C13" s="32" t="s">
        <v>231</v>
      </c>
      <c r="D13" s="63">
        <v>0</v>
      </c>
      <c r="E13" s="70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234</v>
      </c>
      <c r="C14" t="s">
        <v>235</v>
      </c>
      <c r="D14" s="64">
        <v>0</v>
      </c>
      <c r="E14" s="72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234</v>
      </c>
      <c r="C15" s="32" t="s">
        <v>236</v>
      </c>
      <c r="D15" s="63">
        <v>0</v>
      </c>
      <c r="E15" s="70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234</v>
      </c>
      <c r="C16" t="s">
        <v>237</v>
      </c>
      <c r="D16" s="64">
        <v>0</v>
      </c>
      <c r="E16" s="72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38</v>
      </c>
      <c r="C17" s="32" t="s">
        <v>238</v>
      </c>
      <c r="D17" s="63">
        <v>0</v>
      </c>
      <c r="E17" s="70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239</v>
      </c>
      <c r="D18" s="64">
        <v>0</v>
      </c>
      <c r="E18" s="72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108</v>
      </c>
      <c r="D19" s="63">
        <v>0</v>
      </c>
      <c r="E19" s="70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240</v>
      </c>
      <c r="D20" s="64">
        <v>0</v>
      </c>
      <c r="E20" s="72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53"/>
      <c r="B22" s="53"/>
      <c r="C22" s="53" t="s">
        <v>241</v>
      </c>
      <c r="D22" s="53"/>
      <c r="E22" s="53"/>
      <c r="F22" s="55">
        <f>SUM(F7:F20)</f>
        <v>0</v>
      </c>
      <c r="G22" s="53"/>
      <c r="H22" s="55">
        <f>SUM(H7:H20)</f>
        <v>0</v>
      </c>
      <c r="I22" s="55">
        <f>IFERROR(H22-F22,0)</f>
        <v>0</v>
      </c>
    </row>
    <row r="24" spans="2:6" x14ac:dyDescent="0.25">
      <c r="B24" t="s">
        <v>85</v>
      </c>
      <c r="F24" s="64">
        <v>0</v>
      </c>
    </row>
    <row r="25" spans="2:6" x14ac:dyDescent="0.25">
      <c r="B25" t="s">
        <v>86</v>
      </c>
      <c r="F25" s="64">
        <v>0</v>
      </c>
    </row>
    <row r="26" spans="1:9" x14ac:dyDescent="0.25">
      <c r="A26" s="27"/>
      <c r="B26" s="74" t="s">
        <v>242</v>
      </c>
      <c r="C26" s="74" t="s">
        <v>220</v>
      </c>
      <c r="D26" s="27"/>
      <c r="E26" s="27"/>
      <c r="F26" s="75">
        <f>F22+F24+F25</f>
        <v>0</v>
      </c>
      <c r="G26" s="27"/>
      <c r="H26" s="75">
        <f>H22</f>
        <v>0</v>
      </c>
      <c r="I26" s="75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243</v>
      </c>
      <c r="B1" s="1"/>
      <c r="C1" s="1"/>
      <c r="D1" s="1"/>
      <c r="E1" s="1"/>
      <c r="F1" s="1"/>
      <c r="G1" s="1"/>
    </row>
    <row r="4" spans="2:2" x14ac:dyDescent="0.25">
      <c r="B4" s="61" t="s">
        <v>244</v>
      </c>
    </row>
    <row r="5" spans="2:2" x14ac:dyDescent="0.25">
      <c r="B5" s="73" t="s">
        <v>226</v>
      </c>
    </row>
    <row r="6" ht="24" customHeight="1" spans="1:9" x14ac:dyDescent="0.25">
      <c r="A6" s="24" t="s">
        <v>38</v>
      </c>
      <c r="B6" s="24" t="s">
        <v>76</v>
      </c>
      <c r="C6" s="24" t="s">
        <v>227</v>
      </c>
      <c r="D6" s="24" t="s">
        <v>40</v>
      </c>
      <c r="E6" s="24" t="s">
        <v>212</v>
      </c>
      <c r="F6" s="24" t="s">
        <v>32</v>
      </c>
      <c r="G6" s="24" t="s">
        <v>202</v>
      </c>
      <c r="H6" s="24" t="s">
        <v>41</v>
      </c>
      <c r="I6" s="24" t="s">
        <v>42</v>
      </c>
    </row>
    <row r="7" spans="1:9" x14ac:dyDescent="0.25">
      <c r="A7" s="32"/>
      <c r="B7" s="6" t="s">
        <v>245</v>
      </c>
      <c r="C7" s="32" t="s">
        <v>246</v>
      </c>
      <c r="D7" s="63">
        <v>0</v>
      </c>
      <c r="E7" s="70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245</v>
      </c>
      <c r="C8" t="s">
        <v>247</v>
      </c>
      <c r="D8" s="64">
        <v>0</v>
      </c>
      <c r="E8" s="72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245</v>
      </c>
      <c r="C9" s="32" t="s">
        <v>248</v>
      </c>
      <c r="D9" s="63">
        <v>0</v>
      </c>
      <c r="E9" s="70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245</v>
      </c>
      <c r="C10" t="s">
        <v>249</v>
      </c>
      <c r="D10" s="64">
        <v>0</v>
      </c>
      <c r="E10" s="72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245</v>
      </c>
      <c r="C11" s="32" t="s">
        <v>250</v>
      </c>
      <c r="D11" s="63">
        <v>0</v>
      </c>
      <c r="E11" s="70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251</v>
      </c>
      <c r="C12" t="s">
        <v>252</v>
      </c>
      <c r="D12" s="64">
        <v>0</v>
      </c>
      <c r="E12" s="72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251</v>
      </c>
      <c r="C13" s="32" t="s">
        <v>253</v>
      </c>
      <c r="D13" s="63">
        <v>0</v>
      </c>
      <c r="E13" s="70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251</v>
      </c>
      <c r="C14" t="s">
        <v>254</v>
      </c>
      <c r="D14" s="64">
        <v>0</v>
      </c>
      <c r="E14" s="72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255</v>
      </c>
      <c r="C15" s="32" t="s">
        <v>235</v>
      </c>
      <c r="D15" s="63">
        <v>0</v>
      </c>
      <c r="E15" s="70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255</v>
      </c>
      <c r="C16" t="s">
        <v>256</v>
      </c>
      <c r="D16" s="64">
        <v>0</v>
      </c>
      <c r="E16" s="72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255</v>
      </c>
      <c r="C17" s="32" t="s">
        <v>237</v>
      </c>
      <c r="D17" s="63">
        <v>0</v>
      </c>
      <c r="E17" s="70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238</v>
      </c>
      <c r="D18" s="64">
        <v>0</v>
      </c>
      <c r="E18" s="72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239</v>
      </c>
      <c r="D19" s="63">
        <v>0</v>
      </c>
      <c r="E19" s="70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108</v>
      </c>
      <c r="D20" s="64">
        <v>0</v>
      </c>
      <c r="E20" s="72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38</v>
      </c>
      <c r="C21" s="32" t="s">
        <v>240</v>
      </c>
      <c r="D21" s="63">
        <v>0</v>
      </c>
      <c r="E21" s="70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53"/>
      <c r="B23" s="53"/>
      <c r="C23" s="53" t="s">
        <v>257</v>
      </c>
      <c r="D23" s="53"/>
      <c r="E23" s="53"/>
      <c r="F23" s="55">
        <f>SUM(F7:F21)</f>
        <v>0</v>
      </c>
      <c r="G23" s="53"/>
      <c r="H23" s="55">
        <f>SUM(H7:H21)</f>
        <v>0</v>
      </c>
      <c r="I23" s="55">
        <f>IFERROR(H23-F23,0)</f>
        <v>0</v>
      </c>
    </row>
    <row r="25" spans="2:6" x14ac:dyDescent="0.25">
      <c r="B25" t="s">
        <v>85</v>
      </c>
      <c r="F25" s="64">
        <v>0</v>
      </c>
    </row>
    <row r="26" spans="2:6" x14ac:dyDescent="0.25">
      <c r="B26" t="s">
        <v>86</v>
      </c>
      <c r="F26" s="64">
        <v>0</v>
      </c>
    </row>
    <row r="27" spans="1:9" x14ac:dyDescent="0.25">
      <c r="A27" s="27"/>
      <c r="B27" s="74" t="s">
        <v>242</v>
      </c>
      <c r="C27" s="74" t="s">
        <v>220</v>
      </c>
      <c r="D27" s="27"/>
      <c r="E27" s="27"/>
      <c r="F27" s="75">
        <f>F23+F25+F26</f>
        <v>0</v>
      </c>
      <c r="G27" s="27"/>
      <c r="H27" s="75">
        <f>H23</f>
        <v>0</v>
      </c>
      <c r="I27" s="75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258</v>
      </c>
      <c r="B1" s="1"/>
      <c r="C1" s="1"/>
      <c r="D1" s="1"/>
      <c r="E1" s="1"/>
    </row>
    <row r="2" spans="1:5" x14ac:dyDescent="0.25">
      <c r="A2" s="2" t="s">
        <v>259</v>
      </c>
      <c r="B2" s="2"/>
      <c r="C2" s="2"/>
      <c r="D2" s="2"/>
      <c r="E2" s="2"/>
    </row>
    <row r="4" spans="1:3" x14ac:dyDescent="0.25">
      <c r="A4" t="s">
        <v>260</v>
      </c>
      <c r="B4" s="72">
        <v>3</v>
      </c>
      <c r="C4" s="76" t="s">
        <v>261</v>
      </c>
    </row>
    <row r="5" spans="1:3" x14ac:dyDescent="0.25">
      <c r="A5" t="s">
        <v>262</v>
      </c>
      <c r="B5" s="64">
        <v>0</v>
      </c>
      <c r="C5" s="76" t="s">
        <v>263</v>
      </c>
    </row>
    <row r="6" spans="1:3" x14ac:dyDescent="0.25">
      <c r="A6" t="s">
        <v>264</v>
      </c>
      <c r="B6" s="20">
        <v>0.03</v>
      </c>
      <c r="C6" s="76" t="s">
        <v>265</v>
      </c>
    </row>
    <row r="7" spans="1:3" x14ac:dyDescent="0.25">
      <c r="A7" t="s">
        <v>43</v>
      </c>
      <c r="B7" s="20">
        <v>0.15</v>
      </c>
      <c r="C7" s="76" t="s">
        <v>266</v>
      </c>
    </row>
    <row r="10" spans="1:5" x14ac:dyDescent="0.25">
      <c r="A10" s="24" t="s">
        <v>267</v>
      </c>
      <c r="B10" s="24" t="s">
        <v>40</v>
      </c>
      <c r="C10" s="24" t="s">
        <v>41</v>
      </c>
      <c r="D10" s="24" t="s">
        <v>42</v>
      </c>
      <c r="E10" s="24" t="s">
        <v>268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269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269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269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38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38</v>
      </c>
    </row>
    <row r="17" spans="1:5" x14ac:dyDescent="0.25">
      <c r="A17" s="53" t="s">
        <v>270</v>
      </c>
      <c r="B17" s="55">
        <f>SUM(B11:B15)</f>
        <v>0</v>
      </c>
      <c r="C17" s="55">
        <f>SUM(C11:C15)</f>
        <v>0</v>
      </c>
      <c r="D17" s="55">
        <f>IFERROR(C17-B17,0)</f>
        <v>0</v>
      </c>
      <c r="E17" s="53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271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38</v>
      </c>
      <c r="B4" s="24" t="s">
        <v>76</v>
      </c>
      <c r="C4" s="24" t="s">
        <v>227</v>
      </c>
      <c r="D4" s="24" t="s">
        <v>40</v>
      </c>
      <c r="E4" s="24" t="s">
        <v>212</v>
      </c>
      <c r="F4" s="24" t="s">
        <v>32</v>
      </c>
      <c r="G4" s="24" t="s">
        <v>202</v>
      </c>
      <c r="H4" s="24" t="s">
        <v>41</v>
      </c>
      <c r="I4" s="24" t="s">
        <v>42</v>
      </c>
    </row>
    <row r="5" spans="1:9" x14ac:dyDescent="0.25">
      <c r="A5" s="32"/>
      <c r="B5" s="32" t="s">
        <v>272</v>
      </c>
      <c r="C5" s="32" t="s">
        <v>273</v>
      </c>
      <c r="D5" s="63">
        <v>0</v>
      </c>
      <c r="E5" s="70">
        <v>1</v>
      </c>
      <c r="F5" s="33">
        <f>D5*E5</f>
        <v>0</v>
      </c>
      <c r="G5" s="67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274</v>
      </c>
      <c r="C6" t="s">
        <v>70</v>
      </c>
      <c r="D6" s="64">
        <v>0</v>
      </c>
      <c r="E6" s="72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275</v>
      </c>
      <c r="C7" s="32" t="s">
        <v>71</v>
      </c>
      <c r="D7" s="63">
        <v>0</v>
      </c>
      <c r="E7" s="70">
        <v>1</v>
      </c>
      <c r="F7" s="33">
        <f>D7*E7</f>
        <v>0</v>
      </c>
      <c r="G7" s="67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165</v>
      </c>
      <c r="C8" t="s">
        <v>72</v>
      </c>
      <c r="D8" s="64">
        <v>0</v>
      </c>
      <c r="E8" s="72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53"/>
      <c r="B10" s="53"/>
      <c r="C10" s="53" t="s">
        <v>276</v>
      </c>
      <c r="D10" s="53"/>
      <c r="E10" s="53"/>
      <c r="F10" s="55">
        <f>SUM(F5:F8)</f>
        <v>0</v>
      </c>
      <c r="G10" s="53"/>
      <c r="H10" s="55">
        <f>SUM(H5:H8)</f>
        <v>0</v>
      </c>
      <c r="I10" s="55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7" t="s">
        <v>277</v>
      </c>
    </row>
    <row r="2" spans="2:2" x14ac:dyDescent="0.25">
      <c r="B2" t="s">
        <v>278</v>
      </c>
    </row>
    <row r="4" ht="24" customHeight="1" spans="2:4" x14ac:dyDescent="0.25">
      <c r="B4" s="78" t="s">
        <v>279</v>
      </c>
      <c r="C4" s="79" t="s">
        <v>280</v>
      </c>
      <c r="D4" s="79" t="s">
        <v>281</v>
      </c>
    </row>
    <row r="5" spans="1:4" x14ac:dyDescent="0.25">
      <c r="A5" s="32"/>
      <c r="B5" s="80" t="s">
        <v>282</v>
      </c>
      <c r="C5" s="42" t="s">
        <v>38</v>
      </c>
      <c r="D5" s="42" t="s">
        <v>283</v>
      </c>
    </row>
    <row r="6" spans="2:4" x14ac:dyDescent="0.25">
      <c r="B6" s="81" t="s">
        <v>284</v>
      </c>
      <c r="C6" s="48" t="s">
        <v>285</v>
      </c>
      <c r="D6" s="48" t="s">
        <v>38</v>
      </c>
    </row>
    <row r="7" spans="1:4" x14ac:dyDescent="0.25">
      <c r="A7" s="32"/>
      <c r="B7" s="80" t="s">
        <v>286</v>
      </c>
      <c r="C7" s="42" t="s">
        <v>285</v>
      </c>
      <c r="D7" s="42" t="s">
        <v>38</v>
      </c>
    </row>
    <row r="8" spans="2:4" x14ac:dyDescent="0.25">
      <c r="B8" s="81" t="s">
        <v>287</v>
      </c>
      <c r="C8" s="48" t="s">
        <v>283</v>
      </c>
      <c r="D8" s="48" t="s">
        <v>38</v>
      </c>
    </row>
    <row r="9" spans="1:4" x14ac:dyDescent="0.25">
      <c r="A9" s="32"/>
      <c r="B9" s="80" t="s">
        <v>288</v>
      </c>
      <c r="C9" s="42" t="s">
        <v>283</v>
      </c>
      <c r="D9" s="42" t="s">
        <v>38</v>
      </c>
    </row>
    <row r="10" spans="2:4" x14ac:dyDescent="0.25">
      <c r="B10" s="81" t="s">
        <v>289</v>
      </c>
      <c r="C10" s="48" t="s">
        <v>38</v>
      </c>
      <c r="D10" s="48" t="s">
        <v>283</v>
      </c>
    </row>
    <row r="11" spans="1:4" x14ac:dyDescent="0.25">
      <c r="A11" s="32"/>
      <c r="B11" s="80" t="s">
        <v>290</v>
      </c>
      <c r="C11" s="42" t="s">
        <v>38</v>
      </c>
      <c r="D11" s="42" t="s">
        <v>283</v>
      </c>
    </row>
    <row r="13" ht="24" customHeight="1" spans="2:4" x14ac:dyDescent="0.25">
      <c r="B13" s="78" t="s">
        <v>291</v>
      </c>
      <c r="C13" s="79" t="s">
        <v>280</v>
      </c>
      <c r="D13" s="79" t="s">
        <v>281</v>
      </c>
    </row>
    <row r="14" spans="1:4" x14ac:dyDescent="0.25">
      <c r="A14" s="32"/>
      <c r="B14" s="80" t="s">
        <v>292</v>
      </c>
      <c r="C14" s="42" t="s">
        <v>38</v>
      </c>
      <c r="D14" s="42" t="s">
        <v>283</v>
      </c>
    </row>
    <row r="15" spans="2:4" x14ac:dyDescent="0.25">
      <c r="B15" s="81" t="s">
        <v>293</v>
      </c>
      <c r="C15" s="48" t="s">
        <v>283</v>
      </c>
      <c r="D15" s="48" t="s">
        <v>38</v>
      </c>
    </row>
    <row r="16" spans="1:4" x14ac:dyDescent="0.25">
      <c r="A16" s="32"/>
      <c r="B16" s="80" t="s">
        <v>294</v>
      </c>
      <c r="C16" s="42" t="s">
        <v>283</v>
      </c>
      <c r="D16" s="42" t="s">
        <v>38</v>
      </c>
    </row>
    <row r="17" spans="2:4" x14ac:dyDescent="0.25">
      <c r="B17" s="81" t="s">
        <v>295</v>
      </c>
      <c r="C17" s="48" t="s">
        <v>38</v>
      </c>
      <c r="D17" s="48" t="s">
        <v>283</v>
      </c>
    </row>
    <row r="18" spans="1:4" x14ac:dyDescent="0.25">
      <c r="A18" s="32"/>
      <c r="B18" s="80" t="s">
        <v>296</v>
      </c>
      <c r="C18" s="42" t="s">
        <v>38</v>
      </c>
      <c r="D18" s="42" t="s">
        <v>283</v>
      </c>
    </row>
    <row r="20" ht="24" customHeight="1" spans="2:4" x14ac:dyDescent="0.25">
      <c r="B20" s="78" t="s">
        <v>297</v>
      </c>
      <c r="C20" s="79" t="s">
        <v>280</v>
      </c>
      <c r="D20" s="79" t="s">
        <v>281</v>
      </c>
    </row>
    <row r="21" spans="1:4" x14ac:dyDescent="0.25">
      <c r="A21" s="32"/>
      <c r="B21" s="80" t="s">
        <v>298</v>
      </c>
      <c r="C21" s="42" t="s">
        <v>299</v>
      </c>
      <c r="D21" s="42" t="s">
        <v>38</v>
      </c>
    </row>
    <row r="22" spans="2:4" x14ac:dyDescent="0.25">
      <c r="B22" s="81" t="s">
        <v>300</v>
      </c>
      <c r="C22" s="48" t="s">
        <v>38</v>
      </c>
      <c r="D22" s="48" t="s">
        <v>283</v>
      </c>
    </row>
    <row r="23" spans="1:4" x14ac:dyDescent="0.25">
      <c r="A23" s="32"/>
      <c r="B23" s="80" t="s">
        <v>301</v>
      </c>
      <c r="C23" s="42" t="s">
        <v>299</v>
      </c>
      <c r="D23" s="42" t="s">
        <v>38</v>
      </c>
    </row>
    <row r="24" spans="2:4" x14ac:dyDescent="0.25">
      <c r="B24" s="81" t="s">
        <v>302</v>
      </c>
      <c r="C24" s="48" t="s">
        <v>283</v>
      </c>
      <c r="D24" s="48" t="s">
        <v>38</v>
      </c>
    </row>
    <row r="25" spans="1:4" x14ac:dyDescent="0.25">
      <c r="A25" s="32"/>
      <c r="B25" s="80" t="s">
        <v>303</v>
      </c>
      <c r="C25" s="42" t="s">
        <v>283</v>
      </c>
      <c r="D25" s="42" t="s">
        <v>38</v>
      </c>
    </row>
    <row r="26" spans="2:4" x14ac:dyDescent="0.25">
      <c r="B26" s="81" t="s">
        <v>304</v>
      </c>
      <c r="C26" s="48" t="s">
        <v>38</v>
      </c>
      <c r="D26" s="48" t="s">
        <v>283</v>
      </c>
    </row>
    <row r="28" ht="24" customHeight="1" spans="2:4" x14ac:dyDescent="0.25">
      <c r="B28" s="78" t="s">
        <v>305</v>
      </c>
      <c r="C28" s="79" t="s">
        <v>280</v>
      </c>
      <c r="D28" s="79" t="s">
        <v>281</v>
      </c>
    </row>
    <row r="29" spans="1:4" x14ac:dyDescent="0.25">
      <c r="A29" s="32"/>
      <c r="B29" s="80" t="s">
        <v>306</v>
      </c>
      <c r="C29" s="42" t="s">
        <v>283</v>
      </c>
      <c r="D29" s="42" t="s">
        <v>38</v>
      </c>
    </row>
    <row r="30" spans="2:4" x14ac:dyDescent="0.25">
      <c r="B30" s="81" t="s">
        <v>307</v>
      </c>
      <c r="C30" s="48" t="s">
        <v>38</v>
      </c>
      <c r="D30" s="48" t="s">
        <v>283</v>
      </c>
    </row>
    <row r="31" spans="1:4" x14ac:dyDescent="0.25">
      <c r="A31" s="32"/>
      <c r="B31" s="80" t="s">
        <v>308</v>
      </c>
      <c r="C31" s="42" t="s">
        <v>38</v>
      </c>
      <c r="D31" s="42" t="s">
        <v>283</v>
      </c>
    </row>
    <row r="32" spans="2:4" x14ac:dyDescent="0.25">
      <c r="B32" s="81" t="s">
        <v>309</v>
      </c>
      <c r="C32" s="48" t="s">
        <v>283</v>
      </c>
      <c r="D32" s="48" t="s">
        <v>38</v>
      </c>
    </row>
    <row r="33" spans="1:4" x14ac:dyDescent="0.25">
      <c r="A33" s="32"/>
      <c r="B33" s="80" t="s">
        <v>310</v>
      </c>
      <c r="C33" s="42" t="s">
        <v>38</v>
      </c>
      <c r="D33" s="42" t="s">
        <v>283</v>
      </c>
    </row>
    <row r="34" spans="2:4" x14ac:dyDescent="0.25">
      <c r="B34" s="81" t="s">
        <v>311</v>
      </c>
      <c r="C34" s="48" t="s">
        <v>283</v>
      </c>
      <c r="D34" s="48" t="s">
        <v>38</v>
      </c>
    </row>
    <row r="35" spans="1:4" x14ac:dyDescent="0.25">
      <c r="A35" s="32"/>
      <c r="B35" s="80" t="s">
        <v>312</v>
      </c>
      <c r="C35" s="42" t="s">
        <v>283</v>
      </c>
      <c r="D35" s="42" t="s">
        <v>38</v>
      </c>
    </row>
    <row r="36" spans="2:4" x14ac:dyDescent="0.25">
      <c r="B36" s="81" t="s">
        <v>313</v>
      </c>
      <c r="C36" s="48" t="s">
        <v>283</v>
      </c>
      <c r="D36" s="48" t="s">
        <v>38</v>
      </c>
    </row>
    <row r="37" spans="1:4" x14ac:dyDescent="0.25">
      <c r="A37" s="32"/>
      <c r="B37" s="80" t="s">
        <v>314</v>
      </c>
      <c r="C37" s="42" t="s">
        <v>38</v>
      </c>
      <c r="D37" s="42" t="s">
        <v>283</v>
      </c>
    </row>
    <row r="39" ht="24" customHeight="1" spans="2:4" x14ac:dyDescent="0.25">
      <c r="B39" s="78" t="s">
        <v>315</v>
      </c>
      <c r="C39" s="79" t="s">
        <v>280</v>
      </c>
      <c r="D39" s="79" t="s">
        <v>281</v>
      </c>
    </row>
    <row r="40" spans="1:4" x14ac:dyDescent="0.25">
      <c r="A40" s="32"/>
      <c r="B40" s="80" t="s">
        <v>316</v>
      </c>
      <c r="C40" s="42" t="s">
        <v>299</v>
      </c>
      <c r="D40" s="42" t="s">
        <v>38</v>
      </c>
    </row>
    <row r="41" spans="2:4" x14ac:dyDescent="0.25">
      <c r="B41" s="81" t="s">
        <v>317</v>
      </c>
      <c r="C41" s="48" t="s">
        <v>38</v>
      </c>
      <c r="D41" s="48" t="s">
        <v>283</v>
      </c>
    </row>
    <row r="42" spans="1:4" x14ac:dyDescent="0.25">
      <c r="A42" s="32"/>
      <c r="B42" s="80" t="s">
        <v>318</v>
      </c>
      <c r="C42" s="42" t="s">
        <v>38</v>
      </c>
      <c r="D42" s="42" t="s">
        <v>283</v>
      </c>
    </row>
    <row r="44" ht="24" customHeight="1" spans="2:4" x14ac:dyDescent="0.25">
      <c r="B44" s="78" t="s">
        <v>319</v>
      </c>
      <c r="C44" s="79" t="s">
        <v>280</v>
      </c>
      <c r="D44" s="79" t="s">
        <v>281</v>
      </c>
    </row>
    <row r="45" spans="1:4" x14ac:dyDescent="0.25">
      <c r="A45" s="32"/>
      <c r="B45" s="80" t="s">
        <v>320</v>
      </c>
      <c r="C45" s="42" t="s">
        <v>283</v>
      </c>
      <c r="D45" s="42" t="s">
        <v>38</v>
      </c>
    </row>
    <row r="46" spans="2:4" x14ac:dyDescent="0.25">
      <c r="B46" s="81" t="s">
        <v>321</v>
      </c>
      <c r="C46" s="48" t="s">
        <v>283</v>
      </c>
      <c r="D46" s="48" t="s">
        <v>38</v>
      </c>
    </row>
    <row r="47" spans="1:4" x14ac:dyDescent="0.25">
      <c r="A47" s="32"/>
      <c r="B47" s="80" t="s">
        <v>322</v>
      </c>
      <c r="C47" s="42" t="s">
        <v>283</v>
      </c>
      <c r="D47" s="42" t="s">
        <v>38</v>
      </c>
    </row>
    <row r="48" spans="2:4" x14ac:dyDescent="0.25">
      <c r="B48" s="81" t="s">
        <v>323</v>
      </c>
      <c r="C48" s="48" t="s">
        <v>283</v>
      </c>
      <c r="D48" s="48" t="s">
        <v>38</v>
      </c>
    </row>
    <row r="50" ht="24" customHeight="1" spans="2:4" x14ac:dyDescent="0.25">
      <c r="B50" s="78" t="s">
        <v>324</v>
      </c>
      <c r="C50" s="79" t="s">
        <v>280</v>
      </c>
      <c r="D50" s="79" t="s">
        <v>281</v>
      </c>
    </row>
    <row r="51" spans="1:4" x14ac:dyDescent="0.25">
      <c r="A51" s="32"/>
      <c r="B51" s="80" t="s">
        <v>325</v>
      </c>
      <c r="C51" s="42" t="s">
        <v>299</v>
      </c>
      <c r="D51" s="42" t="s">
        <v>38</v>
      </c>
    </row>
    <row r="52" spans="2:4" x14ac:dyDescent="0.25">
      <c r="B52" s="81" t="s">
        <v>326</v>
      </c>
      <c r="C52" s="48" t="s">
        <v>38</v>
      </c>
      <c r="D52" s="48" t="s">
        <v>283</v>
      </c>
    </row>
    <row r="53" spans="1:4" x14ac:dyDescent="0.25">
      <c r="A53" s="32"/>
      <c r="B53" s="80" t="s">
        <v>327</v>
      </c>
      <c r="C53" s="42" t="s">
        <v>299</v>
      </c>
      <c r="D53" s="42" t="s">
        <v>38</v>
      </c>
    </row>
    <row r="54" spans="2:4" x14ac:dyDescent="0.25">
      <c r="B54" s="81" t="s">
        <v>328</v>
      </c>
      <c r="C54" s="48" t="s">
        <v>299</v>
      </c>
      <c r="D54" s="48" t="s">
        <v>38</v>
      </c>
    </row>
    <row r="55" spans="1:4" x14ac:dyDescent="0.25">
      <c r="A55" s="32"/>
      <c r="B55" s="80" t="s">
        <v>329</v>
      </c>
      <c r="C55" s="42" t="s">
        <v>299</v>
      </c>
      <c r="D55" s="4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331</v>
      </c>
      <c r="D3" s="82" t="s">
        <v>332</v>
      </c>
    </row>
    <row r="5" spans="2:9" x14ac:dyDescent="0.25">
      <c r="B5" s="61" t="s">
        <v>333</v>
      </c>
      <c r="I5" s="61" t="s">
        <v>334</v>
      </c>
    </row>
    <row r="6" spans="1:10" x14ac:dyDescent="0.25">
      <c r="A6" s="24" t="s">
        <v>38</v>
      </c>
      <c r="B6" s="24" t="s">
        <v>335</v>
      </c>
      <c r="C6" s="24" t="s">
        <v>336</v>
      </c>
      <c r="D6" s="24" t="s">
        <v>202</v>
      </c>
      <c r="I6" s="24" t="s">
        <v>335</v>
      </c>
      <c r="J6" s="24" t="s">
        <v>336</v>
      </c>
    </row>
    <row r="7" spans="1:10" x14ac:dyDescent="0.25">
      <c r="A7" t="s">
        <v>337</v>
      </c>
      <c r="B7" s="19">
        <v>2685228.27</v>
      </c>
      <c r="C7" s="19">
        <v>2338109.6399999997</v>
      </c>
      <c r="D7" s="19">
        <v>347118.63</v>
      </c>
      <c r="H7" s="25" t="s">
        <v>338</v>
      </c>
      <c r="I7" s="19">
        <v>2685228.27</v>
      </c>
      <c r="J7" s="19">
        <v>2338109.6399999997</v>
      </c>
    </row>
    <row r="8" spans="1:6" x14ac:dyDescent="0.25">
      <c r="A8" s="35" t="s">
        <v>338</v>
      </c>
      <c r="B8" s="36">
        <v>2685228.27</v>
      </c>
      <c r="C8" s="36">
        <v>2338109.6399999997</v>
      </c>
      <c r="D8" s="36">
        <v>347118.63</v>
      </c>
      <c r="E8" s="35"/>
      <c r="F8" s="35"/>
    </row>
    <row r="10" spans="1:1" x14ac:dyDescent="0.25">
      <c r="A10" s="83" t="s">
        <v>339</v>
      </c>
    </row>
    <row r="11" spans="1:4" x14ac:dyDescent="0.25">
      <c r="A11" t="s">
        <v>340</v>
      </c>
      <c r="B11" s="19">
        <v>0</v>
      </c>
      <c r="C11" s="19">
        <v>0</v>
      </c>
      <c r="D11" s="19">
        <v>0</v>
      </c>
    </row>
    <row r="13" spans="1:6" x14ac:dyDescent="0.25">
      <c r="A13" s="53" t="s">
        <v>341</v>
      </c>
      <c r="B13" s="55">
        <v>2685228.27</v>
      </c>
      <c r="C13" s="55">
        <v>2338109.6399999997</v>
      </c>
      <c r="D13" s="55">
        <v>347118.63</v>
      </c>
      <c r="E13" s="53"/>
      <c r="F13" s="53"/>
    </row>
    <row r="16" spans="1:5" x14ac:dyDescent="0.25">
      <c r="A16" s="24" t="s">
        <v>342</v>
      </c>
      <c r="B16" s="24" t="s">
        <v>335</v>
      </c>
      <c r="C16" s="24" t="s">
        <v>343</v>
      </c>
      <c r="D16" s="24" t="s">
        <v>344</v>
      </c>
      <c r="E16" s="24" t="s">
        <v>345</v>
      </c>
    </row>
    <row r="17" spans="1:5" x14ac:dyDescent="0.25">
      <c r="A17" s="32" t="s">
        <v>346</v>
      </c>
      <c r="B17" s="33">
        <v>0</v>
      </c>
      <c r="C17" s="33">
        <v>1294392.18</v>
      </c>
      <c r="D17" s="63">
        <v>0</v>
      </c>
      <c r="E17" s="33">
        <v>1294392.18</v>
      </c>
    </row>
    <row r="18" spans="1:5" x14ac:dyDescent="0.25">
      <c r="A18" t="s">
        <v>347</v>
      </c>
      <c r="B18" s="19">
        <v>0</v>
      </c>
      <c r="C18" s="19">
        <v>331428.76</v>
      </c>
      <c r="D18" s="64">
        <v>0</v>
      </c>
      <c r="E18" s="19">
        <v>331428.76</v>
      </c>
    </row>
    <row r="19" spans="1:5" x14ac:dyDescent="0.25">
      <c r="A19" s="32" t="s">
        <v>348</v>
      </c>
      <c r="B19" s="33">
        <v>0</v>
      </c>
      <c r="C19" s="33">
        <v>267281.26</v>
      </c>
      <c r="D19" s="63">
        <v>0</v>
      </c>
      <c r="E19" s="33">
        <v>267281.26</v>
      </c>
    </row>
    <row r="20" spans="1:5" x14ac:dyDescent="0.25">
      <c r="A20" t="s">
        <v>349</v>
      </c>
      <c r="B20" s="19">
        <v>0</v>
      </c>
      <c r="C20" s="19">
        <v>135000</v>
      </c>
      <c r="D20" s="64">
        <v>0</v>
      </c>
      <c r="E20" s="19">
        <v>135000</v>
      </c>
    </row>
    <row r="21" spans="1:5" x14ac:dyDescent="0.25">
      <c r="A21" s="32" t="s">
        <v>350</v>
      </c>
      <c r="B21" s="33">
        <v>0</v>
      </c>
      <c r="C21" s="33">
        <v>47058.799999999996</v>
      </c>
      <c r="D21" s="63">
        <v>0</v>
      </c>
      <c r="E21" s="33">
        <v>47058.799999999996</v>
      </c>
    </row>
    <row r="22" spans="1:5" x14ac:dyDescent="0.25">
      <c r="A22" t="s">
        <v>351</v>
      </c>
      <c r="B22" s="19">
        <v>0</v>
      </c>
      <c r="C22" s="19">
        <v>0</v>
      </c>
      <c r="D22" s="64">
        <v>0</v>
      </c>
      <c r="E22" s="19">
        <v>0</v>
      </c>
    </row>
    <row r="23" spans="1:5" x14ac:dyDescent="0.25">
      <c r="A23" s="32" t="s">
        <v>352</v>
      </c>
      <c r="B23" s="33">
        <v>0</v>
      </c>
      <c r="C23" s="33">
        <v>0</v>
      </c>
      <c r="D23" s="63">
        <v>0</v>
      </c>
      <c r="E23" s="33">
        <v>0</v>
      </c>
    </row>
    <row r="24" spans="1:5" x14ac:dyDescent="0.25">
      <c r="A24" t="s">
        <v>353</v>
      </c>
      <c r="B24" s="19">
        <v>0</v>
      </c>
      <c r="C24" s="19">
        <v>0</v>
      </c>
      <c r="D24" s="64">
        <v>0</v>
      </c>
      <c r="E24" s="19">
        <v>0</v>
      </c>
    </row>
    <row r="25" spans="1:5" x14ac:dyDescent="0.25">
      <c r="A25" s="32" t="s">
        <v>354</v>
      </c>
      <c r="B25" s="33">
        <v>0</v>
      </c>
      <c r="C25" s="33">
        <v>0</v>
      </c>
      <c r="D25" s="63">
        <v>0</v>
      </c>
      <c r="E25" s="33">
        <v>0</v>
      </c>
    </row>
    <row r="26" spans="1:5" x14ac:dyDescent="0.25">
      <c r="A26" t="s">
        <v>355</v>
      </c>
      <c r="B26" s="19">
        <v>0</v>
      </c>
      <c r="C26" s="19">
        <v>0</v>
      </c>
      <c r="D26" s="64">
        <v>0</v>
      </c>
      <c r="E26" s="19">
        <v>0</v>
      </c>
    </row>
    <row r="27" spans="1:5" x14ac:dyDescent="0.25">
      <c r="A27" s="53" t="s">
        <v>356</v>
      </c>
      <c r="B27" s="53"/>
      <c r="C27" s="55">
        <v>2338109.6399999997</v>
      </c>
      <c r="D27" s="55">
        <v>0</v>
      </c>
      <c r="E27" s="55">
        <v>2338109.6399999997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358</v>
      </c>
    </row>
    <row r="4" spans="4:8" x14ac:dyDescent="0.25">
      <c r="D4" s="4" t="s">
        <v>359</v>
      </c>
      <c r="E4" s="4" t="s">
        <v>360</v>
      </c>
      <c r="F4" s="4" t="s">
        <v>361</v>
      </c>
      <c r="G4" s="4" t="s">
        <v>362</v>
      </c>
      <c r="H4" s="4" t="s">
        <v>363</v>
      </c>
    </row>
    <row r="5" spans="4:8" x14ac:dyDescent="0.25">
      <c r="D5" t="s">
        <v>364</v>
      </c>
      <c r="E5" s="26">
        <v>0.5</v>
      </c>
      <c r="F5" s="26">
        <v>0.2</v>
      </c>
      <c r="G5" s="26">
        <v>0.2</v>
      </c>
      <c r="H5" s="26">
        <v>0.1</v>
      </c>
    </row>
    <row r="6" spans="2:3" x14ac:dyDescent="0.25">
      <c r="B6" t="s">
        <v>365</v>
      </c>
      <c r="C6" s="72" t="s">
        <v>366</v>
      </c>
    </row>
    <row r="7" spans="2:3" x14ac:dyDescent="0.25">
      <c r="B7" t="s">
        <v>367</v>
      </c>
      <c r="C7" s="72" t="s">
        <v>366</v>
      </c>
    </row>
    <row r="9" spans="1:6" x14ac:dyDescent="0.25">
      <c r="A9" s="24" t="s">
        <v>38</v>
      </c>
      <c r="B9" s="24" t="s">
        <v>335</v>
      </c>
      <c r="C9" s="24" t="s">
        <v>368</v>
      </c>
      <c r="D9" s="24" t="s">
        <v>369</v>
      </c>
      <c r="E9" s="24" t="s">
        <v>370</v>
      </c>
      <c r="F9" s="24" t="s">
        <v>371</v>
      </c>
    </row>
    <row r="10" spans="1:6" x14ac:dyDescent="0.25">
      <c r="A10" s="53"/>
      <c r="B10" s="55">
        <v>2685228.27</v>
      </c>
      <c r="C10" s="55">
        <v>2338109.6399999997</v>
      </c>
      <c r="D10" s="55">
        <v>347118.63000000035</v>
      </c>
      <c r="E10" s="56">
        <v>0.12926969147393952</v>
      </c>
      <c r="F10" s="55">
        <v>0</v>
      </c>
    </row>
    <row r="12" spans="1:14" x14ac:dyDescent="0.25">
      <c r="A12" s="25" t="s">
        <v>372</v>
      </c>
      <c r="E12" s="84" t="s">
        <v>373</v>
      </c>
      <c r="F12" s="84" t="s">
        <v>374</v>
      </c>
      <c r="G12" s="84" t="s">
        <v>375</v>
      </c>
      <c r="H12" s="84" t="s">
        <v>376</v>
      </c>
      <c r="I12" s="84" t="s">
        <v>377</v>
      </c>
      <c r="J12" s="84" t="s">
        <v>378</v>
      </c>
      <c r="K12" s="84" t="s">
        <v>379</v>
      </c>
      <c r="L12" s="84" t="s">
        <v>380</v>
      </c>
      <c r="M12" s="84" t="s">
        <v>381</v>
      </c>
      <c r="N12" s="84" t="s">
        <v>382</v>
      </c>
    </row>
    <row r="13" spans="1:4" x14ac:dyDescent="0.25">
      <c r="A13" s="3" t="s">
        <v>335</v>
      </c>
      <c r="C13" s="3" t="s">
        <v>383</v>
      </c>
      <c r="D13" s="3" t="s">
        <v>384</v>
      </c>
    </row>
    <row r="14" spans="1:14" x14ac:dyDescent="0.25">
      <c r="A14" s="32">
        <v>1</v>
      </c>
      <c r="B14" s="32"/>
      <c r="C14" s="63">
        <v>0</v>
      </c>
      <c r="D14" s="70" t="s">
        <v>38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64">
        <v>0</v>
      </c>
      <c r="D15" s="72" t="s">
        <v>38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63">
        <v>0</v>
      </c>
      <c r="D16" s="70" t="s">
        <v>38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64">
        <v>0</v>
      </c>
      <c r="D17" s="72" t="s">
        <v>38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63">
        <v>0</v>
      </c>
      <c r="D18" s="70" t="s">
        <v>38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64">
        <v>0</v>
      </c>
      <c r="D19" s="72" t="s">
        <v>38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63">
        <v>0</v>
      </c>
      <c r="D20" s="70" t="s">
        <v>38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64">
        <v>0</v>
      </c>
      <c r="D21" s="72" t="s">
        <v>38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63">
        <v>0</v>
      </c>
      <c r="D22" s="70" t="s">
        <v>38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64">
        <v>0</v>
      </c>
      <c r="D23" s="72" t="s">
        <v>38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65" t="s">
        <v>385</v>
      </c>
      <c r="B24" s="65"/>
      <c r="C24" s="66">
        <v>0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145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spans="2:4" s="12" customFormat="1" x14ac:dyDescent="0.25">
      <c r="B5" s="12" t="s">
        <v>44</v>
      </c>
      <c r="D5" s="13" t="s">
        <v>41</v>
      </c>
    </row>
    <row r="6" spans="2:6" x14ac:dyDescent="0.25" outlineLevel="1" collapsed="1">
      <c r="B6" s="14" t="s">
        <v>45</v>
      </c>
      <c r="C6" s="15">
        <f>'LED Cost Sheet'!T4</f>
        <v>29515.170000000002</v>
      </c>
      <c r="D6" s="15">
        <f>'LED Cost Sheet'!V4</f>
        <v>34723.73</v>
      </c>
      <c r="E6" s="15">
        <f>IFERROR(D6-C6,0)</f>
        <v>5208.56</v>
      </c>
      <c r="F6" s="16">
        <v>0.15</v>
      </c>
    </row>
    <row r="7" spans="2:6" x14ac:dyDescent="0.25" outlineLevel="1" collapsed="1">
      <c r="B7" s="14" t="s">
        <v>46</v>
      </c>
      <c r="C7" s="15">
        <f>'9A Underpass 1 - Install'!I26</f>
        <v>1312.5</v>
      </c>
      <c r="D7" s="15">
        <f>IFERROR(C7/(1-F7),0)</f>
        <v>1544.12</v>
      </c>
      <c r="E7" s="15">
        <f>IFERROR(D7-C7,0)</f>
        <v>231.62</v>
      </c>
      <c r="F7" s="16">
        <v>0.15</v>
      </c>
    </row>
    <row r="8" spans="2:6" x14ac:dyDescent="0.25" outlineLevel="1" collapsed="1">
      <c r="B8" s="14" t="s">
        <v>47</v>
      </c>
      <c r="C8" s="15">
        <f>'9A Underpass 1 - Install'!I35-'9A Underpass 1 - Install'!I34</f>
        <v>5468.75</v>
      </c>
      <c r="D8" s="15">
        <f>IFERROR(C8/(1-F8),0)</f>
        <v>6433.82</v>
      </c>
      <c r="E8" s="15">
        <f>IFERROR(D8-C8,0)</f>
        <v>965.07</v>
      </c>
      <c r="F8" s="16">
        <v>0.15</v>
      </c>
    </row>
    <row r="9" spans="2:6" x14ac:dyDescent="0.25" outlineLevel="1" collapsed="1">
      <c r="B9" s="14" t="s">
        <v>48</v>
      </c>
      <c r="C9" s="15">
        <f>'9A Underpass 1 - Install'!I44</f>
        <v>5468.75</v>
      </c>
      <c r="D9" s="15">
        <f>IFERROR(C9/(1-F9),0)</f>
        <v>6433.82</v>
      </c>
      <c r="E9" s="15">
        <f>IFERROR(D9-C9,0)</f>
        <v>965.07</v>
      </c>
      <c r="F9" s="16">
        <v>0.15</v>
      </c>
    </row>
    <row r="10" spans="2:6" x14ac:dyDescent="0.25" outlineLevel="1" collapsed="1">
      <c r="B10" s="14" t="s">
        <v>49</v>
      </c>
      <c r="C10" s="15">
        <f>'9A Underpass 1 - Install'!I34</f>
        <v>20882.35</v>
      </c>
      <c r="D10" s="15">
        <f>IFERROR(C10/(1-F10),0)</f>
        <v>24567.47</v>
      </c>
      <c r="E10" s="15">
        <f>IFERROR(D10-C10,0)</f>
        <v>3685.12</v>
      </c>
      <c r="F10" s="16">
        <v>0.15</v>
      </c>
    </row>
    <row r="11" spans="2:6" x14ac:dyDescent="0.25" outlineLevel="1" collapsed="1">
      <c r="B11" s="14" t="s">
        <v>50</v>
      </c>
      <c r="C11" s="15">
        <f>'9A Underpass 1 - Install'!I52</f>
        <v>4705.88</v>
      </c>
      <c r="D11" s="15">
        <f>IFERROR(C11/(1-F11),0)</f>
        <v>5536.33</v>
      </c>
      <c r="E11" s="15">
        <f>IFERROR(D11-C11,0)</f>
        <v>830.45</v>
      </c>
      <c r="F11" s="16">
        <v>0.15</v>
      </c>
    </row>
    <row r="12" spans="2:6" x14ac:dyDescent="0.25" outlineLevel="1" collapsed="1">
      <c r="B12" s="4" t="s">
        <v>51</v>
      </c>
      <c r="C12" s="17">
        <f>SUM(C6:C11)</f>
        <v>67353.4</v>
      </c>
      <c r="D12" s="17">
        <f>SUM(D6:D11)</f>
        <v>77897.05</v>
      </c>
      <c r="E12" s="17">
        <f>IFERROR(D12-C12,0)</f>
        <v>10543.65</v>
      </c>
      <c r="F12" s="18">
        <f>IFERROR(1-C12/D12,0)</f>
        <v>0.135354</v>
      </c>
    </row>
    <row r="13" spans="2:7" x14ac:dyDescent="0.25" outlineLevel="1" collapsed="1">
      <c r="B13" s="14" t="s">
        <v>52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53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54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55</v>
      </c>
      <c r="C16" s="22">
        <f>C12+C13+C14+C15</f>
        <v>67353.4</v>
      </c>
      <c r="D16" s="22">
        <f>D12+D13+D14+D15</f>
        <v>77897.05</v>
      </c>
      <c r="E16" s="22">
        <f>IFERROR(D16-C16,0)</f>
        <v>10543.650000000009</v>
      </c>
      <c r="F16" s="23">
        <f>IFERROR(1-C16/D16,0)</f>
        <v>0.13535364946426098</v>
      </c>
    </row>
    <row r="18" spans="2:4" s="12" customFormat="1" x14ac:dyDescent="0.25">
      <c r="B18" s="12" t="s">
        <v>56</v>
      </c>
      <c r="D18" s="13" t="s">
        <v>41</v>
      </c>
    </row>
    <row r="19" spans="2:6" x14ac:dyDescent="0.25" outlineLevel="1" collapsed="1">
      <c r="B19" s="14" t="s">
        <v>45</v>
      </c>
      <c r="C19" s="15">
        <f>'LED Cost Sheet'!T5</f>
        <v>57464.5</v>
      </c>
      <c r="D19" s="15">
        <f>'LED Cost Sheet'!V5</f>
        <v>67605.29</v>
      </c>
      <c r="E19" s="15">
        <f>IFERROR(D19-C19,0)</f>
        <v>10140.79</v>
      </c>
      <c r="F19" s="16">
        <v>0.15</v>
      </c>
    </row>
    <row r="20" spans="2:6" x14ac:dyDescent="0.25" outlineLevel="1" collapsed="1">
      <c r="B20" s="14" t="s">
        <v>46</v>
      </c>
      <c r="C20" s="15">
        <f>'9A Underpass 2 - Install'!I26</f>
        <v>2580</v>
      </c>
      <c r="D20" s="15">
        <f>IFERROR(C20/(1-F20),0)</f>
        <v>3035.29</v>
      </c>
      <c r="E20" s="15">
        <f>IFERROR(D20-C20,0)</f>
        <v>455.29</v>
      </c>
      <c r="F20" s="16">
        <v>0.15</v>
      </c>
    </row>
    <row r="21" spans="2:6" x14ac:dyDescent="0.25" outlineLevel="1" collapsed="1">
      <c r="B21" s="14" t="s">
        <v>47</v>
      </c>
      <c r="C21" s="15">
        <f>'9A Underpass 2 - Install'!I35-'9A Underpass 2 - Install'!I34</f>
        <v>10750</v>
      </c>
      <c r="D21" s="15">
        <f>IFERROR(C21/(1-F21),0)</f>
        <v>12647.06</v>
      </c>
      <c r="E21" s="15">
        <f>IFERROR(D21-C21,0)</f>
        <v>1897.06</v>
      </c>
      <c r="F21" s="16">
        <v>0.15</v>
      </c>
    </row>
    <row r="22" spans="2:6" x14ac:dyDescent="0.25" outlineLevel="1" collapsed="1">
      <c r="B22" s="14" t="s">
        <v>48</v>
      </c>
      <c r="C22" s="15">
        <f>'9A Underpass 2 - Install'!I44</f>
        <v>10750</v>
      </c>
      <c r="D22" s="15">
        <f>IFERROR(C22/(1-F22),0)</f>
        <v>12647.06</v>
      </c>
      <c r="E22" s="15">
        <f>IFERROR(D22-C22,0)</f>
        <v>1897.06</v>
      </c>
      <c r="F22" s="16">
        <v>0.15</v>
      </c>
    </row>
    <row r="23" spans="2:6" x14ac:dyDescent="0.25" outlineLevel="1" collapsed="1">
      <c r="B23" s="14" t="s">
        <v>49</v>
      </c>
      <c r="C23" s="15">
        <f>'9A Underpass 2 - Install'!I34</f>
        <v>20882.35</v>
      </c>
      <c r="D23" s="15">
        <f>IFERROR(C23/(1-F23),0)</f>
        <v>24567.47</v>
      </c>
      <c r="E23" s="15">
        <f>IFERROR(D23-C23,0)</f>
        <v>3685.12</v>
      </c>
      <c r="F23" s="16">
        <v>0.15</v>
      </c>
    </row>
    <row r="24" spans="2:6" x14ac:dyDescent="0.25" outlineLevel="1" collapsed="1">
      <c r="B24" s="14" t="s">
        <v>50</v>
      </c>
      <c r="C24" s="15">
        <f>'9A Underpass 2 - Install'!I52</f>
        <v>4705.88</v>
      </c>
      <c r="D24" s="15">
        <f>IFERROR(C24/(1-F24),0)</f>
        <v>5536.33</v>
      </c>
      <c r="E24" s="15">
        <f>IFERROR(D24-C24,0)</f>
        <v>830.45</v>
      </c>
      <c r="F24" s="16">
        <v>0.15</v>
      </c>
    </row>
    <row r="25" spans="2:6" x14ac:dyDescent="0.25" outlineLevel="1" collapsed="1">
      <c r="B25" s="4" t="s">
        <v>51</v>
      </c>
      <c r="C25" s="17">
        <f>SUM(C19:C24)</f>
        <v>107132.73</v>
      </c>
      <c r="D25" s="17">
        <f>SUM(D19:D24)</f>
        <v>123405.56</v>
      </c>
      <c r="E25" s="17">
        <f>IFERROR(D25-C25,0)</f>
        <v>16272.83</v>
      </c>
      <c r="F25" s="18">
        <f>IFERROR(1-C25/D25,0)</f>
        <v>0.131865</v>
      </c>
    </row>
    <row r="26" spans="2:7" x14ac:dyDescent="0.25" outlineLevel="1" collapsed="1">
      <c r="B26" s="14" t="s">
        <v>52</v>
      </c>
      <c r="C26" s="19">
        <v>0</v>
      </c>
      <c r="D26" s="19">
        <v>0</v>
      </c>
      <c r="E26" s="19">
        <v>0</v>
      </c>
      <c r="G26" s="20">
        <v>0</v>
      </c>
    </row>
    <row r="27" spans="2:7" x14ac:dyDescent="0.25" outlineLevel="1" collapsed="1">
      <c r="B27" s="14" t="s">
        <v>53</v>
      </c>
      <c r="C27" s="19">
        <v>0</v>
      </c>
      <c r="D27" s="19">
        <v>0</v>
      </c>
      <c r="E27" s="19">
        <v>0</v>
      </c>
      <c r="G27" s="20">
        <v>0</v>
      </c>
    </row>
    <row r="28" spans="2:7" x14ac:dyDescent="0.25" outlineLevel="1" collapsed="1">
      <c r="B28" s="14" t="s">
        <v>54</v>
      </c>
      <c r="C28" s="19">
        <v>0</v>
      </c>
      <c r="D28" s="19">
        <v>0</v>
      </c>
      <c r="E28" s="19">
        <v>0</v>
      </c>
      <c r="G28" s="20">
        <v>0</v>
      </c>
    </row>
    <row r="29" spans="2:6" x14ac:dyDescent="0.25">
      <c r="B29" s="21" t="s">
        <v>55</v>
      </c>
      <c r="C29" s="22">
        <f>C25+C26+C27+C28</f>
        <v>107132.73</v>
      </c>
      <c r="D29" s="22">
        <f>D25+D26+D27+D28</f>
        <v>123405.56</v>
      </c>
      <c r="E29" s="22">
        <f>IFERROR(D29-C29,0)</f>
        <v>16272.830000000002</v>
      </c>
      <c r="F29" s="23">
        <f>IFERROR(1-C29/D29,0)</f>
        <v>0.1318646420793358</v>
      </c>
    </row>
    <row r="31" spans="2:4" s="12" customFormat="1" x14ac:dyDescent="0.25">
      <c r="B31" s="12" t="s">
        <v>57</v>
      </c>
      <c r="D31" s="13" t="s">
        <v>41</v>
      </c>
    </row>
    <row r="32" spans="2:6" x14ac:dyDescent="0.25" outlineLevel="1" collapsed="1">
      <c r="B32" s="14" t="s">
        <v>45</v>
      </c>
      <c r="C32" s="15">
        <f>'LED Cost Sheet'!T6</f>
        <v>57464.5</v>
      </c>
      <c r="D32" s="15">
        <f>'LED Cost Sheet'!V6</f>
        <v>67605.29</v>
      </c>
      <c r="E32" s="15">
        <f>IFERROR(D32-C32,0)</f>
        <v>10140.79</v>
      </c>
      <c r="F32" s="16">
        <v>0.15</v>
      </c>
    </row>
    <row r="33" spans="2:6" x14ac:dyDescent="0.25" outlineLevel="1" collapsed="1">
      <c r="B33" s="14" t="s">
        <v>46</v>
      </c>
      <c r="C33" s="15">
        <f>'9A Underpass 3 - Install'!I26</f>
        <v>2580</v>
      </c>
      <c r="D33" s="15">
        <f>IFERROR(C33/(1-F33),0)</f>
        <v>3035.29</v>
      </c>
      <c r="E33" s="15">
        <f>IFERROR(D33-C33,0)</f>
        <v>455.29</v>
      </c>
      <c r="F33" s="16">
        <v>0.15</v>
      </c>
    </row>
    <row r="34" spans="2:6" x14ac:dyDescent="0.25" outlineLevel="1" collapsed="1">
      <c r="B34" s="14" t="s">
        <v>47</v>
      </c>
      <c r="C34" s="15">
        <f>'9A Underpass 3 - Install'!I35-'9A Underpass 3 - Install'!I34</f>
        <v>10750</v>
      </c>
      <c r="D34" s="15">
        <f>IFERROR(C34/(1-F34),0)</f>
        <v>12647.06</v>
      </c>
      <c r="E34" s="15">
        <f>IFERROR(D34-C34,0)</f>
        <v>1897.06</v>
      </c>
      <c r="F34" s="16">
        <v>0.15</v>
      </c>
    </row>
    <row r="35" spans="2:6" x14ac:dyDescent="0.25" outlineLevel="1" collapsed="1">
      <c r="B35" s="14" t="s">
        <v>48</v>
      </c>
      <c r="C35" s="15">
        <f>'9A Underpass 3 - Install'!I44</f>
        <v>10750</v>
      </c>
      <c r="D35" s="15">
        <f>IFERROR(C35/(1-F35),0)</f>
        <v>12647.06</v>
      </c>
      <c r="E35" s="15">
        <f>IFERROR(D35-C35,0)</f>
        <v>1897.06</v>
      </c>
      <c r="F35" s="16">
        <v>0.15</v>
      </c>
    </row>
    <row r="36" spans="2:6" x14ac:dyDescent="0.25" outlineLevel="1" collapsed="1">
      <c r="B36" s="14" t="s">
        <v>49</v>
      </c>
      <c r="C36" s="15">
        <f>'9A Underpass 3 - Install'!I34</f>
        <v>20882.35</v>
      </c>
      <c r="D36" s="15">
        <f>IFERROR(C36/(1-F36),0)</f>
        <v>24567.47</v>
      </c>
      <c r="E36" s="15">
        <f>IFERROR(D36-C36,0)</f>
        <v>3685.12</v>
      </c>
      <c r="F36" s="16">
        <v>0.15</v>
      </c>
    </row>
    <row r="37" spans="2:6" x14ac:dyDescent="0.25" outlineLevel="1" collapsed="1">
      <c r="B37" s="14" t="s">
        <v>50</v>
      </c>
      <c r="C37" s="15">
        <f>'9A Underpass 3 - Install'!I52</f>
        <v>4705.88</v>
      </c>
      <c r="D37" s="15">
        <f>IFERROR(C37/(1-F37),0)</f>
        <v>5536.33</v>
      </c>
      <c r="E37" s="15">
        <f>IFERROR(D37-C37,0)</f>
        <v>830.45</v>
      </c>
      <c r="F37" s="16">
        <v>0.15</v>
      </c>
    </row>
    <row r="38" spans="2:6" x14ac:dyDescent="0.25" outlineLevel="1" collapsed="1">
      <c r="B38" s="4" t="s">
        <v>51</v>
      </c>
      <c r="C38" s="17">
        <f>SUM(C32:C37)</f>
        <v>107132.73</v>
      </c>
      <c r="D38" s="17">
        <f>SUM(D32:D37)</f>
        <v>123405.56</v>
      </c>
      <c r="E38" s="17">
        <f>IFERROR(D38-C38,0)</f>
        <v>16272.83</v>
      </c>
      <c r="F38" s="18">
        <f>IFERROR(1-C38/D38,0)</f>
        <v>0.131865</v>
      </c>
    </row>
    <row r="39" spans="2:7" x14ac:dyDescent="0.25" outlineLevel="1" collapsed="1">
      <c r="B39" s="14" t="s">
        <v>52</v>
      </c>
      <c r="C39" s="19">
        <v>0</v>
      </c>
      <c r="D39" s="19">
        <v>0</v>
      </c>
      <c r="E39" s="19">
        <v>0</v>
      </c>
      <c r="G39" s="20">
        <v>0</v>
      </c>
    </row>
    <row r="40" spans="2:7" x14ac:dyDescent="0.25" outlineLevel="1" collapsed="1">
      <c r="B40" s="14" t="s">
        <v>53</v>
      </c>
      <c r="C40" s="19">
        <v>0</v>
      </c>
      <c r="D40" s="19">
        <v>0</v>
      </c>
      <c r="E40" s="19">
        <v>0</v>
      </c>
      <c r="G40" s="20">
        <v>0</v>
      </c>
    </row>
    <row r="41" spans="2:7" x14ac:dyDescent="0.25" outlineLevel="1" collapsed="1">
      <c r="B41" s="14" t="s">
        <v>54</v>
      </c>
      <c r="C41" s="19">
        <v>0</v>
      </c>
      <c r="D41" s="19">
        <v>0</v>
      </c>
      <c r="E41" s="19">
        <v>0</v>
      </c>
      <c r="G41" s="20">
        <v>0</v>
      </c>
    </row>
    <row r="42" spans="2:6" x14ac:dyDescent="0.25">
      <c r="B42" s="21" t="s">
        <v>55</v>
      </c>
      <c r="C42" s="22">
        <f>C38+C39+C40+C41</f>
        <v>107132.73</v>
      </c>
      <c r="D42" s="22">
        <f>D38+D39+D40+D41</f>
        <v>123405.56</v>
      </c>
      <c r="E42" s="22">
        <f>IFERROR(D42-C42,0)</f>
        <v>16272.830000000002</v>
      </c>
      <c r="F42" s="23">
        <f>IFERROR(1-C42/D42,0)</f>
        <v>0.1318646420793358</v>
      </c>
    </row>
    <row r="44" spans="2:4" s="12" customFormat="1" x14ac:dyDescent="0.25">
      <c r="B44" s="12" t="s">
        <v>58</v>
      </c>
      <c r="D44" s="13" t="s">
        <v>41</v>
      </c>
    </row>
    <row r="45" spans="2:6" x14ac:dyDescent="0.25" outlineLevel="1" collapsed="1">
      <c r="B45" s="14" t="s">
        <v>45</v>
      </c>
      <c r="C45" s="15">
        <f>'LED Cost Sheet'!T7</f>
        <v>108490.63999999998</v>
      </c>
      <c r="D45" s="15">
        <f>'LED Cost Sheet'!V7</f>
        <v>127636.05</v>
      </c>
      <c r="E45" s="15">
        <f>IFERROR(D45-C45,0)</f>
        <v>19145.41</v>
      </c>
      <c r="F45" s="16">
        <v>0.15</v>
      </c>
    </row>
    <row r="46" spans="2:6" x14ac:dyDescent="0.25" outlineLevel="1" collapsed="1">
      <c r="B46" s="14" t="s">
        <v>46</v>
      </c>
      <c r="C46" s="15">
        <f>'9A Underpass 4 - Install'!I26</f>
        <v>4342.5</v>
      </c>
      <c r="D46" s="15">
        <f>IFERROR(C46/(1-F46),0)</f>
        <v>5108.82</v>
      </c>
      <c r="E46" s="15">
        <f>IFERROR(D46-C46,0)</f>
        <v>766.32</v>
      </c>
      <c r="F46" s="16">
        <v>0.15</v>
      </c>
    </row>
    <row r="47" spans="2:6" x14ac:dyDescent="0.25" outlineLevel="1" collapsed="1">
      <c r="B47" s="14" t="s">
        <v>47</v>
      </c>
      <c r="C47" s="15">
        <f>'9A Underpass 4 - Install'!I35-'9A Underpass 4 - Install'!I34</f>
        <v>18093.75</v>
      </c>
      <c r="D47" s="15">
        <f>IFERROR(C47/(1-F47),0)</f>
        <v>21286.76</v>
      </c>
      <c r="E47" s="15">
        <f>IFERROR(D47-C47,0)</f>
        <v>3193.01</v>
      </c>
      <c r="F47" s="16">
        <v>0.15</v>
      </c>
    </row>
    <row r="48" spans="2:6" x14ac:dyDescent="0.25" outlineLevel="1" collapsed="1">
      <c r="B48" s="14" t="s">
        <v>48</v>
      </c>
      <c r="C48" s="15">
        <f>'9A Underpass 4 - Install'!I44</f>
        <v>18093.75</v>
      </c>
      <c r="D48" s="15">
        <f>IFERROR(C48/(1-F48),0)</f>
        <v>21286.76</v>
      </c>
      <c r="E48" s="15">
        <f>IFERROR(D48-C48,0)</f>
        <v>3193.01</v>
      </c>
      <c r="F48" s="16">
        <v>0.15</v>
      </c>
    </row>
    <row r="49" spans="2:6" x14ac:dyDescent="0.25" outlineLevel="1" collapsed="1">
      <c r="B49" s="14" t="s">
        <v>49</v>
      </c>
      <c r="C49" s="15">
        <f>'9A Underpass 4 - Install'!I34</f>
        <v>20882.35</v>
      </c>
      <c r="D49" s="15">
        <f>IFERROR(C49/(1-F49),0)</f>
        <v>24567.47</v>
      </c>
      <c r="E49" s="15">
        <f>IFERROR(D49-C49,0)</f>
        <v>3685.12</v>
      </c>
      <c r="F49" s="16">
        <v>0.15</v>
      </c>
    </row>
    <row r="50" spans="2:6" x14ac:dyDescent="0.25" outlineLevel="1" collapsed="1">
      <c r="B50" s="14" t="s">
        <v>50</v>
      </c>
      <c r="C50" s="15">
        <f>'9A Underpass 4 - Install'!I52</f>
        <v>4705.88</v>
      </c>
      <c r="D50" s="15">
        <f>IFERROR(C50/(1-F50),0)</f>
        <v>5536.33</v>
      </c>
      <c r="E50" s="15">
        <f>IFERROR(D50-C50,0)</f>
        <v>830.45</v>
      </c>
      <c r="F50" s="16">
        <v>0.15</v>
      </c>
    </row>
    <row r="51" spans="2:6" x14ac:dyDescent="0.25" outlineLevel="1" collapsed="1">
      <c r="B51" s="4" t="s">
        <v>51</v>
      </c>
      <c r="C51" s="17">
        <f>SUM(C45:C50)</f>
        <v>174608.87</v>
      </c>
      <c r="D51" s="17">
        <f>SUM(D45:D50)</f>
        <v>200987.02</v>
      </c>
      <c r="E51" s="17">
        <f>IFERROR(D51-C51,0)</f>
        <v>26378.15</v>
      </c>
      <c r="F51" s="18">
        <f>IFERROR(1-C51/D51,0)</f>
        <v>0.131243</v>
      </c>
    </row>
    <row r="52" spans="2:7" x14ac:dyDescent="0.25" outlineLevel="1" collapsed="1">
      <c r="B52" s="14" t="s">
        <v>52</v>
      </c>
      <c r="C52" s="19">
        <v>0</v>
      </c>
      <c r="D52" s="19">
        <v>0</v>
      </c>
      <c r="E52" s="19">
        <v>0</v>
      </c>
      <c r="G52" s="20">
        <v>0</v>
      </c>
    </row>
    <row r="53" spans="2:7" x14ac:dyDescent="0.25" outlineLevel="1" collapsed="1">
      <c r="B53" s="14" t="s">
        <v>53</v>
      </c>
      <c r="C53" s="19">
        <v>0</v>
      </c>
      <c r="D53" s="19">
        <v>0</v>
      </c>
      <c r="E53" s="19">
        <v>0</v>
      </c>
      <c r="G53" s="20">
        <v>0</v>
      </c>
    </row>
    <row r="54" spans="2:7" x14ac:dyDescent="0.25" outlineLevel="1" collapsed="1">
      <c r="B54" s="14" t="s">
        <v>54</v>
      </c>
      <c r="C54" s="19">
        <v>0</v>
      </c>
      <c r="D54" s="19">
        <v>0</v>
      </c>
      <c r="E54" s="19">
        <v>0</v>
      </c>
      <c r="G54" s="20">
        <v>0</v>
      </c>
    </row>
    <row r="55" spans="2:6" x14ac:dyDescent="0.25">
      <c r="B55" s="21" t="s">
        <v>55</v>
      </c>
      <c r="C55" s="22">
        <f>C51+C52+C53+C54</f>
        <v>174608.87</v>
      </c>
      <c r="D55" s="22">
        <f>D51+D52+D53+D54</f>
        <v>200987.02</v>
      </c>
      <c r="E55" s="22">
        <f>IFERROR(D55-C55,0)</f>
        <v>26378.149999999994</v>
      </c>
      <c r="F55" s="23">
        <f>IFERROR(1-C55/D55,0)</f>
        <v>0.13124305241204126</v>
      </c>
    </row>
    <row r="57" spans="2:4" s="12" customFormat="1" x14ac:dyDescent="0.25">
      <c r="B57" s="12" t="s">
        <v>59</v>
      </c>
      <c r="D57" s="13" t="s">
        <v>41</v>
      </c>
    </row>
    <row r="58" spans="2:6" x14ac:dyDescent="0.25" outlineLevel="1" collapsed="1">
      <c r="B58" s="14" t="s">
        <v>45</v>
      </c>
      <c r="C58" s="15">
        <f>'LED Cost Sheet'!T8</f>
        <v>703632.13</v>
      </c>
      <c r="D58" s="15">
        <f>'LED Cost Sheet'!V8</f>
        <v>827802.51</v>
      </c>
      <c r="E58" s="15">
        <f>IFERROR(D58-C58,0)</f>
        <v>124170.38</v>
      </c>
      <c r="F58" s="16">
        <v>0.15</v>
      </c>
    </row>
    <row r="59" spans="2:6" x14ac:dyDescent="0.25" outlineLevel="1" collapsed="1">
      <c r="B59" s="14" t="s">
        <v>46</v>
      </c>
      <c r="C59" s="15">
        <f>'Concourse - Install'!I26</f>
        <v>30536.25</v>
      </c>
      <c r="D59" s="15">
        <f>IFERROR(C59/(1-F59),0)</f>
        <v>35925</v>
      </c>
      <c r="E59" s="15">
        <f>IFERROR(D59-C59,0)</f>
        <v>5388.75</v>
      </c>
      <c r="F59" s="16">
        <v>0.15</v>
      </c>
    </row>
    <row r="60" spans="2:6" x14ac:dyDescent="0.25" outlineLevel="1" collapsed="1">
      <c r="B60" s="14" t="s">
        <v>47</v>
      </c>
      <c r="C60" s="15">
        <f>'Concourse - Install'!I35-'Concourse - Install'!I34</f>
        <v>127234.38</v>
      </c>
      <c r="D60" s="15">
        <f>IFERROR(C60/(1-F60),0)</f>
        <v>149687.51</v>
      </c>
      <c r="E60" s="15">
        <f>IFERROR(D60-C60,0)</f>
        <v>22453.13</v>
      </c>
      <c r="F60" s="16">
        <v>0.15</v>
      </c>
    </row>
    <row r="61" spans="2:6" x14ac:dyDescent="0.25" outlineLevel="1" collapsed="1">
      <c r="B61" s="14" t="s">
        <v>48</v>
      </c>
      <c r="C61" s="15">
        <f>'Concourse - Install'!I44</f>
        <v>127234.38</v>
      </c>
      <c r="D61" s="15">
        <f>IFERROR(C61/(1-F61),0)</f>
        <v>149687.51</v>
      </c>
      <c r="E61" s="15">
        <f>IFERROR(D61-C61,0)</f>
        <v>22453.13</v>
      </c>
      <c r="F61" s="16">
        <v>0.15</v>
      </c>
    </row>
    <row r="62" spans="2:6" x14ac:dyDescent="0.25" outlineLevel="1" collapsed="1">
      <c r="B62" s="14" t="s">
        <v>49</v>
      </c>
      <c r="C62" s="15">
        <f>'Concourse - Install'!I34</f>
        <v>20882.35</v>
      </c>
      <c r="D62" s="15">
        <f>IFERROR(C62/(1-F62),0)</f>
        <v>24567.47</v>
      </c>
      <c r="E62" s="15">
        <f>IFERROR(D62-C62,0)</f>
        <v>3685.12</v>
      </c>
      <c r="F62" s="16">
        <v>0.15</v>
      </c>
    </row>
    <row r="63" spans="2:6" x14ac:dyDescent="0.25" outlineLevel="1" collapsed="1">
      <c r="B63" s="14" t="s">
        <v>50</v>
      </c>
      <c r="C63" s="15">
        <f>'Concourse - Install'!I52</f>
        <v>4705.88</v>
      </c>
      <c r="D63" s="15">
        <f>IFERROR(C63/(1-F63),0)</f>
        <v>5536.33</v>
      </c>
      <c r="E63" s="15">
        <f>IFERROR(D63-C63,0)</f>
        <v>830.45</v>
      </c>
      <c r="F63" s="16">
        <v>0.15</v>
      </c>
    </row>
    <row r="64" spans="2:6" x14ac:dyDescent="0.25" outlineLevel="1" collapsed="1">
      <c r="B64" s="4" t="s">
        <v>51</v>
      </c>
      <c r="C64" s="17">
        <f>SUM(C58:C63)</f>
        <v>1014225.37</v>
      </c>
      <c r="D64" s="17">
        <f>SUM(D58:D63)</f>
        <v>1162042.44</v>
      </c>
      <c r="E64" s="17">
        <f>IFERROR(D64-C64,0)</f>
        <v>147817.07</v>
      </c>
      <c r="F64" s="18">
        <f>IFERROR(1-C64/D64,0)</f>
        <v>0.12720499999999998</v>
      </c>
    </row>
    <row r="65" spans="2:7" x14ac:dyDescent="0.25" outlineLevel="1" collapsed="1">
      <c r="B65" s="14" t="s">
        <v>52</v>
      </c>
      <c r="C65" s="19">
        <v>0</v>
      </c>
      <c r="D65" s="19">
        <v>0</v>
      </c>
      <c r="E65" s="19">
        <v>0</v>
      </c>
      <c r="G65" s="20">
        <v>0</v>
      </c>
    </row>
    <row r="66" spans="2:7" x14ac:dyDescent="0.25" outlineLevel="1" collapsed="1">
      <c r="B66" s="14" t="s">
        <v>53</v>
      </c>
      <c r="C66" s="19">
        <v>0</v>
      </c>
      <c r="D66" s="19">
        <v>0</v>
      </c>
      <c r="E66" s="19">
        <v>0</v>
      </c>
      <c r="G66" s="20">
        <v>0</v>
      </c>
    </row>
    <row r="67" spans="2:7" x14ac:dyDescent="0.25" outlineLevel="1" collapsed="1">
      <c r="B67" s="14" t="s">
        <v>54</v>
      </c>
      <c r="C67" s="19">
        <v>0</v>
      </c>
      <c r="D67" s="19">
        <v>0</v>
      </c>
      <c r="E67" s="19">
        <v>0</v>
      </c>
      <c r="G67" s="20">
        <v>0</v>
      </c>
    </row>
    <row r="68" spans="2:6" x14ac:dyDescent="0.25">
      <c r="B68" s="21" t="s">
        <v>55</v>
      </c>
      <c r="C68" s="22">
        <f>C64+C65+C66+C67</f>
        <v>1014225.37</v>
      </c>
      <c r="D68" s="22">
        <f>D64+D65+D66+D67</f>
        <v>1162042.44</v>
      </c>
      <c r="E68" s="22">
        <f>IFERROR(D68-C68,0)</f>
        <v>147817.06999999995</v>
      </c>
      <c r="F68" s="23">
        <f>IFERROR(1-C68/D68,0)</f>
        <v>0.12720453652277963</v>
      </c>
    </row>
    <row r="70" spans="2:4" s="12" customFormat="1" x14ac:dyDescent="0.25">
      <c r="B70" s="12" t="s">
        <v>60</v>
      </c>
      <c r="D70" s="13" t="s">
        <v>41</v>
      </c>
    </row>
    <row r="71" spans="2:6" x14ac:dyDescent="0.25" outlineLevel="1" collapsed="1">
      <c r="B71" s="14" t="s">
        <v>45</v>
      </c>
      <c r="C71" s="15">
        <f>'LED Cost Sheet'!T9</f>
        <v>112773.11</v>
      </c>
      <c r="D71" s="15">
        <f>'LED Cost Sheet'!V9</f>
        <v>132674.25</v>
      </c>
      <c r="E71" s="15">
        <f>IFERROR(D71-C71,0)</f>
        <v>19901.14</v>
      </c>
      <c r="F71" s="16">
        <v>0.15</v>
      </c>
    </row>
    <row r="72" spans="2:6" x14ac:dyDescent="0.25" outlineLevel="1" collapsed="1">
      <c r="B72" s="14" t="s">
        <v>46</v>
      </c>
      <c r="C72" s="15">
        <f>'T4 Elevator - Install'!I26</f>
        <v>4537.5</v>
      </c>
      <c r="D72" s="15">
        <f>IFERROR(C72/(1-F72),0)</f>
        <v>5338.24</v>
      </c>
      <c r="E72" s="15">
        <f>IFERROR(D72-C72,0)</f>
        <v>800.74</v>
      </c>
      <c r="F72" s="16">
        <v>0.15</v>
      </c>
    </row>
    <row r="73" spans="2:6" x14ac:dyDescent="0.25" outlineLevel="1" collapsed="1">
      <c r="B73" s="14" t="s">
        <v>47</v>
      </c>
      <c r="C73" s="15">
        <f>'T4 Elevator - Install'!I35-'T4 Elevator - Install'!I34</f>
        <v>18906.25</v>
      </c>
      <c r="D73" s="15">
        <f>IFERROR(C73/(1-F73),0)</f>
        <v>22242.65</v>
      </c>
      <c r="E73" s="15">
        <f>IFERROR(D73-C73,0)</f>
        <v>3336.4</v>
      </c>
      <c r="F73" s="16">
        <v>0.15</v>
      </c>
    </row>
    <row r="74" spans="2:6" x14ac:dyDescent="0.25" outlineLevel="1" collapsed="1">
      <c r="B74" s="14" t="s">
        <v>48</v>
      </c>
      <c r="C74" s="15">
        <f>'T4 Elevator - Install'!I44</f>
        <v>18906.25</v>
      </c>
      <c r="D74" s="15">
        <f>IFERROR(C74/(1-F74),0)</f>
        <v>22242.65</v>
      </c>
      <c r="E74" s="15">
        <f>IFERROR(D74-C74,0)</f>
        <v>3336.4</v>
      </c>
      <c r="F74" s="16">
        <v>0.15</v>
      </c>
    </row>
    <row r="75" spans="2:6" x14ac:dyDescent="0.25" outlineLevel="1" collapsed="1">
      <c r="B75" s="14" t="s">
        <v>49</v>
      </c>
      <c r="C75" s="15">
        <f>'T4 Elevator - Install'!I34</f>
        <v>20882.35</v>
      </c>
      <c r="D75" s="15">
        <f>IFERROR(C75/(1-F75),0)</f>
        <v>24567.47</v>
      </c>
      <c r="E75" s="15">
        <f>IFERROR(D75-C75,0)</f>
        <v>3685.12</v>
      </c>
      <c r="F75" s="16">
        <v>0.15</v>
      </c>
    </row>
    <row r="76" spans="2:6" x14ac:dyDescent="0.25" outlineLevel="1" collapsed="1">
      <c r="B76" s="14" t="s">
        <v>50</v>
      </c>
      <c r="C76" s="15">
        <f>'T4 Elevator - Install'!I52</f>
        <v>4705.88</v>
      </c>
      <c r="D76" s="15">
        <f>IFERROR(C76/(1-F76),0)</f>
        <v>5536.33</v>
      </c>
      <c r="E76" s="15">
        <f>IFERROR(D76-C76,0)</f>
        <v>830.45</v>
      </c>
      <c r="F76" s="16">
        <v>0.15</v>
      </c>
    </row>
    <row r="77" spans="2:6" x14ac:dyDescent="0.25" outlineLevel="1" collapsed="1">
      <c r="B77" s="4" t="s">
        <v>51</v>
      </c>
      <c r="C77" s="17">
        <f>SUM(C71:C76)</f>
        <v>180711.34</v>
      </c>
      <c r="D77" s="17">
        <f>SUM(D71:D76)</f>
        <v>207968.64</v>
      </c>
      <c r="E77" s="17">
        <f>IFERROR(D77-C77,0)</f>
        <v>27257.3</v>
      </c>
      <c r="F77" s="18">
        <f>IFERROR(1-C77/D77,0)</f>
        <v>0.131064</v>
      </c>
    </row>
    <row r="78" spans="2:7" x14ac:dyDescent="0.25" outlineLevel="1" collapsed="1">
      <c r="B78" s="14" t="s">
        <v>52</v>
      </c>
      <c r="C78" s="19">
        <v>0</v>
      </c>
      <c r="D78" s="19">
        <v>0</v>
      </c>
      <c r="E78" s="19">
        <v>0</v>
      </c>
      <c r="G78" s="20">
        <v>0</v>
      </c>
    </row>
    <row r="79" spans="2:7" x14ac:dyDescent="0.25" outlineLevel="1" collapsed="1">
      <c r="B79" s="14" t="s">
        <v>53</v>
      </c>
      <c r="C79" s="19">
        <v>0</v>
      </c>
      <c r="D79" s="19">
        <v>0</v>
      </c>
      <c r="E79" s="19">
        <v>0</v>
      </c>
      <c r="G79" s="20">
        <v>0</v>
      </c>
    </row>
    <row r="80" spans="2:7" x14ac:dyDescent="0.25" outlineLevel="1" collapsed="1">
      <c r="B80" s="14" t="s">
        <v>54</v>
      </c>
      <c r="C80" s="19">
        <v>0</v>
      </c>
      <c r="D80" s="19">
        <v>0</v>
      </c>
      <c r="E80" s="19">
        <v>0</v>
      </c>
      <c r="G80" s="20">
        <v>0</v>
      </c>
    </row>
    <row r="81" spans="2:6" x14ac:dyDescent="0.25">
      <c r="B81" s="21" t="s">
        <v>55</v>
      </c>
      <c r="C81" s="22">
        <f>C77+C78+C79+C80</f>
        <v>180711.34</v>
      </c>
      <c r="D81" s="22">
        <f>D77+D78+D79+D80</f>
        <v>207968.64</v>
      </c>
      <c r="E81" s="22">
        <f>IFERROR(D81-C81,0)</f>
        <v>27257.300000000017</v>
      </c>
      <c r="F81" s="23">
        <f>IFERROR(1-C81/D81,0)</f>
        <v>0.13106447202809046</v>
      </c>
    </row>
    <row r="83" spans="2:4" s="12" customFormat="1" x14ac:dyDescent="0.25">
      <c r="B83" s="12" t="s">
        <v>61</v>
      </c>
      <c r="D83" s="13" t="s">
        <v>41</v>
      </c>
    </row>
    <row r="84" spans="2:6" x14ac:dyDescent="0.25" outlineLevel="1" collapsed="1">
      <c r="B84" s="14" t="s">
        <v>45</v>
      </c>
      <c r="C84" s="15">
        <f>'LED Cost Sheet'!T10</f>
        <v>183646.37000000002</v>
      </c>
      <c r="D84" s="15">
        <f>'LED Cost Sheet'!V10</f>
        <v>216054.55</v>
      </c>
      <c r="E84" s="15">
        <f>IFERROR(D84-C84,0)</f>
        <v>32408.18</v>
      </c>
      <c r="F84" s="16">
        <v>0.15</v>
      </c>
    </row>
    <row r="85" spans="2:6" x14ac:dyDescent="0.25" outlineLevel="1" collapsed="1">
      <c r="B85" s="14" t="s">
        <v>46</v>
      </c>
      <c r="C85" s="15">
        <f>'New Path Hall Option 1 - Instal'!I26</f>
        <v>7740</v>
      </c>
      <c r="D85" s="15">
        <f>IFERROR(C85/(1-F85),0)</f>
        <v>9105.88</v>
      </c>
      <c r="E85" s="15">
        <f>IFERROR(D85-C85,0)</f>
        <v>1365.88</v>
      </c>
      <c r="F85" s="16">
        <v>0.15</v>
      </c>
    </row>
    <row r="86" spans="2:6" x14ac:dyDescent="0.25" outlineLevel="1" collapsed="1">
      <c r="B86" s="14" t="s">
        <v>47</v>
      </c>
      <c r="C86" s="15">
        <f>'New Path Hall Option 1 - Instal'!I35-'New Path Hall Option 1 - Instal'!I34</f>
        <v>32250</v>
      </c>
      <c r="D86" s="15">
        <f>IFERROR(C86/(1-F86),0)</f>
        <v>37941.18</v>
      </c>
      <c r="E86" s="15">
        <f>IFERROR(D86-C86,0)</f>
        <v>5691.18</v>
      </c>
      <c r="F86" s="16">
        <v>0.15</v>
      </c>
    </row>
    <row r="87" spans="2:6" x14ac:dyDescent="0.25" outlineLevel="1" collapsed="1">
      <c r="B87" s="14" t="s">
        <v>48</v>
      </c>
      <c r="C87" s="15">
        <f>'New Path Hall Option 1 - Instal'!I44</f>
        <v>32250</v>
      </c>
      <c r="D87" s="15">
        <f>IFERROR(C87/(1-F87),0)</f>
        <v>37941.18</v>
      </c>
      <c r="E87" s="15">
        <f>IFERROR(D87-C87,0)</f>
        <v>5691.18</v>
      </c>
      <c r="F87" s="16">
        <v>0.15</v>
      </c>
    </row>
    <row r="88" spans="2:6" x14ac:dyDescent="0.25" outlineLevel="1" collapsed="1">
      <c r="B88" s="14" t="s">
        <v>49</v>
      </c>
      <c r="C88" s="15">
        <f>'New Path Hall Option 1 - Instal'!I34</f>
        <v>20882.35</v>
      </c>
      <c r="D88" s="15">
        <f>IFERROR(C88/(1-F88),0)</f>
        <v>24567.47</v>
      </c>
      <c r="E88" s="15">
        <f>IFERROR(D88-C88,0)</f>
        <v>3685.12</v>
      </c>
      <c r="F88" s="16">
        <v>0.15</v>
      </c>
    </row>
    <row r="89" spans="2:6" x14ac:dyDescent="0.25" outlineLevel="1" collapsed="1">
      <c r="B89" s="14" t="s">
        <v>50</v>
      </c>
      <c r="C89" s="15">
        <f>'New Path Hall Option 1 - Instal'!I52</f>
        <v>4705.88</v>
      </c>
      <c r="D89" s="15">
        <f>IFERROR(C89/(1-F89),0)</f>
        <v>5536.33</v>
      </c>
      <c r="E89" s="15">
        <f>IFERROR(D89-C89,0)</f>
        <v>830.45</v>
      </c>
      <c r="F89" s="16">
        <v>0.15</v>
      </c>
    </row>
    <row r="90" spans="2:6" x14ac:dyDescent="0.25" outlineLevel="1" collapsed="1">
      <c r="B90" s="4" t="s">
        <v>51</v>
      </c>
      <c r="C90" s="17">
        <f>SUM(C84:C89)</f>
        <v>281474.6</v>
      </c>
      <c r="D90" s="17">
        <f>SUM(D84:D89)</f>
        <v>323240.71</v>
      </c>
      <c r="E90" s="17">
        <f>IFERROR(D90-C90,0)</f>
        <v>41766.11</v>
      </c>
      <c r="F90" s="18">
        <f>IFERROR(1-C90/D90,0)</f>
        <v>0.129211</v>
      </c>
    </row>
    <row r="91" spans="2:7" x14ac:dyDescent="0.25" outlineLevel="1" collapsed="1">
      <c r="B91" s="14" t="s">
        <v>52</v>
      </c>
      <c r="C91" s="19">
        <v>0</v>
      </c>
      <c r="D91" s="19">
        <v>0</v>
      </c>
      <c r="E91" s="19">
        <v>0</v>
      </c>
      <c r="G91" s="20">
        <v>0</v>
      </c>
    </row>
    <row r="92" spans="2:7" x14ac:dyDescent="0.25" outlineLevel="1" collapsed="1">
      <c r="B92" s="14" t="s">
        <v>53</v>
      </c>
      <c r="C92" s="19">
        <v>0</v>
      </c>
      <c r="D92" s="19">
        <v>0</v>
      </c>
      <c r="E92" s="19">
        <v>0</v>
      </c>
      <c r="G92" s="20">
        <v>0</v>
      </c>
    </row>
    <row r="93" spans="2:7" x14ac:dyDescent="0.25" outlineLevel="1" collapsed="1">
      <c r="B93" s="14" t="s">
        <v>54</v>
      </c>
      <c r="C93" s="19">
        <v>0</v>
      </c>
      <c r="D93" s="19">
        <v>0</v>
      </c>
      <c r="E93" s="19">
        <v>0</v>
      </c>
      <c r="G93" s="20">
        <v>0</v>
      </c>
    </row>
    <row r="94" spans="2:6" x14ac:dyDescent="0.25">
      <c r="B94" s="21" t="s">
        <v>55</v>
      </c>
      <c r="C94" s="22">
        <f>C90+C91+C92+C93</f>
        <v>281474.6</v>
      </c>
      <c r="D94" s="22">
        <f>D90+D91+D92+D93</f>
        <v>323240.71</v>
      </c>
      <c r="E94" s="22">
        <f>IFERROR(D94-C94,0)</f>
        <v>41766.110000000044</v>
      </c>
      <c r="F94" s="23">
        <f>IFERROR(1-C94/D94,0)</f>
        <v>0.12921055024288264</v>
      </c>
    </row>
    <row r="96" spans="2:4" s="12" customFormat="1" x14ac:dyDescent="0.25">
      <c r="B96" s="12" t="s">
        <v>62</v>
      </c>
      <c r="D96" s="13" t="s">
        <v>41</v>
      </c>
    </row>
    <row r="97" spans="2:6" x14ac:dyDescent="0.25" outlineLevel="1" collapsed="1">
      <c r="B97" s="14" t="s">
        <v>45</v>
      </c>
      <c r="C97" s="15">
        <f>'LED Cost Sheet'!T11</f>
        <v>227719.24</v>
      </c>
      <c r="D97" s="15">
        <f>'LED Cost Sheet'!V11</f>
        <v>267904.99</v>
      </c>
      <c r="E97" s="15">
        <f>IFERROR(D97-C97,0)</f>
        <v>40185.75</v>
      </c>
      <c r="F97" s="16">
        <v>0.15</v>
      </c>
    </row>
    <row r="98" spans="2:6" x14ac:dyDescent="0.25" outlineLevel="1" collapsed="1">
      <c r="B98" s="14" t="s">
        <v>46</v>
      </c>
      <c r="C98" s="15">
        <f>'New Path Hall Option 2 - Instal'!I26</f>
        <v>9735</v>
      </c>
      <c r="D98" s="15">
        <f>IFERROR(C98/(1-F98),0)</f>
        <v>11452.94</v>
      </c>
      <c r="E98" s="15">
        <f>IFERROR(D98-C98,0)</f>
        <v>1717.94</v>
      </c>
      <c r="F98" s="16">
        <v>0.15</v>
      </c>
    </row>
    <row r="99" spans="2:6" x14ac:dyDescent="0.25" outlineLevel="1" collapsed="1">
      <c r="B99" s="14" t="s">
        <v>47</v>
      </c>
      <c r="C99" s="15">
        <f>'New Path Hall Option 2 - Instal'!I35-'New Path Hall Option 2 - Instal'!I34</f>
        <v>40562.5</v>
      </c>
      <c r="D99" s="15">
        <f>IFERROR(C99/(1-F99),0)</f>
        <v>47720.59</v>
      </c>
      <c r="E99" s="15">
        <f>IFERROR(D99-C99,0)</f>
        <v>7158.09</v>
      </c>
      <c r="F99" s="16">
        <v>0.15</v>
      </c>
    </row>
    <row r="100" spans="2:6" x14ac:dyDescent="0.25" outlineLevel="1" collapsed="1">
      <c r="B100" s="14" t="s">
        <v>48</v>
      </c>
      <c r="C100" s="15">
        <f>'New Path Hall Option 2 - Instal'!I44</f>
        <v>40562.5</v>
      </c>
      <c r="D100" s="15">
        <f>IFERROR(C100/(1-F100),0)</f>
        <v>47720.59</v>
      </c>
      <c r="E100" s="15">
        <f>IFERROR(D100-C100,0)</f>
        <v>7158.09</v>
      </c>
      <c r="F100" s="16">
        <v>0.15</v>
      </c>
    </row>
    <row r="101" spans="2:6" x14ac:dyDescent="0.25" outlineLevel="1" collapsed="1">
      <c r="B101" s="14" t="s">
        <v>49</v>
      </c>
      <c r="C101" s="15">
        <f>'New Path Hall Option 2 - Instal'!I34</f>
        <v>20882.35</v>
      </c>
      <c r="D101" s="15">
        <f>IFERROR(C101/(1-F101),0)</f>
        <v>24567.47</v>
      </c>
      <c r="E101" s="15">
        <f>IFERROR(D101-C101,0)</f>
        <v>3685.12</v>
      </c>
      <c r="F101" s="16">
        <v>0.15</v>
      </c>
    </row>
    <row r="102" spans="2:6" x14ac:dyDescent="0.25" outlineLevel="1" collapsed="1">
      <c r="B102" s="14" t="s">
        <v>50</v>
      </c>
      <c r="C102" s="15">
        <f>'New Path Hall Option 2 - Instal'!I52</f>
        <v>4705.88</v>
      </c>
      <c r="D102" s="15">
        <f>IFERROR(C102/(1-F102),0)</f>
        <v>5536.33</v>
      </c>
      <c r="E102" s="15">
        <f>IFERROR(D102-C102,0)</f>
        <v>830.45</v>
      </c>
      <c r="F102" s="16">
        <v>0.15</v>
      </c>
    </row>
    <row r="103" spans="2:6" x14ac:dyDescent="0.25" outlineLevel="1" collapsed="1">
      <c r="B103" s="4" t="s">
        <v>51</v>
      </c>
      <c r="C103" s="17">
        <f>SUM(C97:C102)</f>
        <v>344167.47</v>
      </c>
      <c r="D103" s="17">
        <f>SUM(D97:D102)</f>
        <v>394961.73</v>
      </c>
      <c r="E103" s="17">
        <f>IFERROR(D103-C103,0)</f>
        <v>50794.26</v>
      </c>
      <c r="F103" s="18">
        <f>IFERROR(1-C103/D103,0)</f>
        <v>0.128606</v>
      </c>
    </row>
    <row r="104" spans="2:7" x14ac:dyDescent="0.25" outlineLevel="1" collapsed="1">
      <c r="B104" s="14" t="s">
        <v>52</v>
      </c>
      <c r="C104" s="19">
        <v>0</v>
      </c>
      <c r="D104" s="19">
        <v>0</v>
      </c>
      <c r="E104" s="19">
        <v>0</v>
      </c>
      <c r="G104" s="20">
        <v>0</v>
      </c>
    </row>
    <row r="105" spans="2:7" x14ac:dyDescent="0.25" outlineLevel="1" collapsed="1">
      <c r="B105" s="14" t="s">
        <v>53</v>
      </c>
      <c r="C105" s="19">
        <v>0</v>
      </c>
      <c r="D105" s="19">
        <v>0</v>
      </c>
      <c r="E105" s="19">
        <v>0</v>
      </c>
      <c r="G105" s="20">
        <v>0</v>
      </c>
    </row>
    <row r="106" spans="2:7" x14ac:dyDescent="0.25" outlineLevel="1" collapsed="1">
      <c r="B106" s="14" t="s">
        <v>54</v>
      </c>
      <c r="C106" s="19">
        <v>0</v>
      </c>
      <c r="D106" s="19">
        <v>0</v>
      </c>
      <c r="E106" s="19">
        <v>0</v>
      </c>
      <c r="G106" s="20">
        <v>0</v>
      </c>
    </row>
    <row r="107" spans="2:6" x14ac:dyDescent="0.25">
      <c r="B107" s="21" t="s">
        <v>55</v>
      </c>
      <c r="C107" s="22">
        <f>C103+C104+C105+C106</f>
        <v>344167.47</v>
      </c>
      <c r="D107" s="22">
        <f>D103+D104+D105+D106</f>
        <v>394961.73</v>
      </c>
      <c r="E107" s="22">
        <f>IFERROR(D107-C107,0)</f>
        <v>50794.26000000001</v>
      </c>
      <c r="F107" s="23">
        <f>IFERROR(1-C107/D107,0)</f>
        <v>0.12860552337564457</v>
      </c>
    </row>
    <row r="109" spans="2:4" s="12" customFormat="1" x14ac:dyDescent="0.25">
      <c r="B109" s="12" t="s">
        <v>63</v>
      </c>
      <c r="D109" s="13" t="s">
        <v>41</v>
      </c>
    </row>
    <row r="110" spans="2:6" x14ac:dyDescent="0.25" outlineLevel="1" collapsed="1">
      <c r="B110" s="14" t="s">
        <v>45</v>
      </c>
      <c r="C110" s="15">
        <v>0</v>
      </c>
      <c r="D110" s="15">
        <f>'LED Cost Sheet'!V12</f>
        <v>0</v>
      </c>
      <c r="E110" s="15">
        <f>IFERROR(D110-C110,0)</f>
        <v>0</v>
      </c>
      <c r="F110" s="16">
        <v>0.15</v>
      </c>
    </row>
    <row r="111" spans="2:6" x14ac:dyDescent="0.25" outlineLevel="1" collapsed="1">
      <c r="B111" s="14" t="s">
        <v>46</v>
      </c>
      <c r="C111" s="15">
        <v>0</v>
      </c>
      <c r="D111" s="15">
        <v>0</v>
      </c>
      <c r="E111" s="15">
        <v>0</v>
      </c>
      <c r="F111" s="16">
        <v>0.15</v>
      </c>
    </row>
    <row r="112" spans="2:6" x14ac:dyDescent="0.25" outlineLevel="1" collapsed="1">
      <c r="B112" s="14" t="s">
        <v>47</v>
      </c>
      <c r="C112" s="15">
        <v>0</v>
      </c>
      <c r="D112" s="15">
        <v>0</v>
      </c>
      <c r="E112" s="15">
        <v>0</v>
      </c>
      <c r="F112" s="16">
        <v>0.15</v>
      </c>
    </row>
    <row r="113" spans="2:6" x14ac:dyDescent="0.25" outlineLevel="1" collapsed="1">
      <c r="B113" s="14" t="s">
        <v>48</v>
      </c>
      <c r="C113" s="15">
        <v>0</v>
      </c>
      <c r="D113" s="15">
        <v>0</v>
      </c>
      <c r="E113" s="15">
        <v>0</v>
      </c>
      <c r="F113" s="16">
        <v>0.15</v>
      </c>
    </row>
    <row r="114" spans="2:6" x14ac:dyDescent="0.25" outlineLevel="1" collapsed="1">
      <c r="B114" s="14" t="s">
        <v>49</v>
      </c>
      <c r="C114" s="15">
        <f>'One Train - Install'!I34</f>
        <v>5882.35</v>
      </c>
      <c r="D114" s="15">
        <f>IFERROR(C114/(1-F114),0)</f>
        <v>6920.41</v>
      </c>
      <c r="E114" s="15">
        <f>IFERROR(D114-C114,0)</f>
        <v>1038.06</v>
      </c>
      <c r="F114" s="16">
        <v>0.15</v>
      </c>
    </row>
    <row r="115" spans="2:6" x14ac:dyDescent="0.25" outlineLevel="1" collapsed="1">
      <c r="B115" s="14" t="s">
        <v>50</v>
      </c>
      <c r="C115" s="15">
        <f>'One Train - Install'!I52</f>
        <v>4705.88</v>
      </c>
      <c r="D115" s="15">
        <f>IFERROR(C115/(1-F115),0)</f>
        <v>5536.33</v>
      </c>
      <c r="E115" s="15">
        <f>IFERROR(D115-C115,0)</f>
        <v>830.45</v>
      </c>
      <c r="F115" s="16">
        <v>0.15</v>
      </c>
    </row>
    <row r="116" spans="2:6" x14ac:dyDescent="0.25" outlineLevel="1" collapsed="1">
      <c r="B116" s="4" t="s">
        <v>51</v>
      </c>
      <c r="C116" s="17">
        <f>SUM(C110:C115)</f>
        <v>10588.23</v>
      </c>
      <c r="D116" s="17">
        <f>SUM(D110:D115)</f>
        <v>12456.74</v>
      </c>
      <c r="E116" s="17">
        <f>IFERROR(D116-C116,0)</f>
        <v>1868.51</v>
      </c>
      <c r="F116" s="18">
        <f>IFERROR(1-C116/D116,0)</f>
        <v>0.15</v>
      </c>
    </row>
    <row r="117" spans="2:7" x14ac:dyDescent="0.25" outlineLevel="1" collapsed="1">
      <c r="B117" s="14" t="s">
        <v>52</v>
      </c>
      <c r="C117" s="19">
        <v>0</v>
      </c>
      <c r="D117" s="19">
        <v>0</v>
      </c>
      <c r="E117" s="19">
        <v>0</v>
      </c>
      <c r="G117" s="20">
        <v>0</v>
      </c>
    </row>
    <row r="118" spans="2:7" x14ac:dyDescent="0.25" outlineLevel="1" collapsed="1">
      <c r="B118" s="14" t="s">
        <v>53</v>
      </c>
      <c r="C118" s="19">
        <v>0</v>
      </c>
      <c r="D118" s="19">
        <v>0</v>
      </c>
      <c r="E118" s="19">
        <v>0</v>
      </c>
      <c r="G118" s="20">
        <v>0</v>
      </c>
    </row>
    <row r="119" spans="2:7" x14ac:dyDescent="0.25" outlineLevel="1" collapsed="1">
      <c r="B119" s="14" t="s">
        <v>54</v>
      </c>
      <c r="C119" s="19">
        <v>0</v>
      </c>
      <c r="D119" s="19">
        <v>0</v>
      </c>
      <c r="E119" s="19">
        <v>0</v>
      </c>
      <c r="G119" s="20">
        <v>0</v>
      </c>
    </row>
    <row r="120" spans="2:6" x14ac:dyDescent="0.25">
      <c r="B120" s="21" t="s">
        <v>55</v>
      </c>
      <c r="C120" s="22">
        <f>C116+C117+C118+C119</f>
        <v>10588.23</v>
      </c>
      <c r="D120" s="22">
        <f>D116+D117+D118+D119</f>
        <v>12456.74</v>
      </c>
      <c r="E120" s="22">
        <f>IFERROR(D120-C120,0)</f>
        <v>1868.5100000000002</v>
      </c>
      <c r="F120" s="23">
        <f>IFERROR(1-C120/D120,0)</f>
        <v>0.14999991972217452</v>
      </c>
    </row>
    <row r="122" spans="2:4" s="12" customFormat="1" x14ac:dyDescent="0.25">
      <c r="B122" s="12" t="s">
        <v>64</v>
      </c>
      <c r="D122" s="13" t="s">
        <v>41</v>
      </c>
    </row>
    <row r="123" spans="2:6" x14ac:dyDescent="0.25" outlineLevel="1" collapsed="1">
      <c r="B123" s="14" t="s">
        <v>45</v>
      </c>
      <c r="C123" s="15">
        <f>'LED Cost Sheet'!T13</f>
        <v>17811.66</v>
      </c>
      <c r="D123" s="15">
        <f>'LED Cost Sheet'!V13</f>
        <v>20954.89</v>
      </c>
      <c r="E123" s="15">
        <f>IFERROR(D123-C123,0)</f>
        <v>3143.23</v>
      </c>
      <c r="F123" s="16">
        <v>0.15</v>
      </c>
    </row>
    <row r="124" spans="2:6" x14ac:dyDescent="0.25" outlineLevel="1" collapsed="1">
      <c r="B124" s="14" t="s">
        <v>46</v>
      </c>
      <c r="C124" s="15">
        <f>'T4-B2 - Install'!I26</f>
        <v>783.75</v>
      </c>
      <c r="D124" s="15">
        <f>IFERROR(C124/(1-F124),0)</f>
        <v>922.06</v>
      </c>
      <c r="E124" s="15">
        <f>IFERROR(D124-C124,0)</f>
        <v>138.31</v>
      </c>
      <c r="F124" s="16">
        <v>0.15</v>
      </c>
    </row>
    <row r="125" spans="2:6" x14ac:dyDescent="0.25" outlineLevel="1" collapsed="1">
      <c r="B125" s="14" t="s">
        <v>47</v>
      </c>
      <c r="C125" s="15">
        <f>'T4-B2 - Install'!I35-'T4-B2 - Install'!I34</f>
        <v>3265.63</v>
      </c>
      <c r="D125" s="15">
        <f>IFERROR(C125/(1-F125),0)</f>
        <v>3841.92</v>
      </c>
      <c r="E125" s="15">
        <f>IFERROR(D125-C125,0)</f>
        <v>576.29</v>
      </c>
      <c r="F125" s="16">
        <v>0.15</v>
      </c>
    </row>
    <row r="126" spans="2:6" x14ac:dyDescent="0.25" outlineLevel="1" collapsed="1">
      <c r="B126" s="14" t="s">
        <v>48</v>
      </c>
      <c r="C126" s="15">
        <f>'T4-B2 - Install'!I44</f>
        <v>3265.63</v>
      </c>
      <c r="D126" s="15">
        <f>IFERROR(C126/(1-F126),0)</f>
        <v>3841.92</v>
      </c>
      <c r="E126" s="15">
        <f>IFERROR(D126-C126,0)</f>
        <v>576.29</v>
      </c>
      <c r="F126" s="16">
        <v>0.15</v>
      </c>
    </row>
    <row r="127" spans="2:6" x14ac:dyDescent="0.25" outlineLevel="1" collapsed="1">
      <c r="B127" s="14" t="s">
        <v>49</v>
      </c>
      <c r="C127" s="15">
        <f>'T4-B2 - Install'!I34</f>
        <v>20882.35</v>
      </c>
      <c r="D127" s="15">
        <f>IFERROR(C127/(1-F127),0)</f>
        <v>24567.47</v>
      </c>
      <c r="E127" s="15">
        <f>IFERROR(D127-C127,0)</f>
        <v>3685.12</v>
      </c>
      <c r="F127" s="16">
        <v>0.15</v>
      </c>
    </row>
    <row r="128" spans="2:6" x14ac:dyDescent="0.25" outlineLevel="1" collapsed="1">
      <c r="B128" s="14" t="s">
        <v>50</v>
      </c>
      <c r="C128" s="15">
        <f>'T4-B2 - Install'!I52</f>
        <v>4705.88</v>
      </c>
      <c r="D128" s="15">
        <f>IFERROR(C128/(1-F128),0)</f>
        <v>5536.33</v>
      </c>
      <c r="E128" s="15">
        <f>IFERROR(D128-C128,0)</f>
        <v>830.45</v>
      </c>
      <c r="F128" s="16">
        <v>0.15</v>
      </c>
    </row>
    <row r="129" spans="2:6" x14ac:dyDescent="0.25" outlineLevel="1" collapsed="1">
      <c r="B129" s="4" t="s">
        <v>51</v>
      </c>
      <c r="C129" s="17">
        <f>SUM(C123:C128)</f>
        <v>50714.9</v>
      </c>
      <c r="D129" s="17">
        <f>SUM(D123:D128)</f>
        <v>58862.82</v>
      </c>
      <c r="E129" s="17">
        <f>IFERROR(D129-C129,0)</f>
        <v>8147.92</v>
      </c>
      <c r="F129" s="18">
        <f>IFERROR(1-C129/D129,0)</f>
        <v>0.138422</v>
      </c>
    </row>
    <row r="130" spans="2:7" x14ac:dyDescent="0.25" outlineLevel="1" collapsed="1">
      <c r="B130" s="14" t="s">
        <v>52</v>
      </c>
      <c r="C130" s="19">
        <v>0</v>
      </c>
      <c r="D130" s="19">
        <v>0</v>
      </c>
      <c r="E130" s="19">
        <v>0</v>
      </c>
      <c r="G130" s="20">
        <v>0</v>
      </c>
    </row>
    <row r="131" spans="2:7" x14ac:dyDescent="0.25" outlineLevel="1" collapsed="1">
      <c r="B131" s="14" t="s">
        <v>53</v>
      </c>
      <c r="C131" s="19">
        <v>0</v>
      </c>
      <c r="D131" s="19">
        <v>0</v>
      </c>
      <c r="E131" s="19">
        <v>0</v>
      </c>
      <c r="G131" s="20">
        <v>0</v>
      </c>
    </row>
    <row r="132" spans="2:7" x14ac:dyDescent="0.25" outlineLevel="1" collapsed="1">
      <c r="B132" s="14" t="s">
        <v>54</v>
      </c>
      <c r="C132" s="19">
        <v>0</v>
      </c>
      <c r="D132" s="19">
        <v>0</v>
      </c>
      <c r="E132" s="19">
        <v>0</v>
      </c>
      <c r="G132" s="20">
        <v>0</v>
      </c>
    </row>
    <row r="133" spans="2:6" x14ac:dyDescent="0.25">
      <c r="B133" s="21" t="s">
        <v>55</v>
      </c>
      <c r="C133" s="22">
        <f>C129+C130+C131+C132</f>
        <v>50714.9</v>
      </c>
      <c r="D133" s="22">
        <f>D129+D130+D131+D132</f>
        <v>58862.82</v>
      </c>
      <c r="E133" s="22">
        <f>IFERROR(D133-C133,0)</f>
        <v>8147.919999999998</v>
      </c>
      <c r="F133" s="23">
        <f>IFERROR(1-C133/D133,0)</f>
        <v>0.13842218228756287</v>
      </c>
    </row>
    <row r="136" ht="24" customHeight="1" spans="2:6" x14ac:dyDescent="0.25">
      <c r="B136" s="24" t="s">
        <v>65</v>
      </c>
      <c r="C136" s="24"/>
      <c r="D136" s="24"/>
      <c r="E136" s="24"/>
      <c r="F136" s="24"/>
    </row>
    <row r="137" spans="2:6" x14ac:dyDescent="0.25">
      <c r="B137" s="25" t="s">
        <v>66</v>
      </c>
      <c r="C137" s="19">
        <f>SUM(CMS!F26:F26)</f>
        <v>0</v>
      </c>
      <c r="D137" s="19">
        <f>SUM(CMS!H26:H26)</f>
        <v>0</v>
      </c>
      <c r="E137" s="19">
        <f>SUM(CMS!I26:I26)</f>
        <v>0</v>
      </c>
      <c r="F137" s="20">
        <v>0.15</v>
      </c>
    </row>
    <row r="138" spans="2:6" x14ac:dyDescent="0.25">
      <c r="B138" s="25" t="s">
        <v>67</v>
      </c>
      <c r="C138" s="19">
        <f>SUM(Scoring!F27:F27)</f>
        <v>0</v>
      </c>
      <c r="D138" s="19">
        <f>SUM(Scoring!H27:H27)</f>
        <v>0</v>
      </c>
      <c r="E138" s="19">
        <f>SUM(Scoring!I27:I27)</f>
        <v>0</v>
      </c>
      <c r="F138" s="20">
        <v>0.15</v>
      </c>
    </row>
    <row r="139" spans="2:6" x14ac:dyDescent="0.25">
      <c r="B139" s="25" t="s">
        <v>68</v>
      </c>
      <c r="C139" s="19">
        <f>SUM('Venue Services'!B17:B17)</f>
        <v>0</v>
      </c>
      <c r="D139" s="19">
        <f>SUM('Venue Services'!C17:C17)</f>
        <v>0</v>
      </c>
      <c r="E139" s="19">
        <f>SUM('Venue Services'!D17:D17)</f>
        <v>0</v>
      </c>
      <c r="F139" s="26">
        <v>0.15</v>
      </c>
    </row>
    <row r="140" spans="2:6" x14ac:dyDescent="0.25">
      <c r="B140" s="25" t="s">
        <v>69</v>
      </c>
      <c r="C140" s="19">
        <f>SUM('Additional Items'!F5:F5)</f>
        <v>0</v>
      </c>
      <c r="D140" s="19">
        <f>SUM('Additional Items'!H5:H5)</f>
        <v>0</v>
      </c>
      <c r="E140" s="19">
        <f>SUM('Additional Items'!I5:I5)</f>
        <v>0</v>
      </c>
      <c r="F140" s="26">
        <f>SUM('Additional Items'!G5:G5)</f>
        <v>0.15</v>
      </c>
    </row>
    <row r="141" spans="2:6" x14ac:dyDescent="0.25">
      <c r="B141" s="25" t="s">
        <v>70</v>
      </c>
      <c r="C141" s="19">
        <f>SUM('Additional Items'!F6:F6)</f>
        <v>0</v>
      </c>
      <c r="D141" s="19">
        <f>SUM('Additional Items'!H6:H6)</f>
        <v>0</v>
      </c>
      <c r="E141" s="19">
        <f>SUM('Additional Items'!I6:I6)</f>
        <v>0</v>
      </c>
      <c r="F141" s="26">
        <f>SUM('Additional Items'!G6:G6)</f>
        <v>0.15</v>
      </c>
    </row>
    <row r="142" spans="2:6" x14ac:dyDescent="0.25">
      <c r="B142" s="25" t="s">
        <v>71</v>
      </c>
      <c r="C142" s="19">
        <f>SUM('Additional Items'!F7:F7)</f>
        <v>0</v>
      </c>
      <c r="D142" s="19">
        <f>SUM('Additional Items'!H7:H7)</f>
        <v>0</v>
      </c>
      <c r="E142" s="19">
        <f>SUM('Additional Items'!I7:I7)</f>
        <v>0</v>
      </c>
      <c r="F142" s="26">
        <f>SUM('Additional Items'!G7:G7)</f>
        <v>0.15</v>
      </c>
    </row>
    <row r="143" spans="2:6" x14ac:dyDescent="0.25">
      <c r="B143" s="25" t="s">
        <v>72</v>
      </c>
      <c r="C143" s="19">
        <f>SUM('Additional Items'!F8:F8)</f>
        <v>0</v>
      </c>
      <c r="D143" s="19">
        <f>SUM('Additional Items'!H8:H8)</f>
        <v>0</v>
      </c>
      <c r="E143" s="19">
        <f>SUM('Additional Items'!I8:I8)</f>
        <v>0</v>
      </c>
      <c r="F143" s="26">
        <f>SUM('Additional Items'!G8:G8)</f>
        <v>0.15</v>
      </c>
    </row>
    <row r="145" spans="1:6" x14ac:dyDescent="0.25" outlineLevel="1" collapsed="1">
      <c r="A145" s="27"/>
      <c r="B145" s="28" t="s">
        <v>73</v>
      </c>
      <c r="C145" s="29">
        <f>SUM(C16,C29,C42,C55,C68,C81,C94,C107,C120,C133,C137,C138,C139,C140,C141,C142,C143)</f>
        <v>2338109.6399999997</v>
      </c>
      <c r="D145" s="29">
        <f>SUM(D16,D29,D42,D55,D68,D81,D94,D107,D120,D133,D137,D138,D139,D140,D141,D142,D143)</f>
        <v>2685228.27</v>
      </c>
      <c r="E145" s="29">
        <f>IFERROR(D145-C145,0)</f>
        <v>347118.63</v>
      </c>
      <c r="F145" s="30">
        <f>IFERROR(1-C145/D145,0)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74</v>
      </c>
      <c r="B1" s="1"/>
      <c r="C1" s="1"/>
      <c r="D1" s="1"/>
      <c r="E1" s="1"/>
      <c r="F1" s="1"/>
      <c r="G1" s="1"/>
    </row>
    <row r="2" spans="1:7" x14ac:dyDescent="0.25">
      <c r="A2" s="2" t="s">
        <v>75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38</v>
      </c>
      <c r="B4" s="31" t="s">
        <v>76</v>
      </c>
      <c r="C4" s="31" t="s">
        <v>40</v>
      </c>
      <c r="D4" s="31" t="s">
        <v>41</v>
      </c>
      <c r="E4" s="31" t="s">
        <v>42</v>
      </c>
      <c r="F4" s="31" t="s">
        <v>43</v>
      </c>
      <c r="G4" s="31" t="s">
        <v>77</v>
      </c>
    </row>
    <row r="5" spans="2:7" x14ac:dyDescent="0.25">
      <c r="B5" s="5" t="s">
        <v>78</v>
      </c>
      <c r="C5" s="19">
        <f>SUM('LED Cost Sheet'!Q4:Q13)</f>
        <v>1498517.3199999998</v>
      </c>
      <c r="D5" s="19">
        <f>SUM('LED Cost Sheet'!S4:S13)</f>
        <v>1762961.55</v>
      </c>
      <c r="E5" s="19">
        <f>IFERROR(D5-C5,0)</f>
        <v>264444.23</v>
      </c>
      <c r="F5" s="26">
        <v>0.15</v>
      </c>
      <c r="G5" s="19">
        <f>IFERROR(C5/5566.5599999999995,0)</f>
        <v>269.2</v>
      </c>
    </row>
    <row r="6" spans="1:7" x14ac:dyDescent="0.25">
      <c r="A6" s="32"/>
      <c r="B6" s="7" t="s">
        <v>79</v>
      </c>
      <c r="C6" s="33">
        <f>SUM('9A Underpass 1 - Install'!I26:I26)+SUM('9A Underpass 2 - Install'!I26:I26)+SUM('9A Underpass 3 - Install'!I26:I26)+SUM('9A Underpass 4 - Install'!I26:I26)+SUM('Concourse - Install'!I26:I26)+SUM('T4 Elevator - Install'!I26:I26)+SUM('New Path Hall Option 1 - Instal'!I26:I26)+SUM('New Path Hall Option 2 - Instal'!I26:I26)+SUM('One Train - Install'!I26:I26)+SUM('T4-B2 - Install'!I26:I26)</f>
        <v>64147.5</v>
      </c>
      <c r="D6" s="33">
        <f>SUM('9A Underpass 1 - Install'!K26:K26)+SUM('9A Underpass 2 - Install'!K26:K26)+SUM('9A Underpass 3 - Install'!K26:K26)+SUM('9A Underpass 4 - Install'!K26:K26)+SUM('Concourse - Install'!K26:K26)+SUM('T4 Elevator - Install'!K26:K26)+SUM('New Path Hall Option 1 - Instal'!K26:K26)+SUM('New Path Hall Option 2 - Instal'!K26:K26)+SUM('One Train - Install'!K26:K26)+SUM('T4-B2 - Install'!K26:K26)</f>
        <v>75467.65</v>
      </c>
      <c r="E6" s="33">
        <f>IFERROR(D6-C6,0)</f>
        <v>11320.15</v>
      </c>
      <c r="F6" s="34">
        <v>0.15</v>
      </c>
      <c r="G6" s="33">
        <f>IFERROR(C6/5566.5599999999995,0)</f>
        <v>11.52</v>
      </c>
    </row>
    <row r="7" spans="2:7" x14ac:dyDescent="0.25">
      <c r="B7" s="5" t="s">
        <v>80</v>
      </c>
      <c r="C7" s="19">
        <f>(SUM('9A Underpass 1 - Install'!I35:I35)-SUM('9A Underpass 1 - Install'!I34:I34))+(SUM('9A Underpass 2 - Install'!I35:I35)-SUM('9A Underpass 2 - Install'!I34:I34))+(SUM('9A Underpass 3 - Install'!I35:I35)-SUM('9A Underpass 3 - Install'!I34:I34))+(SUM('9A Underpass 4 - Install'!I35:I35)-SUM('9A Underpass 4 - Install'!I34:I34))+(SUM('Concourse - Install'!I35:I35)-SUM('Concourse - Install'!I34:I34))+(SUM('T4 Elevator - Install'!I35:I35)-SUM('T4 Elevator - Install'!I34:I34))+(SUM('New Path Hall Option 1 - Instal'!I35:I35)-SUM('New Path Hall Option 1 - Instal'!I34:I34))+(SUM('New Path Hall Option 2 - Instal'!I35:I35)-SUM('New Path Hall Option 2 - Instal'!I34:I34))+(SUM('One Train - Install'!I35:I35)-SUM('One Train - Install'!I34:I34))+(SUM('T4-B2 - Install'!I35:I35)-SUM('T4-B2 - Install'!I34:I34))</f>
        <v>267281.26</v>
      </c>
      <c r="D7" s="19">
        <f>(SUM('9A Underpass 1 - Install'!K35:K35)-SUM('9A Underpass 1 - Install'!K34:K34))+(SUM('9A Underpass 2 - Install'!K35:K35)-SUM('9A Underpass 2 - Install'!K34:K34))+(SUM('9A Underpass 3 - Install'!K35:K35)-SUM('9A Underpass 3 - Install'!K34:K34))+(SUM('9A Underpass 4 - Install'!K35:K35)-SUM('9A Underpass 4 - Install'!K34:K34))+(SUM('Concourse - Install'!K35:K35)-SUM('Concourse - Install'!K34:K34))+(SUM('T4 Elevator - Install'!K35:K35)-SUM('T4 Elevator - Install'!K34:K34))+(SUM('New Path Hall Option 1 - Instal'!K35:K35)-SUM('New Path Hall Option 1 - Instal'!K34:K34))+(SUM('New Path Hall Option 2 - Instal'!K35:K35)-SUM('New Path Hall Option 2 - Instal'!K34:K34))+(SUM('One Train - Install'!K35:K35)-SUM('One Train - Install'!K34:K34))+(SUM('T4-B2 - Install'!K35:K35)-SUM('T4-B2 - Install'!K34:K34))</f>
        <v>314448.54</v>
      </c>
      <c r="E7" s="19">
        <f>IFERROR(D7-C7,0)</f>
        <v>47167.28</v>
      </c>
      <c r="F7" s="26">
        <v>0.15</v>
      </c>
      <c r="G7" s="19">
        <f>IFERROR(C7/5566.5599999999995,0)</f>
        <v>48.02</v>
      </c>
    </row>
    <row r="8" spans="1:7" x14ac:dyDescent="0.25">
      <c r="A8" s="32"/>
      <c r="B8" s="7" t="s">
        <v>81</v>
      </c>
      <c r="C8" s="33">
        <f>SUM('9A Underpass 1 - Install'!I44:I44)+SUM('9A Underpass 2 - Install'!I44:I44)+SUM('9A Underpass 3 - Install'!I44:I44)+SUM('9A Underpass 4 - Install'!I44:I44)+SUM('Concourse - Install'!I44:I44)+SUM('T4 Elevator - Install'!I44:I44)+SUM('New Path Hall Option 1 - Instal'!I44:I44)+SUM('New Path Hall Option 2 - Instal'!I44:I44)+SUM('One Train - Install'!I44:I44)+SUM('T4-B2 - Install'!I44:I44)</f>
        <v>267281.26</v>
      </c>
      <c r="D8" s="33">
        <f>SUM('9A Underpass 1 - Install'!K44:K44)+SUM('9A Underpass 2 - Install'!K44:K44)+SUM('9A Underpass 3 - Install'!K44:K44)+SUM('9A Underpass 4 - Install'!K44:K44)+SUM('Concourse - Install'!K44:K44)+SUM('T4 Elevator - Install'!K44:K44)+SUM('New Path Hall Option 1 - Instal'!K44:K44)+SUM('New Path Hall Option 2 - Instal'!K44:K44)+SUM('One Train - Install'!K44:K44)+SUM('T4-B2 - Install'!K44:K44)</f>
        <v>314448.54</v>
      </c>
      <c r="E8" s="33">
        <f>IFERROR(D8-C8,0)</f>
        <v>47167.28</v>
      </c>
      <c r="F8" s="34">
        <v>0.15</v>
      </c>
      <c r="G8" s="33">
        <f>IFERROR(C8/5566.5599999999995,0)</f>
        <v>48.02</v>
      </c>
    </row>
    <row r="9" spans="2:7" x14ac:dyDescent="0.25">
      <c r="B9" s="5" t="s">
        <v>82</v>
      </c>
      <c r="C9" s="19">
        <f>SUM('9A Underpass 1 - Install'!I34:I34)+SUM('9A Underpass 2 - Install'!I34:I34)+SUM('9A Underpass 3 - Install'!I34:I34)+SUM('9A Underpass 4 - Install'!I34:I34)+SUM('Concourse - Install'!I34:I34)+SUM('T4 Elevator - Install'!I34:I34)+SUM('New Path Hall Option 1 - Instal'!I34:I34)+SUM('New Path Hall Option 2 - Instal'!I34:I34)+SUM('One Train - Install'!I34:I34)+SUM('T4-B2 - Install'!I34:I34)</f>
        <v>193823.50000000003</v>
      </c>
      <c r="D9" s="19">
        <f>SUM('9A Underpass 1 - Install'!K34:K34)+SUM('9A Underpass 2 - Install'!K34:K34)+SUM('9A Underpass 3 - Install'!K34:K34)+SUM('9A Underpass 4 - Install'!K34:K34)+SUM('Concourse - Install'!K34:K34)+SUM('T4 Elevator - Install'!K34:K34)+SUM('New Path Hall Option 1 - Instal'!K34:K34)+SUM('New Path Hall Option 2 - Instal'!K34:K34)+SUM('One Train - Install'!K34:K34)+SUM('T4-B2 - Install'!K34:K34)</f>
        <v>228027.65</v>
      </c>
      <c r="E9" s="19">
        <f>IFERROR(D9-C9,0)</f>
        <v>34204.15</v>
      </c>
      <c r="F9" s="26">
        <v>0.15</v>
      </c>
      <c r="G9" s="19" t="s">
        <v>38</v>
      </c>
    </row>
    <row r="10" spans="1:7" x14ac:dyDescent="0.25">
      <c r="A10" s="32"/>
      <c r="B10" s="7" t="s">
        <v>83</v>
      </c>
      <c r="C10" s="33">
        <f>SUM('9A Underpass 1 - Install'!I52:I52)+SUM('9A Underpass 2 - Install'!I52:I52)+SUM('9A Underpass 3 - Install'!I52:I52)+SUM('9A Underpass 4 - Install'!I52:I52)+SUM('Concourse - Install'!I52:I52)+SUM('T4 Elevator - Install'!I52:I52)+SUM('New Path Hall Option 1 - Instal'!I52:I52)+SUM('New Path Hall Option 2 - Instal'!I52:I52)+SUM('One Train - Install'!I52:I52)+SUM('T4-B2 - Install'!I52:I52)</f>
        <v>47058.799999999996</v>
      </c>
      <c r="D10" s="33">
        <f>SUM('9A Underpass 1 - Install'!K52:K52)+SUM('9A Underpass 2 - Install'!K52:K52)+SUM('9A Underpass 3 - Install'!K52:K52)+SUM('9A Underpass 4 - Install'!K52:K52)+SUM('Concourse - Install'!K52:K52)+SUM('T4 Elevator - Install'!K52:K52)+SUM('New Path Hall Option 1 - Instal'!K52:K52)+SUM('New Path Hall Option 2 - Instal'!K52:K52)+SUM('One Train - Install'!K52:K52)+SUM('T4-B2 - Install'!K52:K52)</f>
        <v>55363.29</v>
      </c>
      <c r="E10" s="33">
        <f>IFERROR(D10-C10,0)</f>
        <v>8304.49</v>
      </c>
      <c r="F10" s="34">
        <v>0.15</v>
      </c>
      <c r="G10" s="33" t="s">
        <v>38</v>
      </c>
    </row>
    <row r="11" spans="2:7" x14ac:dyDescent="0.25">
      <c r="B11" s="5" t="s">
        <v>66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38</v>
      </c>
    </row>
    <row r="12" spans="1:7" x14ac:dyDescent="0.25">
      <c r="A12" s="32"/>
      <c r="B12" s="7" t="s">
        <v>67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38</v>
      </c>
    </row>
    <row r="13" spans="2:7" x14ac:dyDescent="0.25">
      <c r="B13" s="5" t="s">
        <v>68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38</v>
      </c>
    </row>
    <row r="14" spans="1:7" x14ac:dyDescent="0.25">
      <c r="A14" s="32"/>
      <c r="B14" s="7" t="s">
        <v>69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38</v>
      </c>
    </row>
    <row r="15" spans="2:7" x14ac:dyDescent="0.25">
      <c r="B15" s="5" t="s">
        <v>70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38</v>
      </c>
    </row>
    <row r="16" spans="1:7" x14ac:dyDescent="0.25">
      <c r="A16" s="32"/>
      <c r="B16" s="7" t="s">
        <v>71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38</v>
      </c>
    </row>
    <row r="17" spans="2:7" x14ac:dyDescent="0.25">
      <c r="B17" s="5" t="s">
        <v>72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38</v>
      </c>
    </row>
    <row r="19" spans="1:7" x14ac:dyDescent="0.25">
      <c r="A19" s="35"/>
      <c r="B19" s="35" t="s">
        <v>84</v>
      </c>
      <c r="C19" s="36">
        <f>SUM(C5:C17)</f>
        <v>2338109.6399999997</v>
      </c>
      <c r="D19" s="36">
        <f>SUM(D5:D17)</f>
        <v>2685228.27</v>
      </c>
      <c r="E19" s="36">
        <f>IFERROR(D19-C19,0)</f>
        <v>347118.63</v>
      </c>
      <c r="F19" s="37">
        <f>IFERROR(1-C19/D19,0)</f>
        <v>0.13</v>
      </c>
      <c r="G19" s="36">
        <f>IFERROR(C19/5566.5599999999995,0)</f>
        <v>420.03</v>
      </c>
    </row>
    <row r="20" spans="1:7" x14ac:dyDescent="0.25">
      <c r="A20" s="32"/>
      <c r="B20" s="32" t="s">
        <v>85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86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87</v>
      </c>
      <c r="C22" s="29">
        <f>C19+C20+C21</f>
        <v>2338109.64</v>
      </c>
      <c r="D22" s="29">
        <f>D19+D20+D21</f>
        <v>2685228.27</v>
      </c>
      <c r="E22" s="29">
        <f>IFERROR(D22-C22,0)</f>
        <v>347118.63</v>
      </c>
      <c r="F22" s="30">
        <f>IFERROR(1-C22/D22,0)</f>
        <v>0.13</v>
      </c>
      <c r="G22" s="29">
        <f>IFERROR(C22/5566.5599999999995,0)</f>
        <v>420.03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386</v>
      </c>
      <c r="B1" s="1"/>
      <c r="C1" s="1"/>
      <c r="D1" s="1"/>
      <c r="E1" s="1"/>
    </row>
    <row r="3" spans="1:5" x14ac:dyDescent="0.25">
      <c r="A3" s="24" t="s">
        <v>387</v>
      </c>
      <c r="B3" s="24" t="s">
        <v>94</v>
      </c>
      <c r="C3" s="24" t="s">
        <v>388</v>
      </c>
      <c r="D3" s="24" t="s">
        <v>389</v>
      </c>
      <c r="E3" s="24" t="s">
        <v>76</v>
      </c>
    </row>
    <row r="4" spans="1:5" x14ac:dyDescent="0.25">
      <c r="A4" s="70" t="s">
        <v>38</v>
      </c>
      <c r="B4" s="70" t="s">
        <v>38</v>
      </c>
      <c r="C4" s="70" t="s">
        <v>38</v>
      </c>
      <c r="D4" s="63">
        <v>0</v>
      </c>
      <c r="E4" s="70" t="s">
        <v>38</v>
      </c>
    </row>
    <row r="5" spans="1:5" x14ac:dyDescent="0.25">
      <c r="A5" s="72" t="s">
        <v>38</v>
      </c>
      <c r="B5" s="72" t="s">
        <v>38</v>
      </c>
      <c r="C5" s="72" t="s">
        <v>38</v>
      </c>
      <c r="D5" s="64">
        <v>0</v>
      </c>
      <c r="E5" s="72" t="s">
        <v>38</v>
      </c>
    </row>
    <row r="6" spans="1:5" x14ac:dyDescent="0.25">
      <c r="A6" s="70" t="s">
        <v>38</v>
      </c>
      <c r="B6" s="70" t="s">
        <v>38</v>
      </c>
      <c r="C6" s="70" t="s">
        <v>38</v>
      </c>
      <c r="D6" s="63">
        <v>0</v>
      </c>
      <c r="E6" s="70" t="s">
        <v>38</v>
      </c>
    </row>
    <row r="7" spans="1:5" x14ac:dyDescent="0.25">
      <c r="A7" s="72" t="s">
        <v>38</v>
      </c>
      <c r="B7" s="72" t="s">
        <v>38</v>
      </c>
      <c r="C7" s="72" t="s">
        <v>38</v>
      </c>
      <c r="D7" s="64">
        <v>0</v>
      </c>
      <c r="E7" s="72" t="s">
        <v>38</v>
      </c>
    </row>
    <row r="8" spans="1:5" x14ac:dyDescent="0.25">
      <c r="A8" s="70" t="s">
        <v>38</v>
      </c>
      <c r="B8" s="70" t="s">
        <v>38</v>
      </c>
      <c r="C8" s="70" t="s">
        <v>38</v>
      </c>
      <c r="D8" s="63">
        <v>0</v>
      </c>
      <c r="E8" s="70" t="s">
        <v>38</v>
      </c>
    </row>
    <row r="9" spans="1:5" x14ac:dyDescent="0.25">
      <c r="A9" s="72" t="s">
        <v>38</v>
      </c>
      <c r="B9" s="72" t="s">
        <v>38</v>
      </c>
      <c r="C9" s="72" t="s">
        <v>38</v>
      </c>
      <c r="D9" s="64">
        <v>0</v>
      </c>
      <c r="E9" s="72" t="s">
        <v>38</v>
      </c>
    </row>
    <row r="10" spans="1:5" x14ac:dyDescent="0.25">
      <c r="A10" s="70" t="s">
        <v>38</v>
      </c>
      <c r="B10" s="70" t="s">
        <v>38</v>
      </c>
      <c r="C10" s="70" t="s">
        <v>38</v>
      </c>
      <c r="D10" s="63">
        <v>0</v>
      </c>
      <c r="E10" s="70" t="s">
        <v>38</v>
      </c>
    </row>
    <row r="11" spans="1:5" x14ac:dyDescent="0.25">
      <c r="A11" s="72" t="s">
        <v>38</v>
      </c>
      <c r="B11" s="72" t="s">
        <v>38</v>
      </c>
      <c r="C11" s="72" t="s">
        <v>38</v>
      </c>
      <c r="D11" s="64">
        <v>0</v>
      </c>
      <c r="E11" s="72" t="s">
        <v>38</v>
      </c>
    </row>
    <row r="12" spans="1:5" x14ac:dyDescent="0.25">
      <c r="A12" s="70" t="s">
        <v>38</v>
      </c>
      <c r="B12" s="70" t="s">
        <v>38</v>
      </c>
      <c r="C12" s="70" t="s">
        <v>38</v>
      </c>
      <c r="D12" s="63">
        <v>0</v>
      </c>
      <c r="E12" s="70" t="s">
        <v>38</v>
      </c>
    </row>
    <row r="13" spans="1:5" x14ac:dyDescent="0.25">
      <c r="A13" s="72" t="s">
        <v>38</v>
      </c>
      <c r="B13" s="72" t="s">
        <v>38</v>
      </c>
      <c r="C13" s="72" t="s">
        <v>38</v>
      </c>
      <c r="D13" s="64">
        <v>0</v>
      </c>
      <c r="E13" s="72" t="s">
        <v>38</v>
      </c>
    </row>
    <row r="14" spans="1:5" x14ac:dyDescent="0.25">
      <c r="A14" s="70" t="s">
        <v>38</v>
      </c>
      <c r="B14" s="70" t="s">
        <v>38</v>
      </c>
      <c r="C14" s="70" t="s">
        <v>38</v>
      </c>
      <c r="D14" s="63">
        <v>0</v>
      </c>
      <c r="E14" s="70" t="s">
        <v>38</v>
      </c>
    </row>
    <row r="15" spans="1:5" x14ac:dyDescent="0.25">
      <c r="A15" s="72" t="s">
        <v>38</v>
      </c>
      <c r="B15" s="72" t="s">
        <v>38</v>
      </c>
      <c r="C15" s="72" t="s">
        <v>38</v>
      </c>
      <c r="D15" s="64">
        <v>0</v>
      </c>
      <c r="E15" s="72" t="s">
        <v>38</v>
      </c>
    </row>
    <row r="16" spans="1:5" x14ac:dyDescent="0.25">
      <c r="A16" s="70" t="s">
        <v>38</v>
      </c>
      <c r="B16" s="70" t="s">
        <v>38</v>
      </c>
      <c r="C16" s="70" t="s">
        <v>38</v>
      </c>
      <c r="D16" s="63">
        <v>0</v>
      </c>
      <c r="E16" s="70" t="s">
        <v>38</v>
      </c>
    </row>
    <row r="17" spans="1:5" x14ac:dyDescent="0.25">
      <c r="A17" s="72" t="s">
        <v>38</v>
      </c>
      <c r="B17" s="72" t="s">
        <v>38</v>
      </c>
      <c r="C17" s="72" t="s">
        <v>38</v>
      </c>
      <c r="D17" s="64">
        <v>0</v>
      </c>
      <c r="E17" s="72" t="s">
        <v>38</v>
      </c>
    </row>
    <row r="18" spans="1:5" x14ac:dyDescent="0.25">
      <c r="A18" s="70" t="s">
        <v>38</v>
      </c>
      <c r="B18" s="70" t="s">
        <v>38</v>
      </c>
      <c r="C18" s="70" t="s">
        <v>38</v>
      </c>
      <c r="D18" s="63">
        <v>0</v>
      </c>
      <c r="E18" s="70" t="s">
        <v>38</v>
      </c>
    </row>
    <row r="19" spans="1:5" x14ac:dyDescent="0.25">
      <c r="A19" s="72" t="s">
        <v>38</v>
      </c>
      <c r="B19" s="72" t="s">
        <v>38</v>
      </c>
      <c r="C19" s="72" t="s">
        <v>38</v>
      </c>
      <c r="D19" s="64">
        <v>0</v>
      </c>
      <c r="E19" s="72" t="s">
        <v>38</v>
      </c>
    </row>
    <row r="20" spans="1:5" x14ac:dyDescent="0.25">
      <c r="A20" s="70" t="s">
        <v>38</v>
      </c>
      <c r="B20" s="70" t="s">
        <v>38</v>
      </c>
      <c r="C20" s="70" t="s">
        <v>38</v>
      </c>
      <c r="D20" s="63">
        <v>0</v>
      </c>
      <c r="E20" s="70" t="s">
        <v>38</v>
      </c>
    </row>
    <row r="21" spans="1:5" x14ac:dyDescent="0.25">
      <c r="A21" s="72" t="s">
        <v>38</v>
      </c>
      <c r="B21" s="72" t="s">
        <v>38</v>
      </c>
      <c r="C21" s="72" t="s">
        <v>38</v>
      </c>
      <c r="D21" s="64">
        <v>0</v>
      </c>
      <c r="E21" s="72" t="s">
        <v>38</v>
      </c>
    </row>
    <row r="22" spans="1:5" x14ac:dyDescent="0.25">
      <c r="A22" s="70" t="s">
        <v>38</v>
      </c>
      <c r="B22" s="70" t="s">
        <v>38</v>
      </c>
      <c r="C22" s="70" t="s">
        <v>38</v>
      </c>
      <c r="D22" s="63">
        <v>0</v>
      </c>
      <c r="E22" s="70" t="s">
        <v>38</v>
      </c>
    </row>
    <row r="23" spans="1:5" x14ac:dyDescent="0.25">
      <c r="A23" s="72" t="s">
        <v>38</v>
      </c>
      <c r="B23" s="72" t="s">
        <v>38</v>
      </c>
      <c r="C23" s="72" t="s">
        <v>38</v>
      </c>
      <c r="D23" s="64">
        <v>0</v>
      </c>
      <c r="E23" s="72" t="s">
        <v>38</v>
      </c>
    </row>
    <row r="24" spans="1:5" x14ac:dyDescent="0.25">
      <c r="A24" s="70" t="s">
        <v>38</v>
      </c>
      <c r="B24" s="70" t="s">
        <v>38</v>
      </c>
      <c r="C24" s="70" t="s">
        <v>38</v>
      </c>
      <c r="D24" s="63">
        <v>0</v>
      </c>
      <c r="E24" s="70" t="s">
        <v>38</v>
      </c>
    </row>
    <row r="25" spans="1:5" x14ac:dyDescent="0.25">
      <c r="A25" s="72" t="s">
        <v>38</v>
      </c>
      <c r="B25" s="72" t="s">
        <v>38</v>
      </c>
      <c r="C25" s="72" t="s">
        <v>38</v>
      </c>
      <c r="D25" s="64">
        <v>0</v>
      </c>
      <c r="E25" s="72" t="s">
        <v>38</v>
      </c>
    </row>
    <row r="26" spans="1:5" x14ac:dyDescent="0.25">
      <c r="A26" s="70" t="s">
        <v>38</v>
      </c>
      <c r="B26" s="70" t="s">
        <v>38</v>
      </c>
      <c r="C26" s="70" t="s">
        <v>38</v>
      </c>
      <c r="D26" s="63">
        <v>0</v>
      </c>
      <c r="E26" s="70" t="s">
        <v>38</v>
      </c>
    </row>
    <row r="27" spans="1:5" x14ac:dyDescent="0.25">
      <c r="A27" s="72" t="s">
        <v>38</v>
      </c>
      <c r="B27" s="72" t="s">
        <v>38</v>
      </c>
      <c r="C27" s="72" t="s">
        <v>38</v>
      </c>
      <c r="D27" s="64">
        <v>0</v>
      </c>
      <c r="E27" s="72" t="s">
        <v>38</v>
      </c>
    </row>
    <row r="28" spans="1:5" x14ac:dyDescent="0.25">
      <c r="A28" s="70" t="s">
        <v>38</v>
      </c>
      <c r="B28" s="70" t="s">
        <v>38</v>
      </c>
      <c r="C28" s="70" t="s">
        <v>38</v>
      </c>
      <c r="D28" s="63">
        <v>0</v>
      </c>
      <c r="E28" s="70" t="s">
        <v>38</v>
      </c>
    </row>
    <row r="29" spans="1:5" x14ac:dyDescent="0.25">
      <c r="A29" s="72" t="s">
        <v>38</v>
      </c>
      <c r="B29" s="72" t="s">
        <v>38</v>
      </c>
      <c r="C29" s="72" t="s">
        <v>38</v>
      </c>
      <c r="D29" s="64">
        <v>0</v>
      </c>
      <c r="E29" s="72" t="s">
        <v>38</v>
      </c>
    </row>
    <row r="30" spans="1:5" x14ac:dyDescent="0.25">
      <c r="A30" s="70" t="s">
        <v>38</v>
      </c>
      <c r="B30" s="70" t="s">
        <v>38</v>
      </c>
      <c r="C30" s="70" t="s">
        <v>38</v>
      </c>
      <c r="D30" s="63">
        <v>0</v>
      </c>
      <c r="E30" s="70" t="s">
        <v>38</v>
      </c>
    </row>
    <row r="31" spans="1:5" x14ac:dyDescent="0.25">
      <c r="A31" s="72" t="s">
        <v>38</v>
      </c>
      <c r="B31" s="72" t="s">
        <v>38</v>
      </c>
      <c r="C31" s="72" t="s">
        <v>38</v>
      </c>
      <c r="D31" s="64">
        <v>0</v>
      </c>
      <c r="E31" s="72" t="s">
        <v>38</v>
      </c>
    </row>
    <row r="32" spans="1:5" x14ac:dyDescent="0.25">
      <c r="A32" s="70" t="s">
        <v>38</v>
      </c>
      <c r="B32" s="70" t="s">
        <v>38</v>
      </c>
      <c r="C32" s="70" t="s">
        <v>38</v>
      </c>
      <c r="D32" s="63">
        <v>0</v>
      </c>
      <c r="E32" s="70" t="s">
        <v>38</v>
      </c>
    </row>
    <row r="33" spans="1:5" x14ac:dyDescent="0.25">
      <c r="A33" s="72" t="s">
        <v>38</v>
      </c>
      <c r="B33" s="72" t="s">
        <v>38</v>
      </c>
      <c r="C33" s="72" t="s">
        <v>38</v>
      </c>
      <c r="D33" s="64">
        <v>0</v>
      </c>
      <c r="E33" s="72" t="s">
        <v>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Project Overview</vt:lpstr>
      <vt:lpstr>Margin Analysis</vt:lpstr>
      <vt:lpstr>Budget Summary</vt:lpstr>
      <vt:lpstr>LED Cost Sheet</vt:lpstr>
      <vt:lpstr>Tech Specs (Installers)</vt:lpstr>
      <vt:lpstr>9A Underpass 1 - Install</vt:lpstr>
      <vt:lpstr>9A Underpass 2 - Install</vt:lpstr>
      <vt:lpstr>9A Underpass 3 - Install</vt:lpstr>
      <vt:lpstr>9A Underpass 4 - Install</vt:lpstr>
      <vt:lpstr>Concourse - Install</vt:lpstr>
      <vt:lpstr>T4 Elevator - Install</vt:lpstr>
      <vt:lpstr>New Path Hall Option 1 - Instal</vt:lpstr>
      <vt:lpstr>New Path Hall Option 2 - Instal</vt:lpstr>
      <vt:lpstr>One Train - Install</vt:lpstr>
      <vt:lpstr>T4-B2 - Install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2026-03-31T19:56:49Z</dcterms:created>
  <dcterms:modified xsi:type="dcterms:W3CDTF">2026-03-31T19:56:49Z</dcterms:modified>
</cp:coreProperties>
</file>