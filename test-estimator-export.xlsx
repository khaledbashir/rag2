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16" name="Margin Analysis" state="visible" r:id="rId5"/>
    <sheet sheetId="17" name="Budget Summary" state="visible" r:id="rId6"/>
    <sheet sheetId="2" name="LED Cost Sheet" state="visible" r:id="rId7"/>
    <sheet sheetId="4" name="Tech Specs (Installers)" state="visible" r:id="rId8"/>
    <sheet sheetId="5" name="Marquee - Install" state="visible" r:id="rId9"/>
    <sheet sheetId="6" name="Processor Count" state="visible" r:id="rId10"/>
    <sheet sheetId="7" name="Bundle Equipment" state="visible" r:id="rId11"/>
    <sheet sheetId="8" name="ANC Travel" state="visible" r:id="rId12"/>
    <sheet sheetId="9" name="CMS" state="visible" r:id="rId13"/>
    <sheet sheetId="10" name="Scoring" state="visible" r:id="rId14"/>
    <sheet sheetId="11" name="Venue Services" state="visible" r:id="rId15"/>
    <sheet sheetId="12" name="Additional Items" state="visible" r:id="rId16"/>
    <sheet sheetId="13" name="Resp Matrix" state="visible" r:id="rId17"/>
    <sheet sheetId="14" name="P&amp;L" state="visible" r:id="rId18"/>
    <sheet sheetId="15" name="Cash Flow" state="visible" r:id="rId19"/>
    <sheet sheetId="18" name="PO's" state="visible" r:id="rId20"/>
    <sheet sheetId="3" name="_Products" state="veryHidden" r:id="rId21"/>
  </sheets>
  <calcPr calcId="171027" fullCalcOnLoad="1"/>
</workbook>
</file>

<file path=xl/sharedStrings.xml><?xml version="1.0" encoding="utf-8"?>
<sst xmlns="http://schemas.openxmlformats.org/spreadsheetml/2006/main" count="842" uniqueCount="392">
  <si>
    <t>Test Project — Project Overview</t>
  </si>
  <si>
    <t>Test Client | 2026-04-01 | ANC Proposal Engine</t>
  </si>
  <si>
    <t>PROJECT INFORMATION</t>
  </si>
  <si>
    <t>Client</t>
  </si>
  <si>
    <t>Test Client</t>
  </si>
  <si>
    <t>Project Name</t>
  </si>
  <si>
    <t>Test Project</t>
  </si>
  <si>
    <t>Location</t>
  </si>
  <si>
    <t>—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</si>
  <si>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</si>
  <si>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</si>
  <si>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</si>
  <si>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</si>
  <si>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</si>
  <si>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</si>
  <si>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</si>
  <si>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</si>
  <si>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</si>
  <si>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</si>
  <si>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</si>
  <si>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</si>
  <si>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</si>
  <si>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</si>
  <si>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</si>
  <si>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</si>
  <si>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</si>
  <si>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</si>
  <si>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</si>
  <si>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</si>
  <si>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</si>
  <si>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</si>
  <si>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</si>
  <si>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</si>
  <si>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</si>
  <si>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</si>
  <si>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</si>
  <si>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</si>
  <si>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Test Project — Margin Analysis</t>
  </si>
  <si>
    <t/>
  </si>
  <si>
    <t>Zone / Category</t>
  </si>
  <si>
    <t>Cost</t>
  </si>
  <si>
    <t>Selling Price</t>
  </si>
  <si>
    <t>Margin $</t>
  </si>
  <si>
    <t>Margin %</t>
  </si>
  <si>
    <t>Marquee — wall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</si>
  <si>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</si>
  <si>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</si>
  <si>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</si>
  <si>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</si>
  <si>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</si>
  <si>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</si>
  <si>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</si>
  <si>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</si>
  <si>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</si>
  <si>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</si>
  <si>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</si>
  <si>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</si>
  <si>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</si>
  <si>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</si>
  <si>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</si>
  <si>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</si>
  <si>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</si>
  <si>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</si>
  <si>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</si>
  <si>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</si>
  <si>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Test Project — Budget Summary</t>
  </si>
  <si>
    <t>Test 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</si>
  <si>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</si>
  <si>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</si>
  <si>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</si>
  <si>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</si>
  <si>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</si>
  <si>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</si>
  <si>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</si>
  <si>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</si>
  <si>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</si>
  <si>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</si>
  <si>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</si>
  <si>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</si>
  <si>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Test Project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</si>
  <si>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</si>
  <si>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</si>
  <si>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</si>
  <si>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</si>
  <si>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</si>
  <si>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</si>
  <si>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</si>
  <si>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</si>
  <si>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</si>
  <si>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</si>
  <si>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</si>
  <si>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</si>
  <si>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</si>
  <si>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</si>
  <si>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</si>
  <si>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</si>
  <si>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</si>
  <si>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</si>
  <si>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</si>
  <si>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</si>
  <si>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</si>
  <si>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</si>
  <si>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</si>
  <si>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</si>
  <si>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LG/Yaham</t>
  </si>
  <si>
    <t>2.5mm</t>
  </si>
  <si>
    <t>front</t>
  </si>
  <si>
    <t>TOTAL (1 displays)</t>
  </si>
  <si>
    <t>Test Project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</si>
  <si>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</si>
  <si>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</si>
  <si>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</si>
  <si>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</si>
  <si>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</si>
  <si>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</si>
  <si>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</si>
  <si>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</si>
  <si>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</si>
  <si>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</si>
  <si>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</si>
  <si>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Test Project</t>
  </si>
  <si>
    <t>Revised By: ANC Proposal Engine</t>
  </si>
  <si>
    <t>Linked Margin Assignment</t>
  </si>
  <si>
    <t>Install Margin</t>
  </si>
  <si>
    <t>Electrical Margin</t>
  </si>
  <si>
    <t>Engineering and Permits</t>
  </si>
  <si>
    <t>Marquee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</si>
  <si>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</si>
  <si>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</si>
  <si>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</si>
  <si>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</si>
  <si>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</si>
  <si>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</si>
  <si>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</si>
  <si>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</si>
  <si>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</si>
  <si>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</si>
  <si>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</si>
  <si>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</si>
  <si>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</si>
  <si>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</si>
  <si>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</si>
  <si>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</si>
  <si>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</si>
  <si>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</si>
  <si>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</si>
  <si>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</si>
  <si>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</si>
  <si>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</si>
  <si>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</si>
  <si>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</si>
  <si>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</si>
  <si>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</si>
  <si>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</si>
  <si>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</si>
  <si>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</si>
  <si>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</si>
  <si>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</si>
  <si>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</si>
  <si>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</si>
  <si>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</si>
  <si>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</si>
  <si>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</si>
  <si>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Test Project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</si>
  <si>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</si>
  <si>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</si>
  <si>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</si>
  <si>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</si>
  <si>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</si>
  <si>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</si>
  <si>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</si>
  <si>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</si>
  <si>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</si>
  <si>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</si>
  <si>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</si>
  <si>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</si>
  <si>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</si>
  <si>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</si>
  <si>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</si>
  <si>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</si>
  <si>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Test Project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</si>
  <si>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</si>
  <si>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</si>
  <si>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</si>
  <si>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</si>
  <si>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</si>
  <si>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</si>
  <si>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</si>
  <si>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EQUIPMENT GRAND TOTAL</t>
  </si>
  <si>
    <t>Test Project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</si>
  <si>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</si>
  <si>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</si>
  <si>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</si>
  <si>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</si>
  <si>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</si>
  <si>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</si>
  <si>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</si>
  <si>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</si>
  <si>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</si>
  <si>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</si>
  <si>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</si>
  <si>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</si>
  <si>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</si>
  <si>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Test Project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</si>
  <si>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</si>
  <si>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</si>
  <si>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</si>
  <si>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</si>
  <si>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</si>
  <si>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</si>
  <si>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</si>
  <si>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</si>
  <si>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</si>
  <si>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</si>
  <si>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</si>
  <si>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</si>
  <si>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</si>
  <si>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</si>
  <si>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</si>
  <si>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</si>
  <si>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</si>
  <si>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</si>
  <si>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Test Project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</si>
  <si>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</si>
  <si>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</si>
  <si>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</si>
  <si>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</si>
  <si>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</si>
  <si>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</si>
  <si>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</si>
  <si>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</si>
  <si>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</si>
  <si>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</si>
  <si>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</si>
  <si>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</si>
  <si>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</si>
  <si>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</si>
  <si>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Test Project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</si>
  <si>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</si>
  <si>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</si>
  <si>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</si>
  <si>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</si>
  <si>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</si>
  <si>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</si>
  <si>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</si>
  <si>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</si>
  <si>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</si>
  <si>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</si>
  <si>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</si>
  <si>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</si>
  <si>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Test Project — Additional Non-LED Items</t>
  </si>
  <si>
    <t>GAME CLOCK</t>
  </si>
  <si>
    <t>Six-Digit Game Clocks</t>
  </si>
  <si>
    <t>PITCH CLOCK</t>
  </si>
  <si>
    <t>OES / MIS</t>
  </si>
  <si>
    <t>ADDITIONAL ITEMS TOTAL</t>
  </si>
  <si>
    <t>Project: Test Project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</si>
  <si>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</si>
  <si>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</si>
  <si>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</si>
  <si>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</si>
  <si>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</si>
  <si>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</si>
  <si>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</si>
  <si>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</si>
  <si>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</si>
  <si>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</si>
  <si>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</si>
  <si>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</si>
  <si>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</si>
  <si>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</si>
  <si>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</si>
  <si>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</si>
  <si>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</si>
  <si>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</si>
  <si>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</si>
  <si>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</si>
  <si>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</si>
  <si>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</si>
  <si>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</si>
  <si>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</si>
  <si>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</si>
  <si>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</si>
  <si>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</si>
  <si>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</si>
  <si>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</si>
  <si>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</si>
  <si>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</si>
  <si>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</si>
  <si>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</si>
  <si>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</si>
  <si>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</si>
  <si>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</si>
  <si>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</si>
  <si>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</si>
  <si>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</si>
  <si>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</si>
  <si>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</si>
  <si>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</si>
  <si>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</si>
  <si>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</si>
  <si>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</si>
  <si>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</si>
  <si>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</si>
  <si>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</si>
  <si>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</si>
  <si>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</si>
  <si>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</si>
  <si>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</si>
  <si>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Test Project — P&amp;L</t>
  </si>
  <si>
    <t>Project #:</t>
  </si>
  <si>
    <t>Net 30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</si>
  <si>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</si>
  <si>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</si>
  <si>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</si>
  <si>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</si>
  <si>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</si>
  <si>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</si>
  <si>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</si>
  <si>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</si>
  <si>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</si>
  <si>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</si>
  <si>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</si>
  <si>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</si>
  <si>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</si>
  <si>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</si>
  <si>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</si>
  <si>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</si>
  <si>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</si>
  <si>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</si>
  <si>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</si>
  <si>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</si>
  <si>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</si>
  <si>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</si>
  <si>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</si>
  <si>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</si>
  <si>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Test Project — Cash Flow</t>
  </si>
  <si>
    <t>Payment Terms: Net 30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</si>
  <si>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</si>
  <si>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</si>
  <si>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</si>
  <si>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</si>
  <si>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</si>
  <si>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</si>
  <si>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</si>
  <si>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</si>
  <si>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</si>
  <si>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</si>
  <si>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</si>
  <si>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</si>
  <si>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</si>
  <si>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</si>
  <si>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</si>
  <si>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</si>
  <si>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</si>
  <si>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</si>
  <si>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</si>
  <si>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</si>
  <si>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</si>
  <si>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</si>
  <si>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</si>
  <si>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</si>
  <si>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</si>
  <si>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</si>
  <si>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</si>
  <si>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Test Project — Purchase Orders</t>
  </si>
  <si>
    <t>PO Number</t>
  </si>
  <si>
    <t>Title / Description</t>
  </si>
  <si>
    <t>Original Contract Amount</t>
  </si>
  <si>
    <t>10mm Mesh P10 (Nitxeon)</t>
  </si>
  <si>
    <t>2.5mm Indoor (Nationstar MIP)</t>
  </si>
  <si>
    <t>4mm Indoor (Nitxeon)</t>
  </si>
  <si>
    <t>C1.2-MIP 1.2mm Indoor (Alt)</t>
  </si>
  <si>
    <t>C1.8-MIP 1.8mm Indoor/VisiBowl (Alt)</t>
  </si>
  <si>
    <t>LG LSCA015 1.5mm Indoor Fine Pitch</t>
  </si>
  <si>
    <t>LG LSCA039 3.91mm Indoor Ceiling</t>
  </si>
  <si>
    <t>LG LSCB025 2.5mm Indoor Wall</t>
  </si>
  <si>
    <t>LG LSGA039 3.9mm Indoor Wall</t>
  </si>
  <si>
    <t>Mesh P10 FM1921 3.9mm Indoor</t>
  </si>
  <si>
    <t>Yaham Aura A10 Perimeter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</si>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</sst>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0" fontId="7" fillId="0" borderId="0" xfId="0" applyFont="1"/>
    <xf numFmtId="0" fontId="9" fillId="0" borderId="0" xfId="0" applyFont="1"/>
    <xf numFmtId="2" fontId="0" fillId="0" borderId="0" xfId="0" applyNumberForma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3" fontId="0" fillId="0" borderId="0" xfId="0" applyNumberFormat="1"/>
    <xf numFmtId="165" fontId="0" fillId="3" borderId="2" xfId="0" applyNumberFormat="1" applyFill="1" applyBorder="1"/>
    <xf numFmtId="0" fontId="0" fillId="0" borderId="0" xfId="0" applyAlignment="1">
      <alignment horizontal="center"/>
    </xf>
    <xf numFmtId="164" fontId="8" fillId="0" borderId="0" xfId="0" applyNumberFormat="1" applyFont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6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4</v>
      </c>
    </row>
    <row r="6" spans="2:3" x14ac:dyDescent="0.25">
      <c r="B6" s="6" t="s">
        <v>5</v>
      </c>
      <c r="C6" s="7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6" t="s">
        <v>9</v>
      </c>
      <c r="C8" s="7" t="s">
        <v>10</v>
      </c>
    </row>
    <row r="9" spans="2:3" x14ac:dyDescent="0.25">
      <c r="B9" s="4" t="s">
        <v>11</v>
      </c>
      <c r="C9" s="5" t="s">
        <v>12</v>
      </c>
    </row>
    <row r="10" spans="2:3" x14ac:dyDescent="0.25">
      <c r="B10" s="6" t="s">
        <v>13</v>
      </c>
      <c r="C10" s="7" t="s">
        <v>14</v>
      </c>
    </row>
    <row r="11" spans="2:3" x14ac:dyDescent="0.25">
      <c r="B11" s="4" t="s">
        <v>15</v>
      </c>
      <c r="C11" s="5" t="s">
        <v>16</v>
      </c>
    </row>
    <row r="12" spans="2:3" x14ac:dyDescent="0.25">
      <c r="B12" s="6" t="s">
        <v>17</v>
      </c>
      <c r="C12" s="7" t="s">
        <v>16</v>
      </c>
    </row>
    <row r="13" spans="2:3" x14ac:dyDescent="0.25">
      <c r="B13" s="4" t="s">
        <v>18</v>
      </c>
      <c r="C13" s="5">
        <f>SUM('LED Cost Sheet'!I4:I4)</f>
        <v>1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7" t="s">
        <v>21</v>
      </c>
    </row>
    <row r="17" spans="2:3" x14ac:dyDescent="0.25">
      <c r="B17" s="4" t="s">
        <v>22</v>
      </c>
      <c r="C17" s="5" t="s">
        <v>21</v>
      </c>
    </row>
    <row r="18" spans="2:3" x14ac:dyDescent="0.25">
      <c r="B18" s="6" t="s">
        <v>23</v>
      </c>
      <c r="C18" s="7" t="s">
        <v>21</v>
      </c>
    </row>
    <row r="19" spans="2:3" x14ac:dyDescent="0.25">
      <c r="B19" s="4" t="s">
        <v>24</v>
      </c>
      <c r="C19" s="5" t="s">
        <v>21</v>
      </c>
    </row>
    <row r="20" spans="2:3" x14ac:dyDescent="0.25">
      <c r="B20" s="6" t="s">
        <v>25</v>
      </c>
      <c r="C20" s="7" t="s">
        <v>21</v>
      </c>
    </row>
    <row r="21" spans="2:3" x14ac:dyDescent="0.25">
      <c r="B21" s="4" t="s">
        <v>26</v>
      </c>
      <c r="C21" s="5" t="s">
        <v>27</v>
      </c>
    </row>
    <row r="22" spans="2:3" x14ac:dyDescent="0.25">
      <c r="B22" s="6" t="s">
        <v>28</v>
      </c>
      <c r="C22" s="7" t="s">
        <v>29</v>
      </c>
    </row>
    <row r="23" spans="2:3" x14ac:dyDescent="0.25">
      <c r="B23" s="4" t="s">
        <v>30</v>
      </c>
      <c r="C23" s="5" t="s">
        <v>29</v>
      </c>
    </row>
    <row r="25" spans="2:3" x14ac:dyDescent="0.25">
      <c r="B25" s="3" t="s">
        <v>31</v>
      </c>
      <c r="C25" s="3"/>
    </row>
    <row r="26" spans="2:3" x14ac:dyDescent="0.25">
      <c r="B26" s="4" t="s">
        <v>32</v>
      </c>
      <c r="C26" s="8">
        <f>'Margin Analysis'!C28</f>
        <v>136987.93</v>
      </c>
    </row>
    <row r="27" spans="2:3" x14ac:dyDescent="0.25">
      <c r="B27" s="4" t="s">
        <v>33</v>
      </c>
      <c r="C27" s="8">
        <f>'Margin Analysis'!D28</f>
        <v>164808.47</v>
      </c>
    </row>
    <row r="28" spans="2:3" x14ac:dyDescent="0.25">
      <c r="B28" s="4" t="s">
        <v>34</v>
      </c>
      <c r="C28" s="8">
        <f>'Margin Analysis'!E28</f>
        <v>27820.54</v>
      </c>
    </row>
    <row r="29" spans="2:3" x14ac:dyDescent="0.25">
      <c r="B29" s="4" t="s">
        <v>35</v>
      </c>
      <c r="C29" s="9">
        <f>'Margin Analysis'!F28</f>
        <v>0.17</v>
      </c>
    </row>
    <row r="30" spans="2:3" x14ac:dyDescent="0.25">
      <c r="B30" s="10" t="s">
        <v>36</v>
      </c>
      <c r="C30" s="11">
        <f>'Margin Analysis'!D28</f>
        <v>164808.47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6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80</v>
      </c>
      <c r="V2" s="39">
        <v>0.15</v>
      </c>
    </row>
    <row r="3" ht="28" customHeight="1" spans="1:26" x14ac:dyDescent="0.25">
      <c r="A3" s="24" t="s">
        <v>81</v>
      </c>
      <c r="B3" s="24" t="s">
        <v>82</v>
      </c>
      <c r="C3" s="24" t="s">
        <v>83</v>
      </c>
      <c r="D3" s="24" t="s">
        <v>84</v>
      </c>
      <c r="E3" s="24" t="s">
        <v>85</v>
      </c>
      <c r="F3" s="24" t="s">
        <v>86</v>
      </c>
      <c r="G3" s="24" t="s">
        <v>87</v>
      </c>
      <c r="H3" s="24" t="s">
        <v>88</v>
      </c>
      <c r="I3" s="24" t="s">
        <v>89</v>
      </c>
      <c r="J3" s="24" t="s">
        <v>90</v>
      </c>
      <c r="K3" s="24" t="s">
        <v>91</v>
      </c>
      <c r="L3" s="24" t="s">
        <v>92</v>
      </c>
      <c r="M3" s="24" t="s">
        <v>93</v>
      </c>
      <c r="N3" s="24" t="s">
        <v>94</v>
      </c>
      <c r="O3" s="24" t="s">
        <v>95</v>
      </c>
      <c r="P3" s="24" t="s">
        <v>96</v>
      </c>
      <c r="Q3" s="24" t="s">
        <v>97</v>
      </c>
      <c r="R3" s="24" t="s">
        <v>98</v>
      </c>
      <c r="S3" s="24" t="s">
        <v>99</v>
      </c>
      <c r="T3" s="24" t="s">
        <v>32</v>
      </c>
      <c r="U3" s="24" t="s">
        <v>43</v>
      </c>
      <c r="V3" s="24" t="s">
        <v>41</v>
      </c>
      <c r="W3" s="24" t="s">
        <v>100</v>
      </c>
      <c r="X3" s="24" t="s">
        <v>101</v>
      </c>
      <c r="Y3" s="24" t="s">
        <v>102</v>
      </c>
      <c r="Z3" s="24" t="s">
        <v>103</v>
      </c>
    </row>
    <row r="4" spans="1:26" x14ac:dyDescent="0.25">
      <c r="A4" s="40" t="s">
        <v>44</v>
      </c>
      <c r="B4" s="41">
        <v>10</v>
      </c>
      <c r="C4" s="41">
        <v>20</v>
      </c>
      <c r="D4" s="32" t="s">
        <v>38</v>
      </c>
      <c r="E4" s="32" t="s">
        <v>104</v>
      </c>
      <c r="F4" s="32" t="s">
        <v>8</v>
      </c>
      <c r="G4" s="42" t="s">
        <v>105</v>
      </c>
      <c r="H4" s="41">
        <v>10</v>
      </c>
      <c r="I4" s="41">
        <v>20</v>
      </c>
      <c r="J4" s="43">
        <v>1219</v>
      </c>
      <c r="K4" s="43">
        <v>2438</v>
      </c>
      <c r="L4" s="44">
        <v>1</v>
      </c>
      <c r="M4" s="45">
        <f>H4*I4*L4</f>
        <v>200</v>
      </c>
      <c r="N4" s="42" t="s">
        <v>38</v>
      </c>
      <c r="O4" s="42" t="s">
        <v>106</v>
      </c>
      <c r="P4" s="33">
        <v>264.15</v>
      </c>
      <c r="Q4" s="33">
        <v>52829.7</v>
      </c>
      <c r="R4" s="33">
        <f>SUM('Bundle Equipment'!E10:E10)</f>
        <v>570</v>
      </c>
      <c r="S4" s="33">
        <v>2000</v>
      </c>
      <c r="T4" s="46">
        <f>Q4+R4+S4</f>
        <v>55399.7</v>
      </c>
      <c r="U4" s="34">
        <f>V$2</f>
        <v>0.16880499999999998</v>
      </c>
      <c r="V4" s="46">
        <f>IFERROR(T4/(1-U4),0)</f>
        <v>164808.47</v>
      </c>
      <c r="W4" s="33">
        <f>V4-T4</f>
        <v>27820.54</v>
      </c>
      <c r="X4" s="45">
        <v>977</v>
      </c>
      <c r="Y4" s="45">
        <v>7258</v>
      </c>
      <c r="Z4" s="45">
        <f>Y4*3.412</f>
        <v>24764</v>
      </c>
    </row>
    <row r="6" spans="1:26" x14ac:dyDescent="0.25">
      <c r="A6" s="47" t="s">
        <v>107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>
        <f>SUM(M4:M4)</f>
        <v>200</v>
      </c>
      <c r="N6" s="47"/>
      <c r="O6" s="47"/>
      <c r="P6" s="47"/>
      <c r="Q6" s="49">
        <f>SUM(Q4:Q4)</f>
        <v>52829.7</v>
      </c>
      <c r="R6" s="49">
        <f>SUM(R4:R4)</f>
        <v>570</v>
      </c>
      <c r="S6" s="49">
        <f>SUM(S4:S4)</f>
        <v>2000</v>
      </c>
      <c r="T6" s="49">
        <f>SUM(T4:T4)</f>
        <v>55399.7</v>
      </c>
      <c r="U6" s="50">
        <f>IFERROR(1-T6/V6,0)</f>
        <v>0.15</v>
      </c>
      <c r="V6" s="49">
        <f>SUM(V4:V4)</f>
        <v>65176.12</v>
      </c>
      <c r="W6" s="49">
        <f>SUM(W4:W4)</f>
        <v>9776.420000000006</v>
      </c>
      <c r="X6" s="48">
        <f>SUM(X4:X4)</f>
        <v>0</v>
      </c>
      <c r="Y6" s="48">
        <f>SUM(Y4:Y4)</f>
        <v>0</v>
      </c>
      <c r="Z6" s="48">
        <f>SUM(Z4:Z4)</f>
        <v>0</v>
      </c>
    </row>
  </sheetData>
  <mergeCells count="1">
    <mergeCell ref="A1:W1"/>
  </mergeCells>
  <dataValidations count="1">
    <dataValidation type="list" allowBlank="1" showErrorMessage="1" errorTitle="Invalid Product" error="Select a product from the dropdown list" sqref="F4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sheetData>
    <row r="1" spans="1:1" x14ac:dyDescent="0.25">
      <c r="A1" t="s">
        <v>369</v>
      </c>
    </row>
    <row r="2" spans="1:1" x14ac:dyDescent="0.25">
      <c r="A2" t="s">
        <v>370</v>
      </c>
    </row>
    <row r="3" spans="1:1" x14ac:dyDescent="0.25">
      <c r="A3" t="s">
        <v>371</v>
      </c>
    </row>
    <row r="4" spans="1:1" x14ac:dyDescent="0.25">
      <c r="A4" t="s">
        <v>372</v>
      </c>
    </row>
    <row r="5" spans="1:1" x14ac:dyDescent="0.25">
      <c r="A5" t="s">
        <v>373</v>
      </c>
    </row>
    <row r="6" spans="1:1" x14ac:dyDescent="0.25">
      <c r="A6" t="s">
        <v>374</v>
      </c>
    </row>
    <row r="7" spans="1:1" x14ac:dyDescent="0.25">
      <c r="A7" t="s">
        <v>375</v>
      </c>
    </row>
    <row r="8" spans="1:1" x14ac:dyDescent="0.25">
      <c r="A8" t="s">
        <v>376</v>
      </c>
    </row>
    <row r="9" spans="1:1" x14ac:dyDescent="0.25">
      <c r="A9" t="s">
        <v>377</v>
      </c>
    </row>
    <row r="10" spans="1:1" x14ac:dyDescent="0.25">
      <c r="A10" t="s">
        <v>378</v>
      </c>
    </row>
    <row r="11" spans="1:1" x14ac:dyDescent="0.25">
      <c r="A11" t="s">
        <v>379</v>
      </c>
    </row>
    <row r="12" spans="1:1" x14ac:dyDescent="0.25">
      <c r="A12" t="s">
        <v>380</v>
      </c>
    </row>
    <row r="13" spans="1:1" x14ac:dyDescent="0.25">
      <c r="A13" t="s">
        <v>381</v>
      </c>
    </row>
    <row r="14" spans="1:1" x14ac:dyDescent="0.25">
      <c r="A14" t="s">
        <v>382</v>
      </c>
    </row>
    <row r="15" spans="1:1" x14ac:dyDescent="0.25">
      <c r="A15" t="s">
        <v>383</v>
      </c>
    </row>
    <row r="16" spans="1:1" x14ac:dyDescent="0.25">
      <c r="A16" t="s">
        <v>384</v>
      </c>
    </row>
    <row r="17" spans="1:1" x14ac:dyDescent="0.25">
      <c r="A17" t="s">
        <v>385</v>
      </c>
    </row>
    <row r="18" spans="1:1" x14ac:dyDescent="0.25">
      <c r="A18" t="s">
        <v>386</v>
      </c>
    </row>
    <row r="19" spans="1:1" x14ac:dyDescent="0.25">
      <c r="A19" t="s">
        <v>387</v>
      </c>
    </row>
    <row r="20" spans="1:1" x14ac:dyDescent="0.25">
      <c r="A20" t="s">
        <v>388</v>
      </c>
    </row>
    <row r="21" spans="1:1" x14ac:dyDescent="0.25">
      <c r="A21" t="s">
        <v>389</v>
      </c>
    </row>
    <row r="22" spans="1:1" x14ac:dyDescent="0.25">
      <c r="A22" t="s">
        <v>390</v>
      </c>
    </row>
    <row r="23" spans="1:1" x14ac:dyDescent="0.25">
      <c r="A23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5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1" t="s">
        <v>110</v>
      </c>
      <c r="B4" s="51" t="s">
        <v>92</v>
      </c>
      <c r="C4" s="51" t="s">
        <v>111</v>
      </c>
      <c r="D4" s="51" t="s">
        <v>112</v>
      </c>
      <c r="E4" s="51" t="s">
        <v>113</v>
      </c>
      <c r="F4" s="51" t="s">
        <v>114</v>
      </c>
      <c r="G4" s="51" t="s">
        <v>115</v>
      </c>
      <c r="H4" s="51" t="s">
        <v>116</v>
      </c>
      <c r="I4" s="51" t="s">
        <v>117</v>
      </c>
      <c r="J4" s="51" t="s">
        <v>95</v>
      </c>
      <c r="K4" s="51" t="s">
        <v>13</v>
      </c>
      <c r="L4" s="51" t="s">
        <v>101</v>
      </c>
      <c r="M4" s="51" t="s">
        <v>102</v>
      </c>
      <c r="N4" s="51" t="s">
        <v>118</v>
      </c>
      <c r="O4" s="51" t="s">
        <v>103</v>
      </c>
    </row>
    <row r="5" spans="1:15" x14ac:dyDescent="0.25">
      <c r="A5" s="32" t="str">
        <f>'LED Cost Sheet'!A4</f>
        <v>Marquee — wall</v>
      </c>
      <c r="B5" s="32">
        <f>'LED Cost Sheet'!I4</f>
        <v>1</v>
      </c>
      <c r="C5" s="32" t="str">
        <f>'LED Cost Sheet'!D4</f>
        <v>2.5mm</v>
      </c>
      <c r="D5" s="32">
        <f>'LED Cost Sheet'!E4</f>
        <v>10</v>
      </c>
      <c r="E5" s="32">
        <f>'LED Cost Sheet'!F4</f>
        <v>20</v>
      </c>
      <c r="F5" s="32">
        <f>'LED Cost Sheet'!G4</f>
        <v>1219</v>
      </c>
      <c r="G5" s="32">
        <f>'LED Cost Sheet'!H4</f>
        <v>2438</v>
      </c>
      <c r="H5" s="45">
        <f>D5*E5*B5</f>
        <v>200</v>
      </c>
      <c r="I5" s="32" t="str">
        <f>'LED Cost Sheet'!K4</f>
        <v/>
      </c>
      <c r="J5" s="32" t="str">
        <f>'LED Cost Sheet'!L4</f>
        <v>front</v>
      </c>
      <c r="K5" s="32" t="s">
        <v>119</v>
      </c>
      <c r="L5" s="45">
        <f>'LED Cost Sheet'!U4</f>
        <v>977</v>
      </c>
      <c r="M5" s="45">
        <f>'LED Cost Sheet'!V4</f>
        <v>7258</v>
      </c>
      <c r="N5" s="52">
        <f>IFERROR((F5*G5*B5)/400000,0)</f>
        <v>7.43</v>
      </c>
      <c r="O5" s="45">
        <f>'LED Cost Sheet'!W4</f>
        <v>24764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53" t="s">
        <v>120</v>
      </c>
    </row>
    <row r="4" spans="1:1" x14ac:dyDescent="0.25">
      <c r="A4" s="14" t="s">
        <v>10</v>
      </c>
    </row>
    <row r="5" spans="1:1" x14ac:dyDescent="0.25">
      <c r="A5" s="14" t="s">
        <v>121</v>
      </c>
    </row>
    <row r="7" spans="3:3" x14ac:dyDescent="0.25">
      <c r="C7" s="25" t="s">
        <v>122</v>
      </c>
    </row>
    <row r="8" spans="3:4" x14ac:dyDescent="0.25">
      <c r="C8" t="s">
        <v>123</v>
      </c>
      <c r="D8" s="20">
        <v>0.2</v>
      </c>
    </row>
    <row r="9" spans="3:4" x14ac:dyDescent="0.25">
      <c r="C9" t="s">
        <v>124</v>
      </c>
      <c r="D9" s="20">
        <v>0.2</v>
      </c>
    </row>
    <row r="10" spans="3:4" x14ac:dyDescent="0.25">
      <c r="C10" t="s">
        <v>100</v>
      </c>
      <c r="D10" s="20">
        <v>0.2</v>
      </c>
    </row>
    <row r="11" spans="3:4" x14ac:dyDescent="0.25">
      <c r="C11" t="s">
        <v>125</v>
      </c>
      <c r="D11" s="20">
        <v>0.2</v>
      </c>
    </row>
    <row r="15" spans="2:2" x14ac:dyDescent="0.25">
      <c r="B15" s="54" t="s">
        <v>126</v>
      </c>
    </row>
    <row r="16" spans="2:5" x14ac:dyDescent="0.25">
      <c r="B16" s="4" t="s">
        <v>127</v>
      </c>
      <c r="C16" s="4" t="s">
        <v>128</v>
      </c>
      <c r="D16" s="4" t="s">
        <v>129</v>
      </c>
      <c r="E16" s="4" t="s">
        <v>130</v>
      </c>
    </row>
    <row r="17" spans="2:5" x14ac:dyDescent="0.25">
      <c r="B17" s="55">
        <v>10</v>
      </c>
      <c r="C17" s="55">
        <v>20</v>
      </c>
      <c r="D17" s="56">
        <v>200</v>
      </c>
      <c r="E17">
        <v>1</v>
      </c>
    </row>
    <row r="19" ht="24" customHeight="1" spans="1:11" x14ac:dyDescent="0.25">
      <c r="A19" s="24" t="s">
        <v>38</v>
      </c>
      <c r="B19" s="24" t="s">
        <v>131</v>
      </c>
      <c r="C19" s="24" t="s">
        <v>132</v>
      </c>
      <c r="D19" s="24" t="s">
        <v>133</v>
      </c>
      <c r="E19" s="24" t="s">
        <v>134</v>
      </c>
      <c r="F19" s="24" t="s">
        <v>135</v>
      </c>
      <c r="G19" s="24" t="s">
        <v>136</v>
      </c>
      <c r="H19" s="24" t="s">
        <v>38</v>
      </c>
      <c r="I19" s="24" t="s">
        <v>32</v>
      </c>
      <c r="J19" s="24" t="s">
        <v>123</v>
      </c>
      <c r="K19" s="24" t="s">
        <v>41</v>
      </c>
    </row>
    <row r="20" spans="1:11" x14ac:dyDescent="0.25">
      <c r="A20" s="32"/>
      <c r="B20" s="32" t="s">
        <v>137</v>
      </c>
      <c r="C20" s="57">
        <v>0</v>
      </c>
      <c r="D20" s="57">
        <v>0</v>
      </c>
      <c r="E20" s="57">
        <v>0</v>
      </c>
      <c r="F20" s="33">
        <v>0</v>
      </c>
      <c r="G20" s="57">
        <v>0</v>
      </c>
      <c r="H20" s="32"/>
      <c r="I20" s="33">
        <f>SUM(C20:G20)</f>
        <v>0</v>
      </c>
      <c r="J20" s="34">
        <f>$D$8</f>
        <v>0.2</v>
      </c>
      <c r="K20" s="33">
        <f>I20/(1-J20)</f>
        <v>0</v>
      </c>
    </row>
    <row r="21" spans="2:11" x14ac:dyDescent="0.25">
      <c r="B21" t="s">
        <v>138</v>
      </c>
      <c r="C21" s="58">
        <v>0</v>
      </c>
      <c r="D21" s="58">
        <v>0</v>
      </c>
      <c r="E21" s="58">
        <v>0</v>
      </c>
      <c r="F21" s="19">
        <v>0</v>
      </c>
      <c r="G21" s="58">
        <v>0</v>
      </c>
      <c r="I21" s="19">
        <f>SUM(C21:G21)</f>
        <v>0</v>
      </c>
      <c r="J21" s="26">
        <f>$D$8</f>
        <v>0.2</v>
      </c>
      <c r="K21" s="19">
        <f>I21/(1-J21)</f>
        <v>0</v>
      </c>
    </row>
    <row r="22" spans="1:11" x14ac:dyDescent="0.25">
      <c r="A22" s="32"/>
      <c r="B22" s="32" t="s">
        <v>139</v>
      </c>
      <c r="C22" s="57">
        <v>6000</v>
      </c>
      <c r="D22" s="57">
        <v>0</v>
      </c>
      <c r="E22" s="57">
        <v>0</v>
      </c>
      <c r="F22" s="33">
        <v>0</v>
      </c>
      <c r="G22" s="57">
        <v>0</v>
      </c>
      <c r="H22" s="32"/>
      <c r="I22" s="33">
        <f>SUM(C22:G22)</f>
        <v>6000</v>
      </c>
      <c r="J22" s="34">
        <f>$D$8</f>
        <v>0.2</v>
      </c>
      <c r="K22" s="33">
        <f>I22/(1-J22)</f>
        <v>7500</v>
      </c>
    </row>
    <row r="23" spans="2:11" x14ac:dyDescent="0.25">
      <c r="B23" t="s">
        <v>140</v>
      </c>
      <c r="C23" s="58">
        <v>0</v>
      </c>
      <c r="D23" s="58">
        <v>0</v>
      </c>
      <c r="E23" s="58">
        <v>0</v>
      </c>
      <c r="F23" s="19">
        <v>0</v>
      </c>
      <c r="G23" s="58">
        <v>0</v>
      </c>
      <c r="I23" s="19">
        <f>SUM(C23:G23)</f>
        <v>0</v>
      </c>
      <c r="J23" s="26">
        <f>$D$8</f>
        <v>0.2</v>
      </c>
      <c r="K23" s="19">
        <f>I23/(1-J23)</f>
        <v>0</v>
      </c>
    </row>
    <row r="24" spans="1:11" x14ac:dyDescent="0.25">
      <c r="A24" s="32"/>
      <c r="B24" s="32" t="s">
        <v>141</v>
      </c>
      <c r="C24" s="57">
        <v>0</v>
      </c>
      <c r="D24" s="57">
        <v>0</v>
      </c>
      <c r="E24" s="57">
        <v>0</v>
      </c>
      <c r="F24" s="33">
        <v>0</v>
      </c>
      <c r="G24" s="57">
        <v>0</v>
      </c>
      <c r="H24" s="32"/>
      <c r="I24" s="33">
        <f>SUM(C24:G24)</f>
        <v>0</v>
      </c>
      <c r="J24" s="34">
        <f>$D$8</f>
        <v>0.2</v>
      </c>
      <c r="K24" s="33">
        <f>I24/(1-J24)</f>
        <v>0</v>
      </c>
    </row>
    <row r="25" spans="2:11" x14ac:dyDescent="0.25">
      <c r="B25" t="s">
        <v>141</v>
      </c>
      <c r="C25" s="58">
        <v>0</v>
      </c>
      <c r="D25" s="58">
        <v>0</v>
      </c>
      <c r="E25" s="58">
        <v>0</v>
      </c>
      <c r="F25" s="19">
        <v>0</v>
      </c>
      <c r="G25" s="58">
        <v>0</v>
      </c>
      <c r="I25" s="19">
        <f>SUM(C25:G25)</f>
        <v>0</v>
      </c>
      <c r="J25" s="26">
        <f>$D$8</f>
        <v>0.2</v>
      </c>
      <c r="K25" s="19">
        <f>I25/(1-J25)</f>
        <v>0</v>
      </c>
    </row>
    <row r="26" spans="1:11" x14ac:dyDescent="0.25">
      <c r="A26" s="59"/>
      <c r="B26" s="59" t="s">
        <v>75</v>
      </c>
      <c r="C26" s="59"/>
      <c r="D26" s="59"/>
      <c r="E26" s="59"/>
      <c r="F26" s="59"/>
      <c r="G26" s="59"/>
      <c r="H26" s="59"/>
      <c r="I26" s="60">
        <f>SUM(I20:I25)</f>
        <v>6000</v>
      </c>
      <c r="J26" s="59"/>
      <c r="K26" s="60">
        <f>SUM(K20:K25)</f>
        <v>7500</v>
      </c>
    </row>
    <row r="28" ht="24" customHeight="1" spans="1:11" x14ac:dyDescent="0.25">
      <c r="A28" s="24" t="s">
        <v>38</v>
      </c>
      <c r="B28" s="24" t="s">
        <v>142</v>
      </c>
      <c r="C28" s="24" t="s">
        <v>132</v>
      </c>
      <c r="D28" s="24" t="s">
        <v>133</v>
      </c>
      <c r="E28" s="24" t="s">
        <v>134</v>
      </c>
      <c r="F28" s="24" t="s">
        <v>135</v>
      </c>
      <c r="G28" s="24" t="s">
        <v>136</v>
      </c>
      <c r="H28" s="24" t="s">
        <v>38</v>
      </c>
      <c r="I28" s="24" t="s">
        <v>32</v>
      </c>
      <c r="J28" s="24" t="s">
        <v>123</v>
      </c>
      <c r="K28" s="24" t="s">
        <v>41</v>
      </c>
    </row>
    <row r="29" spans="1:11" x14ac:dyDescent="0.25">
      <c r="A29" s="32"/>
      <c r="B29" s="32" t="s">
        <v>143</v>
      </c>
      <c r="C29" s="57">
        <v>0</v>
      </c>
      <c r="D29" s="57">
        <v>0</v>
      </c>
      <c r="E29" s="57">
        <v>0</v>
      </c>
      <c r="F29" s="33">
        <v>0</v>
      </c>
      <c r="G29" s="57">
        <v>0</v>
      </c>
      <c r="H29" s="32"/>
      <c r="I29" s="33">
        <f>SUM(C29:G29)</f>
        <v>0</v>
      </c>
      <c r="J29" s="34">
        <f>$D$8</f>
        <v>0.2</v>
      </c>
      <c r="K29" s="33">
        <f>I29/(1-J29)</f>
        <v>0</v>
      </c>
    </row>
    <row r="30" spans="2:11" x14ac:dyDescent="0.25">
      <c r="B30" t="s">
        <v>144</v>
      </c>
      <c r="C30" s="58">
        <v>0</v>
      </c>
      <c r="D30" s="58">
        <v>0</v>
      </c>
      <c r="E30" s="58">
        <v>0</v>
      </c>
      <c r="F30" s="19">
        <v>0</v>
      </c>
      <c r="G30" s="58">
        <v>0</v>
      </c>
      <c r="I30" s="19">
        <f>SUM(C30:G30)</f>
        <v>0</v>
      </c>
      <c r="J30" s="26">
        <f>$D$8</f>
        <v>0.2</v>
      </c>
      <c r="K30" s="19">
        <f>I30/(1-J30)</f>
        <v>0</v>
      </c>
    </row>
    <row r="31" spans="1:11" x14ac:dyDescent="0.25">
      <c r="A31" s="32"/>
      <c r="B31" s="32" t="s">
        <v>145</v>
      </c>
      <c r="C31" s="57">
        <v>25000</v>
      </c>
      <c r="D31" s="57">
        <v>0</v>
      </c>
      <c r="E31" s="57">
        <v>0</v>
      </c>
      <c r="F31" s="33">
        <v>0</v>
      </c>
      <c r="G31" s="57">
        <v>0</v>
      </c>
      <c r="H31" s="32"/>
      <c r="I31" s="33">
        <f>SUM(C31:G31)</f>
        <v>25000</v>
      </c>
      <c r="J31" s="34">
        <f>$D$8</f>
        <v>0.2</v>
      </c>
      <c r="K31" s="33">
        <f>I31/(1-J31)</f>
        <v>31250</v>
      </c>
    </row>
    <row r="32" spans="2:11" x14ac:dyDescent="0.25">
      <c r="B32" t="s">
        <v>146</v>
      </c>
      <c r="C32" s="58">
        <v>0</v>
      </c>
      <c r="D32" s="58">
        <v>0</v>
      </c>
      <c r="E32" s="58">
        <v>0</v>
      </c>
      <c r="F32" s="19">
        <v>0</v>
      </c>
      <c r="G32" s="58">
        <v>0</v>
      </c>
      <c r="I32" s="19">
        <f>SUM(C32:G32)</f>
        <v>0</v>
      </c>
      <c r="J32" s="26">
        <f>$D$8</f>
        <v>0.2</v>
      </c>
      <c r="K32" s="19">
        <f>I32/(1-J32)</f>
        <v>0</v>
      </c>
    </row>
    <row r="33" spans="1:11" x14ac:dyDescent="0.25">
      <c r="A33" s="32"/>
      <c r="B33" s="32" t="s">
        <v>147</v>
      </c>
      <c r="C33" s="57">
        <v>0</v>
      </c>
      <c r="D33" s="57">
        <v>0</v>
      </c>
      <c r="E33" s="57">
        <v>0</v>
      </c>
      <c r="F33" s="33">
        <v>0</v>
      </c>
      <c r="G33" s="57">
        <v>0</v>
      </c>
      <c r="H33" s="32"/>
      <c r="I33" s="33">
        <f>SUM(C33:G33)</f>
        <v>0</v>
      </c>
      <c r="J33" s="34">
        <f>$D$8</f>
        <v>0.2</v>
      </c>
      <c r="K33" s="33">
        <f>I33/(1-J33)</f>
        <v>0</v>
      </c>
    </row>
    <row r="34" spans="2:11" x14ac:dyDescent="0.25">
      <c r="B34" t="s">
        <v>148</v>
      </c>
      <c r="C34" s="58">
        <v>20882.35</v>
      </c>
      <c r="D34" s="58">
        <v>0</v>
      </c>
      <c r="E34" s="58">
        <v>0</v>
      </c>
      <c r="F34" s="19">
        <v>0</v>
      </c>
      <c r="G34" s="58">
        <v>0</v>
      </c>
      <c r="I34" s="19">
        <f>SUM(C34:G34)</f>
        <v>20882.35</v>
      </c>
      <c r="J34" s="26">
        <f>$D$8</f>
        <v>0.2</v>
      </c>
      <c r="K34" s="19">
        <f>I34/(1-J34)</f>
        <v>26102.94</v>
      </c>
    </row>
    <row r="35" spans="1:11" x14ac:dyDescent="0.25">
      <c r="A35" s="59"/>
      <c r="B35" s="59" t="s">
        <v>75</v>
      </c>
      <c r="C35" s="59"/>
      <c r="D35" s="59"/>
      <c r="E35" s="59"/>
      <c r="F35" s="59"/>
      <c r="G35" s="59"/>
      <c r="H35" s="59"/>
      <c r="I35" s="60">
        <f>SUM(I29:I34)</f>
        <v>45882.35</v>
      </c>
      <c r="J35" s="59"/>
      <c r="K35" s="60">
        <f>SUM(K29:K34)</f>
        <v>57352.94</v>
      </c>
    </row>
    <row r="37" ht="24" customHeight="1" spans="1:11" x14ac:dyDescent="0.25">
      <c r="A37" s="24" t="s">
        <v>38</v>
      </c>
      <c r="B37" s="24" t="s">
        <v>149</v>
      </c>
      <c r="C37" s="24" t="s">
        <v>132</v>
      </c>
      <c r="D37" s="24" t="s">
        <v>133</v>
      </c>
      <c r="E37" s="24" t="s">
        <v>134</v>
      </c>
      <c r="F37" s="24" t="s">
        <v>135</v>
      </c>
      <c r="G37" s="24" t="s">
        <v>136</v>
      </c>
      <c r="H37" s="24" t="s">
        <v>38</v>
      </c>
      <c r="I37" s="24" t="s">
        <v>32</v>
      </c>
      <c r="J37" s="24" t="s">
        <v>123</v>
      </c>
      <c r="K37" s="24" t="s">
        <v>41</v>
      </c>
    </row>
    <row r="38" spans="1:11" x14ac:dyDescent="0.25">
      <c r="A38" s="32"/>
      <c r="B38" s="32" t="s">
        <v>150</v>
      </c>
      <c r="C38" s="57">
        <v>25000</v>
      </c>
      <c r="D38" s="57">
        <v>0</v>
      </c>
      <c r="E38" s="57">
        <v>0</v>
      </c>
      <c r="F38" s="33">
        <v>0</v>
      </c>
      <c r="G38" s="57">
        <v>0</v>
      </c>
      <c r="H38" s="32"/>
      <c r="I38" s="33">
        <f>SUM(C38:G38)</f>
        <v>25000</v>
      </c>
      <c r="J38" s="34">
        <f>$D$9</f>
        <v>0.2</v>
      </c>
      <c r="K38" s="33">
        <f>I38/(1-J38)</f>
        <v>31250</v>
      </c>
    </row>
    <row r="39" spans="2:11" x14ac:dyDescent="0.25">
      <c r="B39" t="s">
        <v>151</v>
      </c>
      <c r="C39" s="58">
        <v>0</v>
      </c>
      <c r="D39" s="58">
        <v>0</v>
      </c>
      <c r="E39" s="58">
        <v>0</v>
      </c>
      <c r="F39" s="19">
        <v>0</v>
      </c>
      <c r="G39" s="58">
        <v>0</v>
      </c>
      <c r="I39" s="19">
        <f>SUM(C39:G39)</f>
        <v>0</v>
      </c>
      <c r="J39" s="26">
        <f>$D$9</f>
        <v>0.2</v>
      </c>
      <c r="K39" s="19">
        <f>I39/(1-J39)</f>
        <v>0</v>
      </c>
    </row>
    <row r="40" spans="1:11" x14ac:dyDescent="0.25">
      <c r="A40" s="32"/>
      <c r="B40" s="32" t="s">
        <v>152</v>
      </c>
      <c r="C40" s="57">
        <v>0</v>
      </c>
      <c r="D40" s="57">
        <v>0</v>
      </c>
      <c r="E40" s="57">
        <v>0</v>
      </c>
      <c r="F40" s="33">
        <v>0</v>
      </c>
      <c r="G40" s="57">
        <v>0</v>
      </c>
      <c r="H40" s="32"/>
      <c r="I40" s="33">
        <f>SUM(C40:G40)</f>
        <v>0</v>
      </c>
      <c r="J40" s="34">
        <f>$D$9</f>
        <v>0.2</v>
      </c>
      <c r="K40" s="33">
        <f>I40/(1-J40)</f>
        <v>0</v>
      </c>
    </row>
    <row r="41" spans="2:11" x14ac:dyDescent="0.25">
      <c r="B41" t="s">
        <v>153</v>
      </c>
      <c r="C41" s="58">
        <v>0</v>
      </c>
      <c r="D41" s="58">
        <v>0</v>
      </c>
      <c r="E41" s="58">
        <v>0</v>
      </c>
      <c r="F41" s="19">
        <v>0</v>
      </c>
      <c r="G41" s="58">
        <v>0</v>
      </c>
      <c r="I41" s="19">
        <f>SUM(C41:G41)</f>
        <v>0</v>
      </c>
      <c r="J41" s="26">
        <f>$D$9</f>
        <v>0.2</v>
      </c>
      <c r="K41" s="19">
        <f>I41/(1-J41)</f>
        <v>0</v>
      </c>
    </row>
    <row r="42" spans="1:11" x14ac:dyDescent="0.25">
      <c r="A42" s="32"/>
      <c r="B42" s="32" t="s">
        <v>154</v>
      </c>
      <c r="C42" s="57">
        <v>0</v>
      </c>
      <c r="D42" s="57">
        <v>0</v>
      </c>
      <c r="E42" s="57">
        <v>0</v>
      </c>
      <c r="F42" s="33">
        <v>0</v>
      </c>
      <c r="G42" s="57">
        <v>0</v>
      </c>
      <c r="H42" s="32"/>
      <c r="I42" s="33">
        <f>SUM(C42:G42)</f>
        <v>0</v>
      </c>
      <c r="J42" s="34">
        <f>$D$9</f>
        <v>0.2</v>
      </c>
      <c r="K42" s="33">
        <f>I42/(1-J42)</f>
        <v>0</v>
      </c>
    </row>
    <row r="43" spans="2:11" x14ac:dyDescent="0.25">
      <c r="B43" t="s">
        <v>155</v>
      </c>
      <c r="C43" s="58">
        <v>0</v>
      </c>
      <c r="D43" s="58">
        <v>0</v>
      </c>
      <c r="E43" s="58">
        <v>0</v>
      </c>
      <c r="F43" s="19">
        <v>0</v>
      </c>
      <c r="G43" s="58">
        <v>0</v>
      </c>
      <c r="I43" s="19">
        <f>SUM(C43:G43)</f>
        <v>0</v>
      </c>
      <c r="J43" s="26">
        <f>$D$9</f>
        <v>0.2</v>
      </c>
      <c r="K43" s="19">
        <f>I43/(1-J43)</f>
        <v>0</v>
      </c>
    </row>
    <row r="44" spans="1:11" x14ac:dyDescent="0.25">
      <c r="A44" s="59"/>
      <c r="B44" s="59" t="s">
        <v>75</v>
      </c>
      <c r="C44" s="59"/>
      <c r="D44" s="59"/>
      <c r="E44" s="59"/>
      <c r="F44" s="59"/>
      <c r="G44" s="59"/>
      <c r="H44" s="59"/>
      <c r="I44" s="60">
        <f>SUM(I38:I43)</f>
        <v>25000</v>
      </c>
      <c r="J44" s="59"/>
      <c r="K44" s="60">
        <f>SUM(K38:K43)</f>
        <v>31250</v>
      </c>
    </row>
    <row r="46" ht="24" customHeight="1" spans="1:11" x14ac:dyDescent="0.25">
      <c r="A46" s="24" t="s">
        <v>38</v>
      </c>
      <c r="B46" s="24" t="s">
        <v>156</v>
      </c>
      <c r="C46" s="24" t="s">
        <v>132</v>
      </c>
      <c r="D46" s="24" t="s">
        <v>133</v>
      </c>
      <c r="E46" s="24" t="s">
        <v>134</v>
      </c>
      <c r="F46" s="24" t="s">
        <v>135</v>
      </c>
      <c r="G46" s="24" t="s">
        <v>136</v>
      </c>
      <c r="H46" s="24" t="s">
        <v>38</v>
      </c>
      <c r="I46" s="24" t="s">
        <v>32</v>
      </c>
      <c r="J46" s="24" t="s">
        <v>123</v>
      </c>
      <c r="K46" s="24" t="s">
        <v>41</v>
      </c>
    </row>
    <row r="47" spans="1:11" x14ac:dyDescent="0.25">
      <c r="A47" s="32"/>
      <c r="B47" s="32" t="s">
        <v>157</v>
      </c>
      <c r="C47" s="57">
        <v>4705.88</v>
      </c>
      <c r="D47" s="57">
        <v>0</v>
      </c>
      <c r="E47" s="57">
        <v>0</v>
      </c>
      <c r="F47" s="33">
        <v>0</v>
      </c>
      <c r="G47" s="57">
        <v>0</v>
      </c>
      <c r="H47" s="32"/>
      <c r="I47" s="33">
        <f>SUM(C47:G47)</f>
        <v>4705.88</v>
      </c>
      <c r="J47" s="34">
        <f>$D$11</f>
        <v>0.2</v>
      </c>
      <c r="K47" s="33">
        <f>I47/(1-J47)</f>
        <v>5882.35</v>
      </c>
    </row>
    <row r="48" spans="2:11" x14ac:dyDescent="0.25">
      <c r="B48" t="s">
        <v>158</v>
      </c>
      <c r="C48" s="58">
        <v>0</v>
      </c>
      <c r="D48" s="58">
        <v>0</v>
      </c>
      <c r="E48" s="58">
        <v>0</v>
      </c>
      <c r="F48" s="19">
        <v>0</v>
      </c>
      <c r="G48" s="58">
        <v>0</v>
      </c>
      <c r="I48" s="19">
        <f>SUM(C48:G48)</f>
        <v>0</v>
      </c>
      <c r="J48" s="26">
        <f>$D$11</f>
        <v>0.2</v>
      </c>
      <c r="K48" s="19">
        <f>I48/(1-J48)</f>
        <v>0</v>
      </c>
    </row>
    <row r="49" spans="1:11" x14ac:dyDescent="0.25">
      <c r="A49" s="32"/>
      <c r="B49" s="32" t="s">
        <v>159</v>
      </c>
      <c r="C49" s="57">
        <v>0</v>
      </c>
      <c r="D49" s="57">
        <v>0</v>
      </c>
      <c r="E49" s="57">
        <v>0</v>
      </c>
      <c r="F49" s="33">
        <v>0</v>
      </c>
      <c r="G49" s="57">
        <v>0</v>
      </c>
      <c r="H49" s="32"/>
      <c r="I49" s="33">
        <f>SUM(C49:G49)</f>
        <v>0</v>
      </c>
      <c r="J49" s="34">
        <f>$D$11</f>
        <v>0.2</v>
      </c>
      <c r="K49" s="33">
        <f>I49/(1-J49)</f>
        <v>0</v>
      </c>
    </row>
    <row r="50" spans="2:11" x14ac:dyDescent="0.25">
      <c r="B50" t="s">
        <v>160</v>
      </c>
      <c r="C50" s="58">
        <v>0</v>
      </c>
      <c r="D50" s="58">
        <v>0</v>
      </c>
      <c r="E50" s="58">
        <v>0</v>
      </c>
      <c r="F50" s="19">
        <v>0</v>
      </c>
      <c r="G50" s="58">
        <v>0</v>
      </c>
      <c r="I50" s="19">
        <f>SUM(C50:G50)</f>
        <v>0</v>
      </c>
      <c r="J50" s="26">
        <f>$D$11</f>
        <v>0.2</v>
      </c>
      <c r="K50" s="19">
        <f>I50/(1-J50)</f>
        <v>0</v>
      </c>
    </row>
    <row r="51" spans="1:11" x14ac:dyDescent="0.25">
      <c r="A51" s="32"/>
      <c r="B51" s="32" t="s">
        <v>161</v>
      </c>
      <c r="C51" s="57">
        <v>0</v>
      </c>
      <c r="D51" s="57">
        <v>0</v>
      </c>
      <c r="E51" s="57">
        <v>0</v>
      </c>
      <c r="F51" s="33">
        <v>0</v>
      </c>
      <c r="G51" s="57">
        <v>0</v>
      </c>
      <c r="H51" s="32"/>
      <c r="I51" s="33">
        <f>SUM(C51:G51)</f>
        <v>0</v>
      </c>
      <c r="J51" s="34">
        <f>$D$11</f>
        <v>0.2</v>
      </c>
      <c r="K51" s="33">
        <f>I51/(1-J51)</f>
        <v>0</v>
      </c>
    </row>
    <row r="52" spans="1:11" x14ac:dyDescent="0.25">
      <c r="A52" s="59"/>
      <c r="B52" s="59" t="s">
        <v>75</v>
      </c>
      <c r="C52" s="59"/>
      <c r="D52" s="59"/>
      <c r="E52" s="59"/>
      <c r="F52" s="59"/>
      <c r="G52" s="59"/>
      <c r="H52" s="59"/>
      <c r="I52" s="60">
        <f>SUM(I47:I51)</f>
        <v>4705.88</v>
      </c>
      <c r="J52" s="59"/>
      <c r="K52" s="60">
        <f>SUM(K47:K51)</f>
        <v>5882.35</v>
      </c>
    </row>
    <row r="54" spans="1:11" x14ac:dyDescent="0.25">
      <c r="A54" s="27"/>
      <c r="B54" s="28" t="s">
        <v>162</v>
      </c>
      <c r="C54" s="27"/>
      <c r="D54" s="27"/>
      <c r="E54" s="27"/>
      <c r="F54" s="27"/>
      <c r="G54" s="27"/>
      <c r="H54" s="27"/>
      <c r="I54" s="29">
        <f>I26+I35+I44+I52</f>
        <v>136987.93</v>
      </c>
      <c r="J54" s="27"/>
      <c r="K54" s="29">
        <f>K26+K35+K44+K52</f>
        <v>164808.47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3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163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38</v>
      </c>
      <c r="B4" s="24" t="s">
        <v>81</v>
      </c>
      <c r="C4" s="24" t="s">
        <v>164</v>
      </c>
      <c r="D4" s="24" t="s">
        <v>165</v>
      </c>
      <c r="E4" s="24" t="s">
        <v>166</v>
      </c>
      <c r="F4" s="24" t="s">
        <v>167</v>
      </c>
      <c r="G4" s="24" t="s">
        <v>168</v>
      </c>
      <c r="H4" s="24" t="s">
        <v>169</v>
      </c>
      <c r="I4" s="24" t="s">
        <v>170</v>
      </c>
    </row>
    <row r="5" spans="1:9" x14ac:dyDescent="0.25">
      <c r="A5" s="32"/>
      <c r="B5" s="40" t="s">
        <v>171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172</v>
      </c>
      <c r="C6" s="61">
        <v>3840</v>
      </c>
      <c r="D6" s="61">
        <v>2160</v>
      </c>
      <c r="E6">
        <v>16</v>
      </c>
      <c r="G6" s="61">
        <v>650000</v>
      </c>
      <c r="H6" s="61">
        <v>455000</v>
      </c>
      <c r="I6" s="61">
        <v>320000</v>
      </c>
    </row>
    <row r="7" spans="1:9" x14ac:dyDescent="0.25">
      <c r="A7" s="32"/>
      <c r="B7" s="40" t="s">
        <v>173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54" t="s">
        <v>174</v>
      </c>
    </row>
    <row r="11" ht="28" customHeight="1" spans="1:9" x14ac:dyDescent="0.25">
      <c r="A11" s="3" t="s">
        <v>38</v>
      </c>
      <c r="B11" s="3" t="s">
        <v>81</v>
      </c>
      <c r="C11" s="3" t="s">
        <v>164</v>
      </c>
      <c r="D11" s="3" t="s">
        <v>165</v>
      </c>
      <c r="E11" s="3" t="s">
        <v>92</v>
      </c>
      <c r="F11" s="3" t="s">
        <v>175</v>
      </c>
      <c r="G11" s="3" t="s">
        <v>176</v>
      </c>
      <c r="H11" s="3" t="s">
        <v>177</v>
      </c>
      <c r="I11" s="3" t="s">
        <v>178</v>
      </c>
    </row>
    <row r="12" spans="1:9" x14ac:dyDescent="0.25">
      <c r="A12" s="32"/>
      <c r="B12" s="32" t="str">
        <f>'LED Cost Sheet'!A4</f>
        <v>Marquee</v>
      </c>
      <c r="C12" s="45">
        <f>'LED Cost Sheet'!H4</f>
        <v>2438</v>
      </c>
      <c r="D12" s="45">
        <f>'LED Cost Sheet'!G4</f>
        <v>1219</v>
      </c>
      <c r="E12" s="32">
        <f>'LED Cost Sheet'!I4</f>
        <v>1</v>
      </c>
      <c r="F12" s="45">
        <f>C12*D12*E12</f>
        <v>2971922</v>
      </c>
      <c r="G12" s="32">
        <f>IFERROR(CEILING(F12/650000,1),0)</f>
        <v>5</v>
      </c>
      <c r="H12" s="32" t="str">
        <f>IF(G12&gt;8,"MCTRL4K","660 Pro")</f>
        <v>660 Pro</v>
      </c>
      <c r="I12" s="32">
        <f>IFERROR(CEILING(G12/IF(G12&gt;8,16,8),1),0)</f>
        <v>1</v>
      </c>
    </row>
    <row r="13" spans="1:9" x14ac:dyDescent="0.25">
      <c r="A13" s="47"/>
      <c r="B13" s="47" t="s">
        <v>179</v>
      </c>
      <c r="C13" s="47"/>
      <c r="D13" s="47"/>
      <c r="E13" s="47"/>
      <c r="F13" s="48">
        <f>SUM(F12:F12)</f>
        <v>2971922</v>
      </c>
      <c r="G13" s="47">
        <f>SUM(G12:G12)</f>
        <v>5</v>
      </c>
      <c r="H13" s="47"/>
      <c r="I13" s="47">
        <f>SUM(I12:I12)</f>
        <v>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12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180</v>
      </c>
      <c r="B1" s="1"/>
      <c r="C1" s="1"/>
      <c r="D1" s="1"/>
    </row>
    <row r="2" spans="1:4" x14ac:dyDescent="0.25">
      <c r="A2" s="2" t="s">
        <v>181</v>
      </c>
      <c r="B2" s="2"/>
      <c r="C2" s="2"/>
      <c r="D2" s="2"/>
    </row>
    <row r="6" ht="28" customHeight="1" spans="1:8" x14ac:dyDescent="0.25">
      <c r="A6" s="24" t="s">
        <v>67</v>
      </c>
      <c r="B6" s="24" t="s">
        <v>182</v>
      </c>
      <c r="C6" s="24" t="s">
        <v>40</v>
      </c>
      <c r="D6" s="24" t="s">
        <v>92</v>
      </c>
      <c r="E6" s="24" t="s">
        <v>32</v>
      </c>
      <c r="F6" s="24" t="s">
        <v>183</v>
      </c>
      <c r="G6" s="24" t="s">
        <v>41</v>
      </c>
      <c r="H6" s="24" t="s">
        <v>42</v>
      </c>
    </row>
    <row r="7" spans="1:1" s="32" customFormat="1" x14ac:dyDescent="0.25">
      <c r="A7" s="40" t="s">
        <v>44</v>
      </c>
    </row>
    <row r="8" spans="1:8" x14ac:dyDescent="0.25">
      <c r="A8" s="32" t="s">
        <v>184</v>
      </c>
      <c r="B8" s="32" t="s">
        <v>185</v>
      </c>
      <c r="C8" s="57">
        <v>450</v>
      </c>
      <c r="D8" s="42">
        <v>1</v>
      </c>
      <c r="E8" s="33">
        <f>C8*D8</f>
        <v>450</v>
      </c>
      <c r="F8" s="62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184</v>
      </c>
      <c r="B9" t="s">
        <v>186</v>
      </c>
      <c r="C9" s="58">
        <v>120</v>
      </c>
      <c r="D9" s="63">
        <v>1</v>
      </c>
      <c r="E9" s="19">
        <f>C9*D9</f>
        <v>120</v>
      </c>
      <c r="F9" s="20">
        <v>0.15</v>
      </c>
      <c r="G9" s="19">
        <f>IFERROR(E9/(1-F9),0)</f>
        <v>141.18</v>
      </c>
      <c r="H9" s="19">
        <f>IFERROR(G9-E9,0)</f>
        <v>21.18</v>
      </c>
    </row>
    <row r="10" spans="2:8" x14ac:dyDescent="0.25">
      <c r="B10" s="25" t="s">
        <v>187</v>
      </c>
      <c r="E10" s="64">
        <f>SUM(E8:E9)</f>
        <v>570</v>
      </c>
      <c r="G10" s="19">
        <f>SUM(G8:G9)</f>
        <v>670.5899999999999</v>
      </c>
      <c r="H10" s="19">
        <f>IFERROR(G10-E10,0)</f>
        <v>100.58999999999997</v>
      </c>
    </row>
    <row r="12" spans="1:8" x14ac:dyDescent="0.25">
      <c r="A12" s="27" t="s">
        <v>188</v>
      </c>
      <c r="B12" s="27"/>
      <c r="C12" s="27"/>
      <c r="D12" s="27"/>
      <c r="E12" s="65">
        <f>E10</f>
        <v>570</v>
      </c>
      <c r="F12" s="27"/>
      <c r="G12" s="65">
        <f>G10</f>
        <v>670.59</v>
      </c>
      <c r="H12" s="65">
        <f>IFERROR(G12-E12,0)</f>
        <v>100.59000000000003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189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38</v>
      </c>
      <c r="B4" s="3" t="s">
        <v>190</v>
      </c>
      <c r="C4" s="3" t="s">
        <v>40</v>
      </c>
      <c r="D4" s="3" t="s">
        <v>191</v>
      </c>
      <c r="E4" s="3" t="s">
        <v>32</v>
      </c>
    </row>
    <row r="5" spans="1:7" x14ac:dyDescent="0.25">
      <c r="A5" s="32"/>
      <c r="B5" s="32" t="s">
        <v>192</v>
      </c>
      <c r="C5" s="33">
        <v>300</v>
      </c>
      <c r="D5" s="66">
        <v>0</v>
      </c>
      <c r="E5" s="33">
        <v>0</v>
      </c>
      <c r="G5" s="67" t="s">
        <v>38</v>
      </c>
    </row>
    <row r="6" spans="2:7" x14ac:dyDescent="0.25">
      <c r="B6" t="s">
        <v>193</v>
      </c>
      <c r="C6" s="19">
        <v>1000</v>
      </c>
      <c r="D6" s="68">
        <v>0</v>
      </c>
      <c r="E6" s="19">
        <v>0</v>
      </c>
      <c r="G6" s="67" t="s">
        <v>38</v>
      </c>
    </row>
    <row r="7" spans="1:7" x14ac:dyDescent="0.25">
      <c r="A7" s="32"/>
      <c r="B7" s="32" t="s">
        <v>194</v>
      </c>
      <c r="C7" s="33">
        <v>125</v>
      </c>
      <c r="D7" s="66">
        <v>0</v>
      </c>
      <c r="E7" s="33">
        <v>0</v>
      </c>
      <c r="G7" s="67" t="s">
        <v>38</v>
      </c>
    </row>
    <row r="8" spans="2:7" x14ac:dyDescent="0.25">
      <c r="B8" t="s">
        <v>195</v>
      </c>
      <c r="C8" s="19">
        <v>100</v>
      </c>
      <c r="D8" s="68">
        <v>0</v>
      </c>
      <c r="E8" s="19">
        <v>0</v>
      </c>
      <c r="G8" s="67" t="s">
        <v>38</v>
      </c>
    </row>
    <row r="9" spans="1:7" x14ac:dyDescent="0.25">
      <c r="A9" s="32"/>
      <c r="B9" s="32" t="s">
        <v>196</v>
      </c>
      <c r="C9" s="33">
        <v>10000</v>
      </c>
      <c r="D9" s="66">
        <v>0</v>
      </c>
      <c r="E9" s="33">
        <v>0</v>
      </c>
      <c r="G9" s="67" t="s">
        <v>197</v>
      </c>
    </row>
    <row r="10" spans="1:5" x14ac:dyDescent="0.25">
      <c r="A10" s="59"/>
      <c r="B10" s="59" t="s">
        <v>198</v>
      </c>
      <c r="C10" s="59"/>
      <c r="D10" s="59"/>
      <c r="E10" s="60">
        <v>0</v>
      </c>
    </row>
    <row r="11" spans="1:5" x14ac:dyDescent="0.25">
      <c r="A11" s="35"/>
      <c r="B11" s="35" t="s">
        <v>179</v>
      </c>
      <c r="C11" s="35" t="s">
        <v>199</v>
      </c>
      <c r="D11" s="35"/>
      <c r="E11" s="36">
        <v>0</v>
      </c>
    </row>
    <row r="13" ht="24" customHeight="1" spans="1:5" x14ac:dyDescent="0.25">
      <c r="A13" s="3" t="s">
        <v>38</v>
      </c>
      <c r="B13" s="3" t="s">
        <v>200</v>
      </c>
      <c r="C13" s="3" t="s">
        <v>40</v>
      </c>
      <c r="D13" s="3" t="s">
        <v>191</v>
      </c>
      <c r="E13" s="3" t="s">
        <v>32</v>
      </c>
    </row>
    <row r="14" spans="1:7" x14ac:dyDescent="0.25">
      <c r="A14" s="32"/>
      <c r="B14" s="32" t="s">
        <v>192</v>
      </c>
      <c r="C14" s="33">
        <v>300</v>
      </c>
      <c r="D14" s="66">
        <v>0</v>
      </c>
      <c r="E14" s="33">
        <v>0</v>
      </c>
      <c r="G14" s="67" t="s">
        <v>38</v>
      </c>
    </row>
    <row r="15" spans="2:7" x14ac:dyDescent="0.25">
      <c r="B15" t="s">
        <v>193</v>
      </c>
      <c r="C15" s="19">
        <v>1000</v>
      </c>
      <c r="D15" s="68">
        <v>0</v>
      </c>
      <c r="E15" s="19">
        <v>0</v>
      </c>
      <c r="G15" s="67" t="s">
        <v>38</v>
      </c>
    </row>
    <row r="16" spans="1:7" x14ac:dyDescent="0.25">
      <c r="A16" s="32"/>
      <c r="B16" s="32" t="s">
        <v>194</v>
      </c>
      <c r="C16" s="33">
        <v>125</v>
      </c>
      <c r="D16" s="66">
        <v>0</v>
      </c>
      <c r="E16" s="33">
        <v>0</v>
      </c>
      <c r="G16" s="67" t="s">
        <v>38</v>
      </c>
    </row>
    <row r="17" spans="2:7" x14ac:dyDescent="0.25">
      <c r="B17" t="s">
        <v>195</v>
      </c>
      <c r="C17" s="19">
        <v>100</v>
      </c>
      <c r="D17" s="68">
        <v>0</v>
      </c>
      <c r="E17" s="19">
        <v>0</v>
      </c>
      <c r="G17" s="67" t="s">
        <v>38</v>
      </c>
    </row>
    <row r="18" spans="1:7" x14ac:dyDescent="0.25">
      <c r="A18" s="32"/>
      <c r="B18" s="32" t="s">
        <v>196</v>
      </c>
      <c r="C18" s="33">
        <v>10000</v>
      </c>
      <c r="D18" s="66">
        <v>0</v>
      </c>
      <c r="E18" s="33">
        <v>0</v>
      </c>
      <c r="G18" s="67" t="s">
        <v>197</v>
      </c>
    </row>
    <row r="19" spans="1:5" x14ac:dyDescent="0.25">
      <c r="A19" s="59"/>
      <c r="B19" s="59" t="s">
        <v>198</v>
      </c>
      <c r="C19" s="59"/>
      <c r="D19" s="59"/>
      <c r="E19" s="60">
        <v>0</v>
      </c>
    </row>
    <row r="20" spans="1:5" x14ac:dyDescent="0.25">
      <c r="A20" s="35"/>
      <c r="B20" s="35" t="s">
        <v>179</v>
      </c>
      <c r="C20" s="35" t="s">
        <v>199</v>
      </c>
      <c r="D20" s="35"/>
      <c r="E20" s="36">
        <v>0</v>
      </c>
    </row>
    <row r="22" ht="24" customHeight="1" spans="1:5" x14ac:dyDescent="0.25">
      <c r="A22" s="3" t="s">
        <v>38</v>
      </c>
      <c r="B22" s="3" t="s">
        <v>201</v>
      </c>
      <c r="C22" s="3" t="s">
        <v>40</v>
      </c>
      <c r="D22" s="3" t="s">
        <v>191</v>
      </c>
      <c r="E22" s="3" t="s">
        <v>32</v>
      </c>
    </row>
    <row r="23" spans="1:7" x14ac:dyDescent="0.25">
      <c r="A23" s="32"/>
      <c r="B23" s="32" t="s">
        <v>192</v>
      </c>
      <c r="C23" s="33">
        <v>300</v>
      </c>
      <c r="D23" s="66">
        <v>0</v>
      </c>
      <c r="E23" s="33">
        <v>0</v>
      </c>
      <c r="G23" s="67" t="s">
        <v>38</v>
      </c>
    </row>
    <row r="24" spans="2:7" x14ac:dyDescent="0.25">
      <c r="B24" t="s">
        <v>193</v>
      </c>
      <c r="C24" s="19">
        <v>1000</v>
      </c>
      <c r="D24" s="68">
        <v>0</v>
      </c>
      <c r="E24" s="19">
        <v>0</v>
      </c>
      <c r="G24" s="67" t="s">
        <v>38</v>
      </c>
    </row>
    <row r="25" spans="1:7" x14ac:dyDescent="0.25">
      <c r="A25" s="32"/>
      <c r="B25" s="32" t="s">
        <v>194</v>
      </c>
      <c r="C25" s="33">
        <v>125</v>
      </c>
      <c r="D25" s="66">
        <v>0</v>
      </c>
      <c r="E25" s="33">
        <v>0</v>
      </c>
      <c r="G25" s="67" t="s">
        <v>38</v>
      </c>
    </row>
    <row r="26" spans="2:7" x14ac:dyDescent="0.25">
      <c r="B26" t="s">
        <v>195</v>
      </c>
      <c r="C26" s="19">
        <v>100</v>
      </c>
      <c r="D26" s="68">
        <v>0</v>
      </c>
      <c r="E26" s="19">
        <v>0</v>
      </c>
      <c r="G26" s="67" t="s">
        <v>38</v>
      </c>
    </row>
    <row r="27" spans="1:7" x14ac:dyDescent="0.25">
      <c r="A27" s="32"/>
      <c r="B27" s="32" t="s">
        <v>196</v>
      </c>
      <c r="C27" s="33">
        <v>10000</v>
      </c>
      <c r="D27" s="66">
        <v>0</v>
      </c>
      <c r="E27" s="33">
        <v>0</v>
      </c>
      <c r="G27" s="67" t="s">
        <v>197</v>
      </c>
    </row>
    <row r="28" spans="2:7" x14ac:dyDescent="0.25">
      <c r="B28" t="s">
        <v>202</v>
      </c>
      <c r="C28" s="19">
        <v>1500</v>
      </c>
      <c r="D28" s="68">
        <v>0</v>
      </c>
      <c r="E28" s="19">
        <v>0</v>
      </c>
      <c r="G28" s="67" t="s">
        <v>38</v>
      </c>
    </row>
    <row r="29" spans="1:5" x14ac:dyDescent="0.25">
      <c r="A29" s="59"/>
      <c r="B29" s="59" t="s">
        <v>198</v>
      </c>
      <c r="C29" s="59"/>
      <c r="D29" s="59"/>
      <c r="E29" s="60">
        <v>0</v>
      </c>
    </row>
    <row r="30" spans="1:5" x14ac:dyDescent="0.25">
      <c r="A30" s="35"/>
      <c r="B30" s="35" t="s">
        <v>179</v>
      </c>
      <c r="C30" s="35" t="s">
        <v>199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203</v>
      </c>
      <c r="B1" s="1"/>
      <c r="C1" s="1"/>
      <c r="D1" s="1"/>
      <c r="E1" s="1"/>
      <c r="F1" s="1"/>
      <c r="G1" s="1"/>
    </row>
    <row r="4" spans="2:2" x14ac:dyDescent="0.25">
      <c r="B4" s="54" t="s">
        <v>204</v>
      </c>
    </row>
    <row r="5" spans="2:2" x14ac:dyDescent="0.25">
      <c r="B5" s="69" t="s">
        <v>205</v>
      </c>
    </row>
    <row r="6" ht="24" customHeight="1" spans="1:9" x14ac:dyDescent="0.25">
      <c r="A6" s="24" t="s">
        <v>38</v>
      </c>
      <c r="B6" s="24" t="s">
        <v>67</v>
      </c>
      <c r="C6" s="24" t="s">
        <v>206</v>
      </c>
      <c r="D6" s="24" t="s">
        <v>40</v>
      </c>
      <c r="E6" s="24" t="s">
        <v>191</v>
      </c>
      <c r="F6" s="24" t="s">
        <v>32</v>
      </c>
      <c r="G6" s="24" t="s">
        <v>183</v>
      </c>
      <c r="H6" s="24" t="s">
        <v>41</v>
      </c>
      <c r="I6" s="24" t="s">
        <v>42</v>
      </c>
    </row>
    <row r="7" spans="1:9" x14ac:dyDescent="0.25">
      <c r="A7" s="32"/>
      <c r="B7" s="6" t="s">
        <v>207</v>
      </c>
      <c r="C7" s="32" t="s">
        <v>208</v>
      </c>
      <c r="D7" s="57">
        <v>0</v>
      </c>
      <c r="E7" s="66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207</v>
      </c>
      <c r="C8" t="s">
        <v>209</v>
      </c>
      <c r="D8" s="58">
        <v>0</v>
      </c>
      <c r="E8" s="68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207</v>
      </c>
      <c r="C9" s="32" t="s">
        <v>210</v>
      </c>
      <c r="D9" s="57">
        <v>0</v>
      </c>
      <c r="E9" s="66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207</v>
      </c>
      <c r="C10" t="s">
        <v>211</v>
      </c>
      <c r="D10" s="58">
        <v>0</v>
      </c>
      <c r="E10" s="68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212</v>
      </c>
      <c r="C11" s="32" t="s">
        <v>208</v>
      </c>
      <c r="D11" s="57">
        <v>0</v>
      </c>
      <c r="E11" s="66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212</v>
      </c>
      <c r="C12" t="s">
        <v>209</v>
      </c>
      <c r="D12" s="58">
        <v>0</v>
      </c>
      <c r="E12" s="68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212</v>
      </c>
      <c r="C13" s="32" t="s">
        <v>210</v>
      </c>
      <c r="D13" s="57">
        <v>0</v>
      </c>
      <c r="E13" s="66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213</v>
      </c>
      <c r="C14" t="s">
        <v>214</v>
      </c>
      <c r="D14" s="58">
        <v>0</v>
      </c>
      <c r="E14" s="68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213</v>
      </c>
      <c r="C15" s="32" t="s">
        <v>215</v>
      </c>
      <c r="D15" s="57">
        <v>0</v>
      </c>
      <c r="E15" s="66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213</v>
      </c>
      <c r="C16" t="s">
        <v>216</v>
      </c>
      <c r="D16" s="58">
        <v>0</v>
      </c>
      <c r="E16" s="68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38</v>
      </c>
      <c r="C17" s="32" t="s">
        <v>217</v>
      </c>
      <c r="D17" s="57">
        <v>0</v>
      </c>
      <c r="E17" s="66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218</v>
      </c>
      <c r="D18" s="58">
        <v>0</v>
      </c>
      <c r="E18" s="68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99</v>
      </c>
      <c r="D19" s="57">
        <v>0</v>
      </c>
      <c r="E19" s="66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219</v>
      </c>
      <c r="D20" s="58">
        <v>0</v>
      </c>
      <c r="E20" s="68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47"/>
      <c r="B22" s="47"/>
      <c r="C22" s="47" t="s">
        <v>220</v>
      </c>
      <c r="D22" s="47"/>
      <c r="E22" s="47"/>
      <c r="F22" s="49">
        <f>SUM(F7:F20)</f>
        <v>0</v>
      </c>
      <c r="G22" s="47"/>
      <c r="H22" s="49">
        <f>SUM(H7:H20)</f>
        <v>0</v>
      </c>
      <c r="I22" s="49">
        <f>IFERROR(H22-F22,0)</f>
        <v>0</v>
      </c>
    </row>
    <row r="24" spans="2:6" x14ac:dyDescent="0.25">
      <c r="B24" t="s">
        <v>76</v>
      </c>
      <c r="F24" s="58">
        <v>0</v>
      </c>
    </row>
    <row r="25" spans="2:6" x14ac:dyDescent="0.25">
      <c r="B25" t="s">
        <v>77</v>
      </c>
      <c r="F25" s="58">
        <v>0</v>
      </c>
    </row>
    <row r="26" spans="1:9" x14ac:dyDescent="0.25">
      <c r="A26" s="27"/>
      <c r="B26" s="70" t="s">
        <v>221</v>
      </c>
      <c r="C26" s="70" t="s">
        <v>199</v>
      </c>
      <c r="D26" s="27"/>
      <c r="E26" s="27"/>
      <c r="F26" s="71">
        <f>F22+F24+F25</f>
        <v>0</v>
      </c>
      <c r="G26" s="27"/>
      <c r="H26" s="71">
        <f>H22</f>
        <v>0</v>
      </c>
      <c r="I26" s="71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222</v>
      </c>
      <c r="B1" s="1"/>
      <c r="C1" s="1"/>
      <c r="D1" s="1"/>
      <c r="E1" s="1"/>
      <c r="F1" s="1"/>
      <c r="G1" s="1"/>
    </row>
    <row r="4" spans="2:2" x14ac:dyDescent="0.25">
      <c r="B4" s="54" t="s">
        <v>223</v>
      </c>
    </row>
    <row r="5" spans="2:2" x14ac:dyDescent="0.25">
      <c r="B5" s="69" t="s">
        <v>205</v>
      </c>
    </row>
    <row r="6" ht="24" customHeight="1" spans="1:9" x14ac:dyDescent="0.25">
      <c r="A6" s="24" t="s">
        <v>38</v>
      </c>
      <c r="B6" s="24" t="s">
        <v>67</v>
      </c>
      <c r="C6" s="24" t="s">
        <v>206</v>
      </c>
      <c r="D6" s="24" t="s">
        <v>40</v>
      </c>
      <c r="E6" s="24" t="s">
        <v>191</v>
      </c>
      <c r="F6" s="24" t="s">
        <v>32</v>
      </c>
      <c r="G6" s="24" t="s">
        <v>183</v>
      </c>
      <c r="H6" s="24" t="s">
        <v>41</v>
      </c>
      <c r="I6" s="24" t="s">
        <v>42</v>
      </c>
    </row>
    <row r="7" spans="1:9" x14ac:dyDescent="0.25">
      <c r="A7" s="32"/>
      <c r="B7" s="6" t="s">
        <v>224</v>
      </c>
      <c r="C7" s="32" t="s">
        <v>225</v>
      </c>
      <c r="D7" s="57">
        <v>0</v>
      </c>
      <c r="E7" s="66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224</v>
      </c>
      <c r="C8" t="s">
        <v>226</v>
      </c>
      <c r="D8" s="58">
        <v>0</v>
      </c>
      <c r="E8" s="68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224</v>
      </c>
      <c r="C9" s="32" t="s">
        <v>227</v>
      </c>
      <c r="D9" s="57">
        <v>0</v>
      </c>
      <c r="E9" s="66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224</v>
      </c>
      <c r="C10" t="s">
        <v>228</v>
      </c>
      <c r="D10" s="58">
        <v>0</v>
      </c>
      <c r="E10" s="68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224</v>
      </c>
      <c r="C11" s="32" t="s">
        <v>229</v>
      </c>
      <c r="D11" s="57">
        <v>0</v>
      </c>
      <c r="E11" s="66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230</v>
      </c>
      <c r="C12" t="s">
        <v>231</v>
      </c>
      <c r="D12" s="58">
        <v>0</v>
      </c>
      <c r="E12" s="68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230</v>
      </c>
      <c r="C13" s="32" t="s">
        <v>232</v>
      </c>
      <c r="D13" s="57">
        <v>0</v>
      </c>
      <c r="E13" s="66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230</v>
      </c>
      <c r="C14" t="s">
        <v>233</v>
      </c>
      <c r="D14" s="58">
        <v>0</v>
      </c>
      <c r="E14" s="68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234</v>
      </c>
      <c r="C15" s="32" t="s">
        <v>214</v>
      </c>
      <c r="D15" s="57">
        <v>0</v>
      </c>
      <c r="E15" s="66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234</v>
      </c>
      <c r="C16" t="s">
        <v>235</v>
      </c>
      <c r="D16" s="58">
        <v>0</v>
      </c>
      <c r="E16" s="68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234</v>
      </c>
      <c r="C17" s="32" t="s">
        <v>216</v>
      </c>
      <c r="D17" s="57">
        <v>0</v>
      </c>
      <c r="E17" s="66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217</v>
      </c>
      <c r="D18" s="58">
        <v>0</v>
      </c>
      <c r="E18" s="68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218</v>
      </c>
      <c r="D19" s="57">
        <v>0</v>
      </c>
      <c r="E19" s="66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99</v>
      </c>
      <c r="D20" s="58">
        <v>0</v>
      </c>
      <c r="E20" s="68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38</v>
      </c>
      <c r="C21" s="32" t="s">
        <v>219</v>
      </c>
      <c r="D21" s="57">
        <v>0</v>
      </c>
      <c r="E21" s="66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47"/>
      <c r="B23" s="47"/>
      <c r="C23" s="47" t="s">
        <v>236</v>
      </c>
      <c r="D23" s="47"/>
      <c r="E23" s="47"/>
      <c r="F23" s="49">
        <f>SUM(F7:F21)</f>
        <v>0</v>
      </c>
      <c r="G23" s="47"/>
      <c r="H23" s="49">
        <f>SUM(H7:H21)</f>
        <v>0</v>
      </c>
      <c r="I23" s="49">
        <f>IFERROR(H23-F23,0)</f>
        <v>0</v>
      </c>
    </row>
    <row r="25" spans="2:6" x14ac:dyDescent="0.25">
      <c r="B25" t="s">
        <v>76</v>
      </c>
      <c r="F25" s="58">
        <v>0</v>
      </c>
    </row>
    <row r="26" spans="2:6" x14ac:dyDescent="0.25">
      <c r="B26" t="s">
        <v>77</v>
      </c>
      <c r="F26" s="58">
        <v>0</v>
      </c>
    </row>
    <row r="27" spans="1:9" x14ac:dyDescent="0.25">
      <c r="A27" s="27"/>
      <c r="B27" s="70" t="s">
        <v>221</v>
      </c>
      <c r="C27" s="70" t="s">
        <v>199</v>
      </c>
      <c r="D27" s="27"/>
      <c r="E27" s="27"/>
      <c r="F27" s="71">
        <f>F23+F25+F26</f>
        <v>0</v>
      </c>
      <c r="G27" s="27"/>
      <c r="H27" s="71">
        <f>H23</f>
        <v>0</v>
      </c>
      <c r="I27" s="71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237</v>
      </c>
      <c r="B1" s="1"/>
      <c r="C1" s="1"/>
      <c r="D1" s="1"/>
      <c r="E1" s="1"/>
    </row>
    <row r="2" spans="1:5" x14ac:dyDescent="0.25">
      <c r="A2" s="2" t="s">
        <v>238</v>
      </c>
      <c r="B2" s="2"/>
      <c r="C2" s="2"/>
      <c r="D2" s="2"/>
      <c r="E2" s="2"/>
    </row>
    <row r="4" spans="1:3" x14ac:dyDescent="0.25">
      <c r="A4" t="s">
        <v>239</v>
      </c>
      <c r="B4" s="68">
        <v>3</v>
      </c>
      <c r="C4" s="72" t="s">
        <v>240</v>
      </c>
    </row>
    <row r="5" spans="1:3" x14ac:dyDescent="0.25">
      <c r="A5" t="s">
        <v>241</v>
      </c>
      <c r="B5" s="58">
        <v>0</v>
      </c>
      <c r="C5" s="72" t="s">
        <v>242</v>
      </c>
    </row>
    <row r="6" spans="1:3" x14ac:dyDescent="0.25">
      <c r="A6" t="s">
        <v>243</v>
      </c>
      <c r="B6" s="20">
        <v>0.03</v>
      </c>
      <c r="C6" s="72" t="s">
        <v>244</v>
      </c>
    </row>
    <row r="7" spans="1:3" x14ac:dyDescent="0.25">
      <c r="A7" t="s">
        <v>43</v>
      </c>
      <c r="B7" s="20">
        <v>0.15</v>
      </c>
      <c r="C7" s="72" t="s">
        <v>245</v>
      </c>
    </row>
    <row r="10" spans="1:5" x14ac:dyDescent="0.25">
      <c r="A10" s="24" t="s">
        <v>246</v>
      </c>
      <c r="B10" s="24" t="s">
        <v>40</v>
      </c>
      <c r="C10" s="24" t="s">
        <v>41</v>
      </c>
      <c r="D10" s="24" t="s">
        <v>42</v>
      </c>
      <c r="E10" s="24" t="s">
        <v>247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248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248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248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38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38</v>
      </c>
    </row>
    <row r="17" spans="1:5" x14ac:dyDescent="0.25">
      <c r="A17" s="47" t="s">
        <v>249</v>
      </c>
      <c r="B17" s="49">
        <f>SUM(B11:B15)</f>
        <v>0</v>
      </c>
      <c r="C17" s="49">
        <f>SUM(C11:C15)</f>
        <v>0</v>
      </c>
      <c r="D17" s="49">
        <f>IFERROR(C17-B17,0)</f>
        <v>0</v>
      </c>
      <c r="E17" s="47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250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38</v>
      </c>
      <c r="B4" s="24" t="s">
        <v>67</v>
      </c>
      <c r="C4" s="24" t="s">
        <v>206</v>
      </c>
      <c r="D4" s="24" t="s">
        <v>40</v>
      </c>
      <c r="E4" s="24" t="s">
        <v>191</v>
      </c>
      <c r="F4" s="24" t="s">
        <v>32</v>
      </c>
      <c r="G4" s="24" t="s">
        <v>183</v>
      </c>
      <c r="H4" s="24" t="s">
        <v>41</v>
      </c>
      <c r="I4" s="24" t="s">
        <v>42</v>
      </c>
    </row>
    <row r="5" spans="1:9" x14ac:dyDescent="0.25">
      <c r="A5" s="32"/>
      <c r="B5" s="32" t="s">
        <v>251</v>
      </c>
      <c r="C5" s="32" t="s">
        <v>252</v>
      </c>
      <c r="D5" s="57">
        <v>0</v>
      </c>
      <c r="E5" s="66">
        <v>1</v>
      </c>
      <c r="F5" s="33">
        <f>D5*E5</f>
        <v>0</v>
      </c>
      <c r="G5" s="62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253</v>
      </c>
      <c r="C6" t="s">
        <v>61</v>
      </c>
      <c r="D6" s="58">
        <v>0</v>
      </c>
      <c r="E6" s="68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254</v>
      </c>
      <c r="C7" s="32" t="s">
        <v>62</v>
      </c>
      <c r="D7" s="57">
        <v>0</v>
      </c>
      <c r="E7" s="66">
        <v>1</v>
      </c>
      <c r="F7" s="33">
        <f>D7*E7</f>
        <v>0</v>
      </c>
      <c r="G7" s="62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155</v>
      </c>
      <c r="C8" t="s">
        <v>63</v>
      </c>
      <c r="D8" s="58">
        <v>0</v>
      </c>
      <c r="E8" s="68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47"/>
      <c r="B10" s="47"/>
      <c r="C10" s="47" t="s">
        <v>255</v>
      </c>
      <c r="D10" s="47"/>
      <c r="E10" s="47"/>
      <c r="F10" s="49">
        <f>SUM(F5:F8)</f>
        <v>0</v>
      </c>
      <c r="G10" s="47"/>
      <c r="H10" s="49">
        <f>SUM(H5:H8)</f>
        <v>0</v>
      </c>
      <c r="I10" s="49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3" t="s">
        <v>256</v>
      </c>
    </row>
    <row r="2" spans="2:2" x14ac:dyDescent="0.25">
      <c r="B2" t="s">
        <v>257</v>
      </c>
    </row>
    <row r="4" ht="24" customHeight="1" spans="2:4" x14ac:dyDescent="0.25">
      <c r="B4" s="74" t="s">
        <v>258</v>
      </c>
      <c r="C4" s="75" t="s">
        <v>259</v>
      </c>
      <c r="D4" s="75" t="s">
        <v>260</v>
      </c>
    </row>
    <row r="5" spans="1:4" x14ac:dyDescent="0.25">
      <c r="A5" s="32"/>
      <c r="B5" s="76" t="s">
        <v>261</v>
      </c>
      <c r="C5" s="42" t="s">
        <v>38</v>
      </c>
      <c r="D5" s="42" t="s">
        <v>262</v>
      </c>
    </row>
    <row r="6" spans="2:4" x14ac:dyDescent="0.25">
      <c r="B6" s="77" t="s">
        <v>263</v>
      </c>
      <c r="C6" s="63" t="s">
        <v>264</v>
      </c>
      <c r="D6" s="63" t="s">
        <v>38</v>
      </c>
    </row>
    <row r="7" spans="1:4" x14ac:dyDescent="0.25">
      <c r="A7" s="32"/>
      <c r="B7" s="76" t="s">
        <v>265</v>
      </c>
      <c r="C7" s="42" t="s">
        <v>264</v>
      </c>
      <c r="D7" s="42" t="s">
        <v>38</v>
      </c>
    </row>
    <row r="8" spans="2:4" x14ac:dyDescent="0.25">
      <c r="B8" s="77" t="s">
        <v>266</v>
      </c>
      <c r="C8" s="63" t="s">
        <v>262</v>
      </c>
      <c r="D8" s="63" t="s">
        <v>38</v>
      </c>
    </row>
    <row r="9" spans="1:4" x14ac:dyDescent="0.25">
      <c r="A9" s="32"/>
      <c r="B9" s="76" t="s">
        <v>267</v>
      </c>
      <c r="C9" s="42" t="s">
        <v>262</v>
      </c>
      <c r="D9" s="42" t="s">
        <v>38</v>
      </c>
    </row>
    <row r="10" spans="2:4" x14ac:dyDescent="0.25">
      <c r="B10" s="77" t="s">
        <v>268</v>
      </c>
      <c r="C10" s="63" t="s">
        <v>38</v>
      </c>
      <c r="D10" s="63" t="s">
        <v>262</v>
      </c>
    </row>
    <row r="11" spans="1:4" x14ac:dyDescent="0.25">
      <c r="A11" s="32"/>
      <c r="B11" s="76" t="s">
        <v>269</v>
      </c>
      <c r="C11" s="42" t="s">
        <v>38</v>
      </c>
      <c r="D11" s="42" t="s">
        <v>262</v>
      </c>
    </row>
    <row r="13" ht="24" customHeight="1" spans="2:4" x14ac:dyDescent="0.25">
      <c r="B13" s="74" t="s">
        <v>270</v>
      </c>
      <c r="C13" s="75" t="s">
        <v>259</v>
      </c>
      <c r="D13" s="75" t="s">
        <v>260</v>
      </c>
    </row>
    <row r="14" spans="1:4" x14ac:dyDescent="0.25">
      <c r="A14" s="32"/>
      <c r="B14" s="76" t="s">
        <v>271</v>
      </c>
      <c r="C14" s="42" t="s">
        <v>38</v>
      </c>
      <c r="D14" s="42" t="s">
        <v>262</v>
      </c>
    </row>
    <row r="15" spans="2:4" x14ac:dyDescent="0.25">
      <c r="B15" s="77" t="s">
        <v>272</v>
      </c>
      <c r="C15" s="63" t="s">
        <v>262</v>
      </c>
      <c r="D15" s="63" t="s">
        <v>38</v>
      </c>
    </row>
    <row r="16" spans="1:4" x14ac:dyDescent="0.25">
      <c r="A16" s="32"/>
      <c r="B16" s="76" t="s">
        <v>273</v>
      </c>
      <c r="C16" s="42" t="s">
        <v>262</v>
      </c>
      <c r="D16" s="42" t="s">
        <v>38</v>
      </c>
    </row>
    <row r="17" spans="2:4" x14ac:dyDescent="0.25">
      <c r="B17" s="77" t="s">
        <v>274</v>
      </c>
      <c r="C17" s="63" t="s">
        <v>38</v>
      </c>
      <c r="D17" s="63" t="s">
        <v>262</v>
      </c>
    </row>
    <row r="18" spans="1:4" x14ac:dyDescent="0.25">
      <c r="A18" s="32"/>
      <c r="B18" s="76" t="s">
        <v>275</v>
      </c>
      <c r="C18" s="42" t="s">
        <v>38</v>
      </c>
      <c r="D18" s="42" t="s">
        <v>262</v>
      </c>
    </row>
    <row r="20" ht="24" customHeight="1" spans="2:4" x14ac:dyDescent="0.25">
      <c r="B20" s="74" t="s">
        <v>276</v>
      </c>
      <c r="C20" s="75" t="s">
        <v>259</v>
      </c>
      <c r="D20" s="75" t="s">
        <v>260</v>
      </c>
    </row>
    <row r="21" spans="1:4" x14ac:dyDescent="0.25">
      <c r="A21" s="32"/>
      <c r="B21" s="76" t="s">
        <v>277</v>
      </c>
      <c r="C21" s="42" t="s">
        <v>278</v>
      </c>
      <c r="D21" s="42" t="s">
        <v>38</v>
      </c>
    </row>
    <row r="22" spans="2:4" x14ac:dyDescent="0.25">
      <c r="B22" s="77" t="s">
        <v>279</v>
      </c>
      <c r="C22" s="63" t="s">
        <v>38</v>
      </c>
      <c r="D22" s="63" t="s">
        <v>262</v>
      </c>
    </row>
    <row r="23" spans="1:4" x14ac:dyDescent="0.25">
      <c r="A23" s="32"/>
      <c r="B23" s="76" t="s">
        <v>280</v>
      </c>
      <c r="C23" s="42" t="s">
        <v>278</v>
      </c>
      <c r="D23" s="42" t="s">
        <v>38</v>
      </c>
    </row>
    <row r="24" spans="2:4" x14ac:dyDescent="0.25">
      <c r="B24" s="77" t="s">
        <v>281</v>
      </c>
      <c r="C24" s="63" t="s">
        <v>262</v>
      </c>
      <c r="D24" s="63" t="s">
        <v>38</v>
      </c>
    </row>
    <row r="25" spans="1:4" x14ac:dyDescent="0.25">
      <c r="A25" s="32"/>
      <c r="B25" s="76" t="s">
        <v>282</v>
      </c>
      <c r="C25" s="42" t="s">
        <v>262</v>
      </c>
      <c r="D25" s="42" t="s">
        <v>38</v>
      </c>
    </row>
    <row r="26" spans="2:4" x14ac:dyDescent="0.25">
      <c r="B26" s="77" t="s">
        <v>283</v>
      </c>
      <c r="C26" s="63" t="s">
        <v>38</v>
      </c>
      <c r="D26" s="63" t="s">
        <v>262</v>
      </c>
    </row>
    <row r="28" ht="24" customHeight="1" spans="2:4" x14ac:dyDescent="0.25">
      <c r="B28" s="74" t="s">
        <v>284</v>
      </c>
      <c r="C28" s="75" t="s">
        <v>259</v>
      </c>
      <c r="D28" s="75" t="s">
        <v>260</v>
      </c>
    </row>
    <row r="29" spans="1:4" x14ac:dyDescent="0.25">
      <c r="A29" s="32"/>
      <c r="B29" s="76" t="s">
        <v>285</v>
      </c>
      <c r="C29" s="42" t="s">
        <v>262</v>
      </c>
      <c r="D29" s="42" t="s">
        <v>38</v>
      </c>
    </row>
    <row r="30" spans="2:4" x14ac:dyDescent="0.25">
      <c r="B30" s="77" t="s">
        <v>286</v>
      </c>
      <c r="C30" s="63" t="s">
        <v>38</v>
      </c>
      <c r="D30" s="63" t="s">
        <v>262</v>
      </c>
    </row>
    <row r="31" spans="1:4" x14ac:dyDescent="0.25">
      <c r="A31" s="32"/>
      <c r="B31" s="76" t="s">
        <v>287</v>
      </c>
      <c r="C31" s="42" t="s">
        <v>38</v>
      </c>
      <c r="D31" s="42" t="s">
        <v>262</v>
      </c>
    </row>
    <row r="32" spans="2:4" x14ac:dyDescent="0.25">
      <c r="B32" s="77" t="s">
        <v>288</v>
      </c>
      <c r="C32" s="63" t="s">
        <v>262</v>
      </c>
      <c r="D32" s="63" t="s">
        <v>38</v>
      </c>
    </row>
    <row r="33" spans="1:4" x14ac:dyDescent="0.25">
      <c r="A33" s="32"/>
      <c r="B33" s="76" t="s">
        <v>289</v>
      </c>
      <c r="C33" s="42" t="s">
        <v>38</v>
      </c>
      <c r="D33" s="42" t="s">
        <v>262</v>
      </c>
    </row>
    <row r="34" spans="2:4" x14ac:dyDescent="0.25">
      <c r="B34" s="77" t="s">
        <v>290</v>
      </c>
      <c r="C34" s="63" t="s">
        <v>262</v>
      </c>
      <c r="D34" s="63" t="s">
        <v>38</v>
      </c>
    </row>
    <row r="35" spans="1:4" x14ac:dyDescent="0.25">
      <c r="A35" s="32"/>
      <c r="B35" s="76" t="s">
        <v>291</v>
      </c>
      <c r="C35" s="42" t="s">
        <v>262</v>
      </c>
      <c r="D35" s="42" t="s">
        <v>38</v>
      </c>
    </row>
    <row r="36" spans="2:4" x14ac:dyDescent="0.25">
      <c r="B36" s="77" t="s">
        <v>292</v>
      </c>
      <c r="C36" s="63" t="s">
        <v>262</v>
      </c>
      <c r="D36" s="63" t="s">
        <v>38</v>
      </c>
    </row>
    <row r="37" spans="1:4" x14ac:dyDescent="0.25">
      <c r="A37" s="32"/>
      <c r="B37" s="76" t="s">
        <v>293</v>
      </c>
      <c r="C37" s="42" t="s">
        <v>38</v>
      </c>
      <c r="D37" s="42" t="s">
        <v>262</v>
      </c>
    </row>
    <row r="39" ht="24" customHeight="1" spans="2:4" x14ac:dyDescent="0.25">
      <c r="B39" s="74" t="s">
        <v>294</v>
      </c>
      <c r="C39" s="75" t="s">
        <v>259</v>
      </c>
      <c r="D39" s="75" t="s">
        <v>260</v>
      </c>
    </row>
    <row r="40" spans="1:4" x14ac:dyDescent="0.25">
      <c r="A40" s="32"/>
      <c r="B40" s="76" t="s">
        <v>295</v>
      </c>
      <c r="C40" s="42" t="s">
        <v>278</v>
      </c>
      <c r="D40" s="42" t="s">
        <v>38</v>
      </c>
    </row>
    <row r="41" spans="2:4" x14ac:dyDescent="0.25">
      <c r="B41" s="77" t="s">
        <v>296</v>
      </c>
      <c r="C41" s="63" t="s">
        <v>38</v>
      </c>
      <c r="D41" s="63" t="s">
        <v>262</v>
      </c>
    </row>
    <row r="42" spans="1:4" x14ac:dyDescent="0.25">
      <c r="A42" s="32"/>
      <c r="B42" s="76" t="s">
        <v>297</v>
      </c>
      <c r="C42" s="42" t="s">
        <v>38</v>
      </c>
      <c r="D42" s="42" t="s">
        <v>262</v>
      </c>
    </row>
    <row r="44" ht="24" customHeight="1" spans="2:4" x14ac:dyDescent="0.25">
      <c r="B44" s="74" t="s">
        <v>298</v>
      </c>
      <c r="C44" s="75" t="s">
        <v>259</v>
      </c>
      <c r="D44" s="75" t="s">
        <v>260</v>
      </c>
    </row>
    <row r="45" spans="1:4" x14ac:dyDescent="0.25">
      <c r="A45" s="32"/>
      <c r="B45" s="76" t="s">
        <v>299</v>
      </c>
      <c r="C45" s="42" t="s">
        <v>262</v>
      </c>
      <c r="D45" s="42" t="s">
        <v>38</v>
      </c>
    </row>
    <row r="46" spans="2:4" x14ac:dyDescent="0.25">
      <c r="B46" s="77" t="s">
        <v>300</v>
      </c>
      <c r="C46" s="63" t="s">
        <v>262</v>
      </c>
      <c r="D46" s="63" t="s">
        <v>38</v>
      </c>
    </row>
    <row r="47" spans="1:4" x14ac:dyDescent="0.25">
      <c r="A47" s="32"/>
      <c r="B47" s="76" t="s">
        <v>301</v>
      </c>
      <c r="C47" s="42" t="s">
        <v>262</v>
      </c>
      <c r="D47" s="42" t="s">
        <v>38</v>
      </c>
    </row>
    <row r="48" spans="2:4" x14ac:dyDescent="0.25">
      <c r="B48" s="77" t="s">
        <v>302</v>
      </c>
      <c r="C48" s="63" t="s">
        <v>262</v>
      </c>
      <c r="D48" s="63" t="s">
        <v>38</v>
      </c>
    </row>
    <row r="50" ht="24" customHeight="1" spans="2:4" x14ac:dyDescent="0.25">
      <c r="B50" s="74" t="s">
        <v>303</v>
      </c>
      <c r="C50" s="75" t="s">
        <v>259</v>
      </c>
      <c r="D50" s="75" t="s">
        <v>260</v>
      </c>
    </row>
    <row r="51" spans="1:4" x14ac:dyDescent="0.25">
      <c r="A51" s="32"/>
      <c r="B51" s="76" t="s">
        <v>304</v>
      </c>
      <c r="C51" s="42" t="s">
        <v>278</v>
      </c>
      <c r="D51" s="42" t="s">
        <v>38</v>
      </c>
    </row>
    <row r="52" spans="2:4" x14ac:dyDescent="0.25">
      <c r="B52" s="77" t="s">
        <v>305</v>
      </c>
      <c r="C52" s="63" t="s">
        <v>38</v>
      </c>
      <c r="D52" s="63" t="s">
        <v>262</v>
      </c>
    </row>
    <row r="53" spans="1:4" x14ac:dyDescent="0.25">
      <c r="A53" s="32"/>
      <c r="B53" s="76" t="s">
        <v>306</v>
      </c>
      <c r="C53" s="42" t="s">
        <v>278</v>
      </c>
      <c r="D53" s="42" t="s">
        <v>38</v>
      </c>
    </row>
    <row r="54" spans="2:4" x14ac:dyDescent="0.25">
      <c r="B54" s="77" t="s">
        <v>307</v>
      </c>
      <c r="C54" s="63" t="s">
        <v>278</v>
      </c>
      <c r="D54" s="63" t="s">
        <v>38</v>
      </c>
    </row>
    <row r="55" spans="1:4" x14ac:dyDescent="0.25">
      <c r="A55" s="32"/>
      <c r="B55" s="76" t="s">
        <v>308</v>
      </c>
      <c r="C55" s="42" t="s">
        <v>278</v>
      </c>
      <c r="D55" s="4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310</v>
      </c>
      <c r="D3" s="78" t="s">
        <v>311</v>
      </c>
    </row>
    <row r="5" spans="2:9" x14ac:dyDescent="0.25">
      <c r="B5" s="54" t="s">
        <v>312</v>
      </c>
      <c r="I5" s="54" t="s">
        <v>313</v>
      </c>
    </row>
    <row r="6" spans="1:10" x14ac:dyDescent="0.25">
      <c r="A6" s="24" t="s">
        <v>38</v>
      </c>
      <c r="B6" s="24" t="s">
        <v>314</v>
      </c>
      <c r="C6" s="24" t="s">
        <v>315</v>
      </c>
      <c r="D6" s="24" t="s">
        <v>183</v>
      </c>
      <c r="I6" s="24" t="s">
        <v>314</v>
      </c>
      <c r="J6" s="24" t="s">
        <v>315</v>
      </c>
    </row>
    <row r="7" spans="1:10" x14ac:dyDescent="0.25">
      <c r="A7" t="s">
        <v>316</v>
      </c>
      <c r="B7" s="19">
        <v>164808.47</v>
      </c>
      <c r="C7" s="19">
        <v>136987.93</v>
      </c>
      <c r="D7" s="19">
        <v>27820.54</v>
      </c>
      <c r="H7" s="25" t="s">
        <v>317</v>
      </c>
      <c r="I7" s="19">
        <v>164808.47</v>
      </c>
      <c r="J7" s="19">
        <v>136987.93</v>
      </c>
    </row>
    <row r="8" spans="1:6" x14ac:dyDescent="0.25">
      <c r="A8" s="35" t="s">
        <v>317</v>
      </c>
      <c r="B8" s="36">
        <v>164808.47</v>
      </c>
      <c r="C8" s="36">
        <v>136987.93</v>
      </c>
      <c r="D8" s="36">
        <v>27820.54</v>
      </c>
      <c r="E8" s="35"/>
      <c r="F8" s="35"/>
    </row>
    <row r="10" spans="1:1" x14ac:dyDescent="0.25">
      <c r="A10" s="79" t="s">
        <v>318</v>
      </c>
    </row>
    <row r="11" spans="1:4" x14ac:dyDescent="0.25">
      <c r="A11" t="s">
        <v>319</v>
      </c>
      <c r="B11" s="19">
        <v>0</v>
      </c>
      <c r="C11" s="19">
        <v>0</v>
      </c>
      <c r="D11" s="19">
        <v>0</v>
      </c>
    </row>
    <row r="13" spans="1:6" x14ac:dyDescent="0.25">
      <c r="A13" s="47" t="s">
        <v>320</v>
      </c>
      <c r="B13" s="49">
        <v>164808.47</v>
      </c>
      <c r="C13" s="49">
        <v>136987.93</v>
      </c>
      <c r="D13" s="49">
        <v>27820.54</v>
      </c>
      <c r="E13" s="47"/>
      <c r="F13" s="47"/>
    </row>
    <row r="16" spans="1:5" x14ac:dyDescent="0.25">
      <c r="A16" s="24" t="s">
        <v>321</v>
      </c>
      <c r="B16" s="24" t="s">
        <v>314</v>
      </c>
      <c r="C16" s="24" t="s">
        <v>322</v>
      </c>
      <c r="D16" s="24" t="s">
        <v>323</v>
      </c>
      <c r="E16" s="24" t="s">
        <v>324</v>
      </c>
    </row>
    <row r="17" spans="1:5" x14ac:dyDescent="0.25">
      <c r="A17" s="32" t="s">
        <v>325</v>
      </c>
      <c r="B17" s="33">
        <v>0</v>
      </c>
      <c r="C17" s="33">
        <v>50314</v>
      </c>
      <c r="D17" s="57">
        <v>0</v>
      </c>
      <c r="E17" s="33">
        <v>50314</v>
      </c>
    </row>
    <row r="18" spans="1:5" x14ac:dyDescent="0.25">
      <c r="A18" t="s">
        <v>326</v>
      </c>
      <c r="B18" s="19">
        <v>0</v>
      </c>
      <c r="C18" s="19">
        <v>31000</v>
      </c>
      <c r="D18" s="58">
        <v>0</v>
      </c>
      <c r="E18" s="19">
        <v>31000</v>
      </c>
    </row>
    <row r="19" spans="1:5" x14ac:dyDescent="0.25">
      <c r="A19" s="32" t="s">
        <v>327</v>
      </c>
      <c r="B19" s="33">
        <v>0</v>
      </c>
      <c r="C19" s="33">
        <v>25000</v>
      </c>
      <c r="D19" s="57">
        <v>0</v>
      </c>
      <c r="E19" s="33">
        <v>25000</v>
      </c>
    </row>
    <row r="20" spans="1:5" x14ac:dyDescent="0.25">
      <c r="A20" t="s">
        <v>328</v>
      </c>
      <c r="B20" s="19">
        <v>0</v>
      </c>
      <c r="C20" s="19">
        <v>15000</v>
      </c>
      <c r="D20" s="58">
        <v>0</v>
      </c>
      <c r="E20" s="19">
        <v>15000</v>
      </c>
    </row>
    <row r="21" spans="1:5" x14ac:dyDescent="0.25">
      <c r="A21" s="32" t="s">
        <v>329</v>
      </c>
      <c r="B21" s="33">
        <v>0</v>
      </c>
      <c r="C21" s="33">
        <v>4705.88</v>
      </c>
      <c r="D21" s="57">
        <v>0</v>
      </c>
      <c r="E21" s="33">
        <v>4705.88</v>
      </c>
    </row>
    <row r="22" spans="1:5" x14ac:dyDescent="0.25">
      <c r="A22" t="s">
        <v>330</v>
      </c>
      <c r="B22" s="19">
        <v>0</v>
      </c>
      <c r="C22" s="19">
        <v>0</v>
      </c>
      <c r="D22" s="58">
        <v>0</v>
      </c>
      <c r="E22" s="19">
        <v>0</v>
      </c>
    </row>
    <row r="23" spans="1:5" x14ac:dyDescent="0.25">
      <c r="A23" s="32" t="s">
        <v>331</v>
      </c>
      <c r="B23" s="33">
        <v>0</v>
      </c>
      <c r="C23" s="33">
        <v>0</v>
      </c>
      <c r="D23" s="57">
        <v>0</v>
      </c>
      <c r="E23" s="33">
        <v>0</v>
      </c>
    </row>
    <row r="24" spans="1:5" x14ac:dyDescent="0.25">
      <c r="A24" t="s">
        <v>332</v>
      </c>
      <c r="B24" s="19">
        <v>0</v>
      </c>
      <c r="C24" s="19">
        <v>0</v>
      </c>
      <c r="D24" s="58">
        <v>0</v>
      </c>
      <c r="E24" s="19">
        <v>0</v>
      </c>
    </row>
    <row r="25" spans="1:5" x14ac:dyDescent="0.25">
      <c r="A25" s="32" t="s">
        <v>333</v>
      </c>
      <c r="B25" s="33">
        <v>0</v>
      </c>
      <c r="C25" s="33">
        <v>0</v>
      </c>
      <c r="D25" s="57">
        <v>0</v>
      </c>
      <c r="E25" s="33">
        <v>0</v>
      </c>
    </row>
    <row r="26" spans="1:5" x14ac:dyDescent="0.25">
      <c r="A26" t="s">
        <v>334</v>
      </c>
      <c r="B26" s="19">
        <v>0</v>
      </c>
      <c r="C26" s="19">
        <v>0</v>
      </c>
      <c r="D26" s="58">
        <v>0</v>
      </c>
      <c r="E26" s="19">
        <v>0</v>
      </c>
    </row>
    <row r="27" spans="1:5" x14ac:dyDescent="0.25">
      <c r="A27" s="47" t="s">
        <v>335</v>
      </c>
      <c r="B27" s="47"/>
      <c r="C27" s="49">
        <v>136987.93</v>
      </c>
      <c r="D27" s="49">
        <v>0</v>
      </c>
      <c r="E27" s="49">
        <v>136987.93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337</v>
      </c>
    </row>
    <row r="4" spans="4:8" x14ac:dyDescent="0.25">
      <c r="D4" s="4" t="s">
        <v>338</v>
      </c>
      <c r="E4" s="4" t="s">
        <v>339</v>
      </c>
      <c r="F4" s="4" t="s">
        <v>340</v>
      </c>
      <c r="G4" s="4" t="s">
        <v>341</v>
      </c>
      <c r="H4" s="4" t="s">
        <v>342</v>
      </c>
    </row>
    <row r="5" spans="4:8" x14ac:dyDescent="0.25">
      <c r="D5" t="s">
        <v>343</v>
      </c>
      <c r="E5" s="26">
        <v>0.25</v>
      </c>
      <c r="F5" s="26">
        <v>0.25</v>
      </c>
      <c r="G5" s="26">
        <v>0.25</v>
      </c>
      <c r="H5" s="26">
        <v>0.25</v>
      </c>
    </row>
    <row r="6" spans="2:3" x14ac:dyDescent="0.25">
      <c r="B6" t="s">
        <v>344</v>
      </c>
      <c r="C6" s="68" t="s">
        <v>345</v>
      </c>
    </row>
    <row r="7" spans="2:3" x14ac:dyDescent="0.25">
      <c r="B7" t="s">
        <v>346</v>
      </c>
      <c r="C7" s="68" t="s">
        <v>345</v>
      </c>
    </row>
    <row r="9" spans="1:6" x14ac:dyDescent="0.25">
      <c r="A9" s="24" t="s">
        <v>38</v>
      </c>
      <c r="B9" s="24" t="s">
        <v>314</v>
      </c>
      <c r="C9" s="24" t="s">
        <v>347</v>
      </c>
      <c r="D9" s="24" t="s">
        <v>348</v>
      </c>
      <c r="E9" s="24" t="s">
        <v>349</v>
      </c>
      <c r="F9" s="24" t="s">
        <v>350</v>
      </c>
    </row>
    <row r="10" spans="1:6" x14ac:dyDescent="0.25">
      <c r="A10" s="47"/>
      <c r="B10" s="49">
        <v>164808.47</v>
      </c>
      <c r="C10" s="49">
        <v>136987.93</v>
      </c>
      <c r="D10" s="49">
        <v>27820.540000000008</v>
      </c>
      <c r="E10" s="50">
        <v>0.168805280456763</v>
      </c>
      <c r="F10" s="49">
        <v>0</v>
      </c>
    </row>
    <row r="12" spans="1:14" x14ac:dyDescent="0.25">
      <c r="A12" s="25" t="s">
        <v>351</v>
      </c>
      <c r="E12" s="80" t="s">
        <v>352</v>
      </c>
      <c r="F12" s="80" t="s">
        <v>353</v>
      </c>
      <c r="G12" s="80" t="s">
        <v>354</v>
      </c>
      <c r="H12" s="80" t="s">
        <v>355</v>
      </c>
      <c r="I12" s="80" t="s">
        <v>356</v>
      </c>
      <c r="J12" s="80" t="s">
        <v>357</v>
      </c>
      <c r="K12" s="80" t="s">
        <v>358</v>
      </c>
      <c r="L12" s="80" t="s">
        <v>359</v>
      </c>
      <c r="M12" s="80" t="s">
        <v>360</v>
      </c>
      <c r="N12" s="80" t="s">
        <v>361</v>
      </c>
    </row>
    <row r="13" spans="1:4" x14ac:dyDescent="0.25">
      <c r="A13" s="3" t="s">
        <v>314</v>
      </c>
      <c r="C13" s="3" t="s">
        <v>362</v>
      </c>
      <c r="D13" s="3" t="s">
        <v>363</v>
      </c>
    </row>
    <row r="14" spans="1:14" x14ac:dyDescent="0.25">
      <c r="A14" s="32">
        <v>1</v>
      </c>
      <c r="B14" s="32"/>
      <c r="C14" s="57">
        <v>0</v>
      </c>
      <c r="D14" s="66" t="s">
        <v>38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58">
        <v>0</v>
      </c>
      <c r="D15" s="68" t="s">
        <v>38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57">
        <v>0</v>
      </c>
      <c r="D16" s="66" t="s">
        <v>38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58">
        <v>0</v>
      </c>
      <c r="D17" s="68" t="s">
        <v>38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57">
        <v>0</v>
      </c>
      <c r="D18" s="66" t="s">
        <v>38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58">
        <v>0</v>
      </c>
      <c r="D19" s="68" t="s">
        <v>38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57">
        <v>0</v>
      </c>
      <c r="D20" s="66" t="s">
        <v>38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58">
        <v>0</v>
      </c>
      <c r="D21" s="68" t="s">
        <v>38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57">
        <v>0</v>
      </c>
      <c r="D22" s="66" t="s">
        <v>38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58">
        <v>0</v>
      </c>
      <c r="D23" s="68" t="s">
        <v>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59" t="s">
        <v>364</v>
      </c>
      <c r="B24" s="59"/>
      <c r="C24" s="60"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28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2:4" s="12" customFormat="1" x14ac:dyDescent="0.25">
      <c r="B5" s="12" t="s">
        <v>44</v>
      </c>
      <c r="D5" s="13" t="s">
        <v>41</v>
      </c>
    </row>
    <row r="6" spans="2:6" x14ac:dyDescent="0.25" outlineLevel="1" collapsed="1">
      <c r="B6" s="14" t="s">
        <v>45</v>
      </c>
      <c r="C6" s="15">
        <f>'LED Cost Sheet'!T4</f>
        <v>55399.7</v>
      </c>
      <c r="D6" s="15">
        <f>'LED Cost Sheet'!V4</f>
        <v>65176.12</v>
      </c>
      <c r="E6" s="15">
        <f>IFERROR(D6-C6,0)</f>
        <v>9776.42</v>
      </c>
      <c r="F6" s="16">
        <v>0.15</v>
      </c>
    </row>
    <row r="7" spans="2:6" x14ac:dyDescent="0.25" outlineLevel="1" collapsed="1">
      <c r="B7" s="14" t="s">
        <v>46</v>
      </c>
      <c r="C7" s="15">
        <f>'Marquee - Install'!I26</f>
        <v>6000</v>
      </c>
      <c r="D7" s="15">
        <f>IFERROR(C7/(1-F7),0)</f>
        <v>7500</v>
      </c>
      <c r="E7" s="15">
        <f>IFERROR(D7-C7,0)</f>
        <v>1500</v>
      </c>
      <c r="F7" s="16">
        <v>0.2</v>
      </c>
    </row>
    <row r="8" spans="2:6" x14ac:dyDescent="0.25" outlineLevel="1" collapsed="1">
      <c r="B8" s="14" t="s">
        <v>47</v>
      </c>
      <c r="C8" s="15">
        <f>'Marquee - Install'!I35-'Marquee - Install'!I34</f>
        <v>25000</v>
      </c>
      <c r="D8" s="15">
        <f>IFERROR(C8/(1-F8),0)</f>
        <v>31250</v>
      </c>
      <c r="E8" s="15">
        <f>IFERROR(D8-C8,0)</f>
        <v>6250</v>
      </c>
      <c r="F8" s="16">
        <v>0.2</v>
      </c>
    </row>
    <row r="9" spans="2:6" x14ac:dyDescent="0.25" outlineLevel="1" collapsed="1">
      <c r="B9" s="14" t="s">
        <v>48</v>
      </c>
      <c r="C9" s="15">
        <f>'Marquee - Install'!I44</f>
        <v>25000</v>
      </c>
      <c r="D9" s="15">
        <f>IFERROR(C9/(1-F9),0)</f>
        <v>31250</v>
      </c>
      <c r="E9" s="15">
        <f>IFERROR(D9-C9,0)</f>
        <v>6250</v>
      </c>
      <c r="F9" s="16">
        <v>0.2</v>
      </c>
    </row>
    <row r="10" spans="2:6" x14ac:dyDescent="0.25" outlineLevel="1" collapsed="1">
      <c r="B10" s="14" t="s">
        <v>49</v>
      </c>
      <c r="C10" s="15">
        <f>'Marquee - Install'!I34</f>
        <v>20882.35</v>
      </c>
      <c r="D10" s="15">
        <f>IFERROR(C10/(1-F10),0)</f>
        <v>26102.94</v>
      </c>
      <c r="E10" s="15">
        <f>IFERROR(D10-C10,0)</f>
        <v>5220.59</v>
      </c>
      <c r="F10" s="16">
        <v>0.2</v>
      </c>
    </row>
    <row r="11" spans="2:6" x14ac:dyDescent="0.25" outlineLevel="1" collapsed="1">
      <c r="B11" s="14" t="s">
        <v>50</v>
      </c>
      <c r="C11" s="15">
        <f>'Marquee - Install'!I52</f>
        <v>4705.88</v>
      </c>
      <c r="D11" s="15">
        <f>IFERROR(C11/(1-F11),0)</f>
        <v>5882.35</v>
      </c>
      <c r="E11" s="15">
        <f>IFERROR(D11-C11,0)</f>
        <v>1176.47</v>
      </c>
      <c r="F11" s="16">
        <v>0.2</v>
      </c>
    </row>
    <row r="12" spans="2:6" x14ac:dyDescent="0.25" outlineLevel="1" collapsed="1">
      <c r="B12" s="4" t="s">
        <v>51</v>
      </c>
      <c r="C12" s="17">
        <f>SUM(C6:C11)</f>
        <v>136987.93</v>
      </c>
      <c r="D12" s="17">
        <f>SUM(D6:D11)</f>
        <v>164808.47</v>
      </c>
      <c r="E12" s="17">
        <f>IFERROR(D12-C12,0)</f>
        <v>27820.54</v>
      </c>
      <c r="F12" s="18">
        <f>IFERROR(1-C12/D12,0)</f>
        <v>0.16880499999999998</v>
      </c>
    </row>
    <row r="13" spans="2:7" x14ac:dyDescent="0.25" outlineLevel="1" collapsed="1">
      <c r="B13" s="14" t="s">
        <v>52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53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54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55</v>
      </c>
      <c r="C16" s="22">
        <f>C12+C13+C14+C15</f>
        <v>136987.93</v>
      </c>
      <c r="D16" s="22">
        <f>D12+D13+D14+D15</f>
        <v>164808.47</v>
      </c>
      <c r="E16" s="22">
        <f>IFERROR(D16-C16,0)</f>
        <v>27820.540000000008</v>
      </c>
      <c r="F16" s="23">
        <f>IFERROR(1-C16/D16,0)</f>
        <v>0.16880528045676302</v>
      </c>
    </row>
    <row r="19" ht="24" customHeight="1" spans="2:6" x14ac:dyDescent="0.25">
      <c r="B19" s="24" t="s">
        <v>56</v>
      </c>
      <c r="C19" s="24"/>
      <c r="D19" s="24"/>
      <c r="E19" s="24"/>
      <c r="F19" s="24"/>
    </row>
    <row r="20" spans="2:6" x14ac:dyDescent="0.25">
      <c r="B20" s="25" t="s">
        <v>57</v>
      </c>
      <c r="C20" s="19">
        <f>SUM(CMS!F26:F26)</f>
        <v>0</v>
      </c>
      <c r="D20" s="19">
        <f>SUM(CMS!H26:H26)</f>
        <v>0</v>
      </c>
      <c r="E20" s="19">
        <f>SUM(CMS!I26:I26)</f>
        <v>0</v>
      </c>
      <c r="F20" s="20">
        <v>0.15</v>
      </c>
    </row>
    <row r="21" spans="2:6" x14ac:dyDescent="0.25">
      <c r="B21" s="25" t="s">
        <v>58</v>
      </c>
      <c r="C21" s="19">
        <f>SUM(Scoring!F27:F27)</f>
        <v>0</v>
      </c>
      <c r="D21" s="19">
        <f>SUM(Scoring!H27:H27)</f>
        <v>0</v>
      </c>
      <c r="E21" s="19">
        <f>SUM(Scoring!I27:I27)</f>
        <v>0</v>
      </c>
      <c r="F21" s="20">
        <v>0.15</v>
      </c>
    </row>
    <row r="22" spans="2:6" x14ac:dyDescent="0.25">
      <c r="B22" s="25" t="s">
        <v>59</v>
      </c>
      <c r="C22" s="19">
        <f>SUM('Venue Services'!B17:B17)</f>
        <v>0</v>
      </c>
      <c r="D22" s="19">
        <f>SUM('Venue Services'!C17:C17)</f>
        <v>0</v>
      </c>
      <c r="E22" s="19">
        <f>SUM('Venue Services'!D17:D17)</f>
        <v>0</v>
      </c>
      <c r="F22" s="26">
        <v>0.15</v>
      </c>
    </row>
    <row r="23" spans="2:6" x14ac:dyDescent="0.25">
      <c r="B23" s="25" t="s">
        <v>60</v>
      </c>
      <c r="C23" s="19">
        <f>SUM('Additional Items'!F5:F5)</f>
        <v>0</v>
      </c>
      <c r="D23" s="19">
        <f>SUM('Additional Items'!H5:H5)</f>
        <v>0</v>
      </c>
      <c r="E23" s="19">
        <f>SUM('Additional Items'!I5:I5)</f>
        <v>0</v>
      </c>
      <c r="F23" s="26">
        <f>SUM('Additional Items'!G5:G5)</f>
        <v>0.15</v>
      </c>
    </row>
    <row r="24" spans="2:6" x14ac:dyDescent="0.25">
      <c r="B24" s="25" t="s">
        <v>61</v>
      </c>
      <c r="C24" s="19">
        <f>SUM('Additional Items'!F6:F6)</f>
        <v>0</v>
      </c>
      <c r="D24" s="19">
        <f>SUM('Additional Items'!H6:H6)</f>
        <v>0</v>
      </c>
      <c r="E24" s="19">
        <f>SUM('Additional Items'!I6:I6)</f>
        <v>0</v>
      </c>
      <c r="F24" s="26">
        <f>SUM('Additional Items'!G6:G6)</f>
        <v>0.15</v>
      </c>
    </row>
    <row r="25" spans="2:6" x14ac:dyDescent="0.25">
      <c r="B25" s="25" t="s">
        <v>62</v>
      </c>
      <c r="C25" s="19">
        <f>SUM('Additional Items'!F7:F7)</f>
        <v>0</v>
      </c>
      <c r="D25" s="19">
        <f>SUM('Additional Items'!H7:H7)</f>
        <v>0</v>
      </c>
      <c r="E25" s="19">
        <f>SUM('Additional Items'!I7:I7)</f>
        <v>0</v>
      </c>
      <c r="F25" s="26">
        <f>SUM('Additional Items'!G7:G7)</f>
        <v>0.15</v>
      </c>
    </row>
    <row r="26" spans="2:6" x14ac:dyDescent="0.25">
      <c r="B26" s="25" t="s">
        <v>63</v>
      </c>
      <c r="C26" s="19">
        <f>SUM('Additional Items'!F8:F8)</f>
        <v>0</v>
      </c>
      <c r="D26" s="19">
        <f>SUM('Additional Items'!H8:H8)</f>
        <v>0</v>
      </c>
      <c r="E26" s="19">
        <f>SUM('Additional Items'!I8:I8)</f>
        <v>0</v>
      </c>
      <c r="F26" s="26">
        <f>SUM('Additional Items'!G8:G8)</f>
        <v>0.15</v>
      </c>
    </row>
    <row r="28" spans="1:6" x14ac:dyDescent="0.25" outlineLevel="1" collapsed="1">
      <c r="A28" s="27"/>
      <c r="B28" s="28" t="s">
        <v>64</v>
      </c>
      <c r="C28" s="29">
        <f>SUM(C16,C20,C21,C22,C23,C24,C25,C26)</f>
        <v>136987.93</v>
      </c>
      <c r="D28" s="29">
        <f>SUM(D16,D20,D21,D22,D23,D24,D25,D26)</f>
        <v>164808.47</v>
      </c>
      <c r="E28" s="29">
        <f>IFERROR(D28-C28,0)</f>
        <v>27820.54</v>
      </c>
      <c r="F28" s="30">
        <f>IFERROR(1-C28/D28,0)</f>
        <v>0.17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65</v>
      </c>
      <c r="B1" s="1"/>
      <c r="C1" s="1"/>
      <c r="D1" s="1"/>
      <c r="E1" s="1"/>
      <c r="F1" s="1"/>
      <c r="G1" s="1"/>
    </row>
    <row r="2" spans="1:7" x14ac:dyDescent="0.25">
      <c r="A2" s="2" t="s">
        <v>66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38</v>
      </c>
      <c r="B4" s="31" t="s">
        <v>67</v>
      </c>
      <c r="C4" s="31" t="s">
        <v>40</v>
      </c>
      <c r="D4" s="31" t="s">
        <v>41</v>
      </c>
      <c r="E4" s="31" t="s">
        <v>42</v>
      </c>
      <c r="F4" s="31" t="s">
        <v>43</v>
      </c>
      <c r="G4" s="31" t="s">
        <v>68</v>
      </c>
    </row>
    <row r="5" spans="2:7" x14ac:dyDescent="0.25">
      <c r="B5" s="5" t="s">
        <v>69</v>
      </c>
      <c r="C5" s="19">
        <f>SUM('LED Cost Sheet'!Q4:Q4)</f>
        <v>55399.7</v>
      </c>
      <c r="D5" s="19">
        <f>SUM('LED Cost Sheet'!S4:S4)</f>
        <v>65176.12</v>
      </c>
      <c r="E5" s="19">
        <f>IFERROR(D5-C5,0)</f>
        <v>9776.42</v>
      </c>
      <c r="F5" s="26">
        <v>0.15</v>
      </c>
      <c r="G5" s="19">
        <f>IFERROR(C5/200,0)</f>
        <v>277</v>
      </c>
    </row>
    <row r="6" spans="1:7" x14ac:dyDescent="0.25">
      <c r="A6" s="32"/>
      <c r="B6" s="7" t="s">
        <v>70</v>
      </c>
      <c r="C6" s="33">
        <f>SUM('Marquee - Install'!I26:I26)</f>
        <v>6000</v>
      </c>
      <c r="D6" s="33">
        <f>SUM('Marquee - Install'!K26:K26)</f>
        <v>7500</v>
      </c>
      <c r="E6" s="33">
        <f>IFERROR(D6-C6,0)</f>
        <v>1500</v>
      </c>
      <c r="F6" s="34">
        <v>0.2</v>
      </c>
      <c r="G6" s="33">
        <f>IFERROR(C6/200,0)</f>
        <v>30</v>
      </c>
    </row>
    <row r="7" spans="2:7" x14ac:dyDescent="0.25">
      <c r="B7" s="5" t="s">
        <v>71</v>
      </c>
      <c r="C7" s="19">
        <f>(SUM('Marquee - Install'!I35:I35)-SUM('Marquee - Install'!I34:I34))</f>
        <v>25000</v>
      </c>
      <c r="D7" s="19">
        <f>(SUM('Marquee - Install'!K35:K35)-SUM('Marquee - Install'!K34:K34))</f>
        <v>31250</v>
      </c>
      <c r="E7" s="19">
        <f>IFERROR(D7-C7,0)</f>
        <v>6250</v>
      </c>
      <c r="F7" s="26">
        <v>0.2</v>
      </c>
      <c r="G7" s="19">
        <f>IFERROR(C7/200,0)</f>
        <v>125</v>
      </c>
    </row>
    <row r="8" spans="1:7" x14ac:dyDescent="0.25">
      <c r="A8" s="32"/>
      <c r="B8" s="7" t="s">
        <v>72</v>
      </c>
      <c r="C8" s="33">
        <f>SUM('Marquee - Install'!I44:I44)</f>
        <v>25000</v>
      </c>
      <c r="D8" s="33">
        <f>SUM('Marquee - Install'!K44:K44)</f>
        <v>31250</v>
      </c>
      <c r="E8" s="33">
        <f>IFERROR(D8-C8,0)</f>
        <v>6250</v>
      </c>
      <c r="F8" s="34">
        <v>0.2</v>
      </c>
      <c r="G8" s="33">
        <f>IFERROR(C8/200,0)</f>
        <v>125</v>
      </c>
    </row>
    <row r="9" spans="2:7" x14ac:dyDescent="0.25">
      <c r="B9" s="5" t="s">
        <v>73</v>
      </c>
      <c r="C9" s="19">
        <f>SUM('Marquee - Install'!I34:I34)</f>
        <v>20882.35</v>
      </c>
      <c r="D9" s="19">
        <f>SUM('Marquee - Install'!K34:K34)</f>
        <v>26102.94</v>
      </c>
      <c r="E9" s="19">
        <f>IFERROR(D9-C9,0)</f>
        <v>5220.59</v>
      </c>
      <c r="F9" s="26">
        <v>0.2</v>
      </c>
      <c r="G9" s="19" t="s">
        <v>38</v>
      </c>
    </row>
    <row r="10" spans="1:7" x14ac:dyDescent="0.25">
      <c r="A10" s="32"/>
      <c r="B10" s="7" t="s">
        <v>74</v>
      </c>
      <c r="C10" s="33">
        <f>SUM('Marquee - Install'!I52:I52)</f>
        <v>4705.88</v>
      </c>
      <c r="D10" s="33">
        <f>SUM('Marquee - Install'!K52:K52)</f>
        <v>5882.35</v>
      </c>
      <c r="E10" s="33">
        <f>IFERROR(D10-C10,0)</f>
        <v>1176.47</v>
      </c>
      <c r="F10" s="34">
        <v>0.2</v>
      </c>
      <c r="G10" s="33" t="s">
        <v>38</v>
      </c>
    </row>
    <row r="11" spans="2:7" x14ac:dyDescent="0.25">
      <c r="B11" s="5" t="s">
        <v>57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38</v>
      </c>
    </row>
    <row r="12" spans="1:7" x14ac:dyDescent="0.25">
      <c r="A12" s="32"/>
      <c r="B12" s="7" t="s">
        <v>58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38</v>
      </c>
    </row>
    <row r="13" spans="2:7" x14ac:dyDescent="0.25">
      <c r="B13" s="5" t="s">
        <v>59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38</v>
      </c>
    </row>
    <row r="14" spans="1:7" x14ac:dyDescent="0.25">
      <c r="A14" s="32"/>
      <c r="B14" s="7" t="s">
        <v>60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38</v>
      </c>
    </row>
    <row r="15" spans="2:7" x14ac:dyDescent="0.25">
      <c r="B15" s="5" t="s">
        <v>61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38</v>
      </c>
    </row>
    <row r="16" spans="1:7" x14ac:dyDescent="0.25">
      <c r="A16" s="32"/>
      <c r="B16" s="7" t="s">
        <v>62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38</v>
      </c>
    </row>
    <row r="17" spans="2:7" x14ac:dyDescent="0.25">
      <c r="B17" s="5" t="s">
        <v>63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38</v>
      </c>
    </row>
    <row r="19" spans="1:7" x14ac:dyDescent="0.25">
      <c r="A19" s="35"/>
      <c r="B19" s="35" t="s">
        <v>75</v>
      </c>
      <c r="C19" s="36">
        <f>SUM(C5:C17)</f>
        <v>136987.93</v>
      </c>
      <c r="D19" s="36">
        <f>SUM(D5:D17)</f>
        <v>164808.47</v>
      </c>
      <c r="E19" s="36">
        <f>IFERROR(D19-C19,0)</f>
        <v>27820.54</v>
      </c>
      <c r="F19" s="37">
        <f>IFERROR(1-C19/D19,0)</f>
        <v>0.17</v>
      </c>
      <c r="G19" s="36">
        <f>IFERROR(C19/200,0)</f>
        <v>684.94</v>
      </c>
    </row>
    <row r="20" spans="1:7" x14ac:dyDescent="0.25">
      <c r="A20" s="32"/>
      <c r="B20" s="32" t="s">
        <v>76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77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78</v>
      </c>
      <c r="C22" s="29">
        <f>C19+C20+C21</f>
        <v>136987.93</v>
      </c>
      <c r="D22" s="29">
        <f>D19+D20+D21</f>
        <v>164808.47</v>
      </c>
      <c r="E22" s="29">
        <f>IFERROR(D22-C22,0)</f>
        <v>27820.54</v>
      </c>
      <c r="F22" s="30">
        <f>IFERROR(1-C22/D22,0)</f>
        <v>0.17</v>
      </c>
      <c r="G22" s="29">
        <f>IFERROR(C22/200,0)</f>
        <v>684.94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365</v>
      </c>
      <c r="B1" s="1"/>
      <c r="C1" s="1"/>
      <c r="D1" s="1"/>
      <c r="E1" s="1"/>
    </row>
    <row r="3" spans="1:5" x14ac:dyDescent="0.25">
      <c r="A3" s="24" t="s">
        <v>366</v>
      </c>
      <c r="B3" s="24" t="s">
        <v>85</v>
      </c>
      <c r="C3" s="24" t="s">
        <v>367</v>
      </c>
      <c r="D3" s="24" t="s">
        <v>368</v>
      </c>
      <c r="E3" s="24" t="s">
        <v>67</v>
      </c>
    </row>
    <row r="4" spans="1:5" x14ac:dyDescent="0.25">
      <c r="A4" s="66" t="s">
        <v>38</v>
      </c>
      <c r="B4" s="66" t="s">
        <v>38</v>
      </c>
      <c r="C4" s="66" t="s">
        <v>38</v>
      </c>
      <c r="D4" s="57">
        <v>0</v>
      </c>
      <c r="E4" s="66" t="s">
        <v>38</v>
      </c>
    </row>
    <row r="5" spans="1:5" x14ac:dyDescent="0.25">
      <c r="A5" s="68" t="s">
        <v>38</v>
      </c>
      <c r="B5" s="68" t="s">
        <v>38</v>
      </c>
      <c r="C5" s="68" t="s">
        <v>38</v>
      </c>
      <c r="D5" s="58">
        <v>0</v>
      </c>
      <c r="E5" s="68" t="s">
        <v>38</v>
      </c>
    </row>
    <row r="6" spans="1:5" x14ac:dyDescent="0.25">
      <c r="A6" s="66" t="s">
        <v>38</v>
      </c>
      <c r="B6" s="66" t="s">
        <v>38</v>
      </c>
      <c r="C6" s="66" t="s">
        <v>38</v>
      </c>
      <c r="D6" s="57">
        <v>0</v>
      </c>
      <c r="E6" s="66" t="s">
        <v>38</v>
      </c>
    </row>
    <row r="7" spans="1:5" x14ac:dyDescent="0.25">
      <c r="A7" s="68" t="s">
        <v>38</v>
      </c>
      <c r="B7" s="68" t="s">
        <v>38</v>
      </c>
      <c r="C7" s="68" t="s">
        <v>38</v>
      </c>
      <c r="D7" s="58">
        <v>0</v>
      </c>
      <c r="E7" s="68" t="s">
        <v>38</v>
      </c>
    </row>
    <row r="8" spans="1:5" x14ac:dyDescent="0.25">
      <c r="A8" s="66" t="s">
        <v>38</v>
      </c>
      <c r="B8" s="66" t="s">
        <v>38</v>
      </c>
      <c r="C8" s="66" t="s">
        <v>38</v>
      </c>
      <c r="D8" s="57">
        <v>0</v>
      </c>
      <c r="E8" s="66" t="s">
        <v>38</v>
      </c>
    </row>
    <row r="9" spans="1:5" x14ac:dyDescent="0.25">
      <c r="A9" s="68" t="s">
        <v>38</v>
      </c>
      <c r="B9" s="68" t="s">
        <v>38</v>
      </c>
      <c r="C9" s="68" t="s">
        <v>38</v>
      </c>
      <c r="D9" s="58">
        <v>0</v>
      </c>
      <c r="E9" s="68" t="s">
        <v>38</v>
      </c>
    </row>
    <row r="10" spans="1:5" x14ac:dyDescent="0.25">
      <c r="A10" s="66" t="s">
        <v>38</v>
      </c>
      <c r="B10" s="66" t="s">
        <v>38</v>
      </c>
      <c r="C10" s="66" t="s">
        <v>38</v>
      </c>
      <c r="D10" s="57">
        <v>0</v>
      </c>
      <c r="E10" s="66" t="s">
        <v>38</v>
      </c>
    </row>
    <row r="11" spans="1:5" x14ac:dyDescent="0.25">
      <c r="A11" s="68" t="s">
        <v>38</v>
      </c>
      <c r="B11" s="68" t="s">
        <v>38</v>
      </c>
      <c r="C11" s="68" t="s">
        <v>38</v>
      </c>
      <c r="D11" s="58">
        <v>0</v>
      </c>
      <c r="E11" s="68" t="s">
        <v>38</v>
      </c>
    </row>
    <row r="12" spans="1:5" x14ac:dyDescent="0.25">
      <c r="A12" s="66" t="s">
        <v>38</v>
      </c>
      <c r="B12" s="66" t="s">
        <v>38</v>
      </c>
      <c r="C12" s="66" t="s">
        <v>38</v>
      </c>
      <c r="D12" s="57">
        <v>0</v>
      </c>
      <c r="E12" s="66" t="s">
        <v>38</v>
      </c>
    </row>
    <row r="13" spans="1:5" x14ac:dyDescent="0.25">
      <c r="A13" s="68" t="s">
        <v>38</v>
      </c>
      <c r="B13" s="68" t="s">
        <v>38</v>
      </c>
      <c r="C13" s="68" t="s">
        <v>38</v>
      </c>
      <c r="D13" s="58">
        <v>0</v>
      </c>
      <c r="E13" s="68" t="s">
        <v>38</v>
      </c>
    </row>
    <row r="14" spans="1:5" x14ac:dyDescent="0.25">
      <c r="A14" s="66" t="s">
        <v>38</v>
      </c>
      <c r="B14" s="66" t="s">
        <v>38</v>
      </c>
      <c r="C14" s="66" t="s">
        <v>38</v>
      </c>
      <c r="D14" s="57">
        <v>0</v>
      </c>
      <c r="E14" s="66" t="s">
        <v>38</v>
      </c>
    </row>
    <row r="15" spans="1:5" x14ac:dyDescent="0.25">
      <c r="A15" s="68" t="s">
        <v>38</v>
      </c>
      <c r="B15" s="68" t="s">
        <v>38</v>
      </c>
      <c r="C15" s="68" t="s">
        <v>38</v>
      </c>
      <c r="D15" s="58">
        <v>0</v>
      </c>
      <c r="E15" s="68" t="s">
        <v>38</v>
      </c>
    </row>
    <row r="16" spans="1:5" x14ac:dyDescent="0.25">
      <c r="A16" s="66" t="s">
        <v>38</v>
      </c>
      <c r="B16" s="66" t="s">
        <v>38</v>
      </c>
      <c r="C16" s="66" t="s">
        <v>38</v>
      </c>
      <c r="D16" s="57">
        <v>0</v>
      </c>
      <c r="E16" s="66" t="s">
        <v>38</v>
      </c>
    </row>
    <row r="17" spans="1:5" x14ac:dyDescent="0.25">
      <c r="A17" s="68" t="s">
        <v>38</v>
      </c>
      <c r="B17" s="68" t="s">
        <v>38</v>
      </c>
      <c r="C17" s="68" t="s">
        <v>38</v>
      </c>
      <c r="D17" s="58">
        <v>0</v>
      </c>
      <c r="E17" s="68" t="s">
        <v>38</v>
      </c>
    </row>
    <row r="18" spans="1:5" x14ac:dyDescent="0.25">
      <c r="A18" s="66" t="s">
        <v>38</v>
      </c>
      <c r="B18" s="66" t="s">
        <v>38</v>
      </c>
      <c r="C18" s="66" t="s">
        <v>38</v>
      </c>
      <c r="D18" s="57">
        <v>0</v>
      </c>
      <c r="E18" s="66" t="s">
        <v>38</v>
      </c>
    </row>
    <row r="19" spans="1:5" x14ac:dyDescent="0.25">
      <c r="A19" s="68" t="s">
        <v>38</v>
      </c>
      <c r="B19" s="68" t="s">
        <v>38</v>
      </c>
      <c r="C19" s="68" t="s">
        <v>38</v>
      </c>
      <c r="D19" s="58">
        <v>0</v>
      </c>
      <c r="E19" s="68" t="s">
        <v>38</v>
      </c>
    </row>
    <row r="20" spans="1:5" x14ac:dyDescent="0.25">
      <c r="A20" s="66" t="s">
        <v>38</v>
      </c>
      <c r="B20" s="66" t="s">
        <v>38</v>
      </c>
      <c r="C20" s="66" t="s">
        <v>38</v>
      </c>
      <c r="D20" s="57">
        <v>0</v>
      </c>
      <c r="E20" s="66" t="s">
        <v>38</v>
      </c>
    </row>
    <row r="21" spans="1:5" x14ac:dyDescent="0.25">
      <c r="A21" s="68" t="s">
        <v>38</v>
      </c>
      <c r="B21" s="68" t="s">
        <v>38</v>
      </c>
      <c r="C21" s="68" t="s">
        <v>38</v>
      </c>
      <c r="D21" s="58">
        <v>0</v>
      </c>
      <c r="E21" s="68" t="s">
        <v>38</v>
      </c>
    </row>
    <row r="22" spans="1:5" x14ac:dyDescent="0.25">
      <c r="A22" s="66" t="s">
        <v>38</v>
      </c>
      <c r="B22" s="66" t="s">
        <v>38</v>
      </c>
      <c r="C22" s="66" t="s">
        <v>38</v>
      </c>
      <c r="D22" s="57">
        <v>0</v>
      </c>
      <c r="E22" s="66" t="s">
        <v>38</v>
      </c>
    </row>
    <row r="23" spans="1:5" x14ac:dyDescent="0.25">
      <c r="A23" s="68" t="s">
        <v>38</v>
      </c>
      <c r="B23" s="68" t="s">
        <v>38</v>
      </c>
      <c r="C23" s="68" t="s">
        <v>38</v>
      </c>
      <c r="D23" s="58">
        <v>0</v>
      </c>
      <c r="E23" s="68" t="s">
        <v>38</v>
      </c>
    </row>
    <row r="24" spans="1:5" x14ac:dyDescent="0.25">
      <c r="A24" s="66" t="s">
        <v>38</v>
      </c>
      <c r="B24" s="66" t="s">
        <v>38</v>
      </c>
      <c r="C24" s="66" t="s">
        <v>38</v>
      </c>
      <c r="D24" s="57">
        <v>0</v>
      </c>
      <c r="E24" s="66" t="s">
        <v>38</v>
      </c>
    </row>
    <row r="25" spans="1:5" x14ac:dyDescent="0.25">
      <c r="A25" s="68" t="s">
        <v>38</v>
      </c>
      <c r="B25" s="68" t="s">
        <v>38</v>
      </c>
      <c r="C25" s="68" t="s">
        <v>38</v>
      </c>
      <c r="D25" s="58">
        <v>0</v>
      </c>
      <c r="E25" s="68" t="s">
        <v>38</v>
      </c>
    </row>
    <row r="26" spans="1:5" x14ac:dyDescent="0.25">
      <c r="A26" s="66" t="s">
        <v>38</v>
      </c>
      <c r="B26" s="66" t="s">
        <v>38</v>
      </c>
      <c r="C26" s="66" t="s">
        <v>38</v>
      </c>
      <c r="D26" s="57">
        <v>0</v>
      </c>
      <c r="E26" s="66" t="s">
        <v>38</v>
      </c>
    </row>
    <row r="27" spans="1:5" x14ac:dyDescent="0.25">
      <c r="A27" s="68" t="s">
        <v>38</v>
      </c>
      <c r="B27" s="68" t="s">
        <v>38</v>
      </c>
      <c r="C27" s="68" t="s">
        <v>38</v>
      </c>
      <c r="D27" s="58">
        <v>0</v>
      </c>
      <c r="E27" s="68" t="s">
        <v>38</v>
      </c>
    </row>
    <row r="28" spans="1:5" x14ac:dyDescent="0.25">
      <c r="A28" s="66" t="s">
        <v>38</v>
      </c>
      <c r="B28" s="66" t="s">
        <v>38</v>
      </c>
      <c r="C28" s="66" t="s">
        <v>38</v>
      </c>
      <c r="D28" s="57">
        <v>0</v>
      </c>
      <c r="E28" s="66" t="s">
        <v>38</v>
      </c>
    </row>
    <row r="29" spans="1:5" x14ac:dyDescent="0.25">
      <c r="A29" s="68" t="s">
        <v>38</v>
      </c>
      <c r="B29" s="68" t="s">
        <v>38</v>
      </c>
      <c r="C29" s="68" t="s">
        <v>38</v>
      </c>
      <c r="D29" s="58">
        <v>0</v>
      </c>
      <c r="E29" s="68" t="s">
        <v>38</v>
      </c>
    </row>
    <row r="30" spans="1:5" x14ac:dyDescent="0.25">
      <c r="A30" s="66" t="s">
        <v>38</v>
      </c>
      <c r="B30" s="66" t="s">
        <v>38</v>
      </c>
      <c r="C30" s="66" t="s">
        <v>38</v>
      </c>
      <c r="D30" s="57">
        <v>0</v>
      </c>
      <c r="E30" s="66" t="s">
        <v>38</v>
      </c>
    </row>
    <row r="31" spans="1:5" x14ac:dyDescent="0.25">
      <c r="A31" s="68" t="s">
        <v>38</v>
      </c>
      <c r="B31" s="68" t="s">
        <v>38</v>
      </c>
      <c r="C31" s="68" t="s">
        <v>38</v>
      </c>
      <c r="D31" s="58">
        <v>0</v>
      </c>
      <c r="E31" s="68" t="s">
        <v>38</v>
      </c>
    </row>
    <row r="32" spans="1:5" x14ac:dyDescent="0.25">
      <c r="A32" s="66" t="s">
        <v>38</v>
      </c>
      <c r="B32" s="66" t="s">
        <v>38</v>
      </c>
      <c r="C32" s="66" t="s">
        <v>38</v>
      </c>
      <c r="D32" s="57">
        <v>0</v>
      </c>
      <c r="E32" s="66" t="s">
        <v>38</v>
      </c>
    </row>
    <row r="33" spans="1:5" x14ac:dyDescent="0.25">
      <c r="A33" s="68" t="s">
        <v>38</v>
      </c>
      <c r="B33" s="68" t="s">
        <v>38</v>
      </c>
      <c r="C33" s="68" t="s">
        <v>38</v>
      </c>
      <c r="D33" s="58">
        <v>0</v>
      </c>
      <c r="E33" s="68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Project Overview</vt:lpstr>
      <vt:lpstr>Margin Analysis</vt:lpstr>
      <vt:lpstr>Budget Summary</vt:lpstr>
      <vt:lpstr>LED Cost Sheet</vt:lpstr>
      <vt:lpstr>Tech Specs (Installers)</vt:lpstr>
      <vt:lpstr>Marquee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2026-04-01T01:53:17Z</dcterms:created>
  <dcterms:modified xsi:type="dcterms:W3CDTF">2026-04-01T01:53:17Z</dcterms:modified>
</cp:coreProperties>
</file>