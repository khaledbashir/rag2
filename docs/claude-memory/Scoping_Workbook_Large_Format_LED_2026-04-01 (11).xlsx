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<sst xmlns="http://schemas.openxmlformats.org/spreadsheetml/2006/main" count="5580" uniqueCount="442">
  <si>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</si>
  <si>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</si>
  <si>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</si>
  <si>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</si>
  <si>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</si>
  <si>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</si>
  <si>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</si>
  <si>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</si>
  <si>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</si>
  <si>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</si>
  <si>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</si>
  <si>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</si>
  <si>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</si>
  <si>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</si>
  <si>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</si>
  <si>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</si>
  <si>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</si>
  <si>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</si>
  <si>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</si>
  <si>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</si>
  <si>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</si>
  <si>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</si>
  <si>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</si>
  <si>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</si>
  <si>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</si>
  <si>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</si>
  <si>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</si>
  <si>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</si>
  <si>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</si>
  <si>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</si>
  <si>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</si>
  <si>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</si>
  <si>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</si>
  <si>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</si>
  <si>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</si>
  <si>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</si>
  <si>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</si>
  <si>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</si>
  <si>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</si>
  <si>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</si>
  <si>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</si>
  <si>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</si>
  <si>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</si>
  <si>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</si>
  <si>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</si>
  <si>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</si>
  <si>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</si>
  <si>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</si>
  <si>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</si>
  <si>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</si>
  <si>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</si>
  <si>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</si>
  <si>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</si>
  <si>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</si>
  <si>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</si>
  <si>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</si>
  <si>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</si>
  <si>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</si>
  <si>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</si>
  <si>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</si>
  <si>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</si>
  <si>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</si>
  <si>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</si>
  <si>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</si>
  <si>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</si>
  <si>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</si>
  <si>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</si>
  <si>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</si>
  <si>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</si>
  <si>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</si>
  <si>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</si>
  <si>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</si>
  <si>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</si>
  <si>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</si>
  <si>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</si>
  <si>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</si>
  <si>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</si>
  <si>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</si>
  <si>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</si>
  <si>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</si>
  <si>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</si>
  <si>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</si>
  <si>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</si>
  <si>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</si>
  <si>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</si>
  <si>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</si>
  <si>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</si>
  <si>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</si>
  <si>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</si>
  <si>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</si>
  <si>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</si>
  <si>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</si>
  <si>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</si>
  <si>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</si>
  <si>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</si>
  <si>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</si>
  <si>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</si>
  <si>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</si>
  <si>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</si>
  <si>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</si>
  <si>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</si>
  <si>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</si>
  <si>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</si>
  <si>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</si>
  <si>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</si>
  <si>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</si>
  <si>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</si>
  <si>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</si>
  <si>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</si>
  <si>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</si>
  <si>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</si>
  <si>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</si>
  <si>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</si>
  <si>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</si>
  <si>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</si>
  <si>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</si>
  <si>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</si>
  <si>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</si>
  <si>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</si>
  <si>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</si>
  <si>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</si>
  <si>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</si>
  <si>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</si>
  <si>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</si>
  <si>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</si>
  <si>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</si>
  <si>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</si>
  <si>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</si>
  <si>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Yaham Radiance R10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</si>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</sst>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526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4771</v>
      </c>
      <c r="Y7" s="53">
        <f>IFERROR(ROUND(M7*0.092903*VLOOKUP(F7,'_Products'!$A$1:$G$23,7,FALSE),0),0)</f>
        <v>41105</v>
      </c>
      <c r="Z7" s="53">
        <f>Y7*3.412</f>
        <v>140250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4057</v>
      </c>
      <c r="Y8" s="46">
        <f>IFERROR(ROUND(M8*0.092903*VLOOKUP(F8,'_Products'!$A$1:$G$23,7,FALSE),0),0)</f>
        <v>34956</v>
      </c>
      <c r="Z8" s="46">
        <f>Y8*3.412</f>
        <v>119270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1501</v>
      </c>
      <c r="Y9" s="53">
        <f>IFERROR(ROUND(M9*0.092903*VLOOKUP(F9,'_Products'!$A$1:$G$23,7,FALSE),0),0)</f>
        <v>12933</v>
      </c>
      <c r="Z9" s="53">
        <f>Y9*3.412</f>
        <v>44127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LG/Yaham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6000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1045</v>
      </c>
      <c r="Y10" s="46">
        <f>IFERROR(ROUND(M10*0.092903*VLOOKUP(F10,'_Products'!$A$1:$G$23,7,FALSE),0),0)</f>
        <v>18952</v>
      </c>
      <c r="Z10" s="46">
        <f>Y10*3.412</f>
        <v>64664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LG/Yaham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6000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1106</v>
      </c>
      <c r="Y11" s="53">
        <f>IFERROR(ROUND(M11*0.092903*VLOOKUP(F11,'_Products'!$A$1:$G$23,7,FALSE),0),0)</f>
        <v>20067</v>
      </c>
      <c r="Z11" s="53">
        <f>Y11*3.412</f>
        <v>68469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LG/Yaham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6000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1045</v>
      </c>
      <c r="Y12" s="46">
        <f>IFERROR(ROUND(M12*0.092903*VLOOKUP(F12,'_Products'!$A$1:$G$23,7,FALSE),0),0)</f>
        <v>18952</v>
      </c>
      <c r="Z12" s="46">
        <f>Y12*3.412</f>
        <v>64664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LG/Yaham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6000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1045</v>
      </c>
      <c r="Y13" s="53">
        <f>IFERROR(ROUND(M13*0.092903*VLOOKUP(F13,'_Products'!$A$1:$G$23,7,FALSE),0),0)</f>
        <v>18952</v>
      </c>
      <c r="Z13" s="53">
        <f>Y13*3.412</f>
        <v>64664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LG/Yaham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6000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688</v>
      </c>
      <c r="Y14" s="46">
        <f>IFERROR(ROUND(M14*0.092903*VLOOKUP(F14,'_Products'!$A$1:$G$23,7,FALSE),0),0)</f>
        <v>12486</v>
      </c>
      <c r="Z14" s="46">
        <f>Y14*3.412</f>
        <v>42602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LG/Yaham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6000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74</v>
      </c>
      <c r="Y15" s="53">
        <f>IFERROR(ROUND(M15*0.092903*VLOOKUP(F15,'_Products'!$A$1:$G$23,7,FALSE),0),0)</f>
        <v>1338</v>
      </c>
      <c r="Z15" s="53">
        <f>Y15*3.412</f>
        <v>4565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LG/Yaham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6000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442</v>
      </c>
      <c r="Y16" s="46">
        <f>IFERROR(ROUND(M16*0.092903*VLOOKUP(F16,'_Products'!$A$1:$G$23,7,FALSE),0),0)</f>
        <v>8027</v>
      </c>
      <c r="Z16" s="46">
        <f>Y16*3.412</f>
        <v>27388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LG/Yaham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6000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203</v>
      </c>
      <c r="Y17" s="53">
        <f>IFERROR(ROUND(M17*0.092903*VLOOKUP(F17,'_Products'!$A$1:$G$23,7,FALSE),0),0)</f>
        <v>3679</v>
      </c>
      <c r="Z17" s="53">
        <f>Y17*3.412</f>
        <v>12553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LG/Yaham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6000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185</v>
      </c>
      <c r="Y18" s="46">
        <f>IFERROR(ROUND(M18*0.092903*VLOOKUP(F18,'_Products'!$A$1:$G$23,7,FALSE),0),0)</f>
        <v>3357</v>
      </c>
      <c r="Z18" s="46">
        <f>Y18*3.412</f>
        <v>11454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LG/Yaham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6000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203</v>
      </c>
      <c r="Y19" s="53">
        <f>IFERROR(ROUND(M19*0.092903*VLOOKUP(F19,'_Products'!$A$1:$G$23,7,FALSE),0),0)</f>
        <v>3679</v>
      </c>
      <c r="Z19" s="53">
        <f>Y19*3.412</f>
        <v>12553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LG/Yaham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6000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203</v>
      </c>
      <c r="Y20" s="46">
        <f>IFERROR(ROUND(M20*0.092903*VLOOKUP(F20,'_Products'!$A$1:$G$23,7,FALSE),0),0)</f>
        <v>3679</v>
      </c>
      <c r="Z20" s="46">
        <f>Y20*3.412</f>
        <v>12553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LG/Yaham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6000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203</v>
      </c>
      <c r="Y21" s="53">
        <f>IFERROR(ROUND(M21*0.092903*VLOOKUP(F21,'_Products'!$A$1:$G$23,7,FALSE),0),0)</f>
        <v>3679</v>
      </c>
      <c r="Z21" s="53">
        <f>Y21*3.412</f>
        <v>12553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LG/Yaham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6000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713</v>
      </c>
      <c r="Y22" s="46">
        <f>IFERROR(ROUND(M22*0.092903*VLOOKUP(F22,'_Products'!$A$1:$G$23,7,FALSE),0),0)</f>
        <v>12932</v>
      </c>
      <c r="Z22" s="46">
        <f>Y22*3.412</f>
        <v>44124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LG/Yaham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6000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467</v>
      </c>
      <c r="Y23" s="53">
        <f>IFERROR(ROUND(M23*0.092903*VLOOKUP(F23,'_Products'!$A$1:$G$23,7,FALSE),0),0)</f>
        <v>8472</v>
      </c>
      <c r="Z23" s="53">
        <f>Y23*3.412</f>
        <v>28906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LG/Yaham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6000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442</v>
      </c>
      <c r="Y24" s="46">
        <f>IFERROR(ROUND(M24*0.092903*VLOOKUP(F24,'_Products'!$A$1:$G$23,7,FALSE),0),0)</f>
        <v>8027</v>
      </c>
      <c r="Z24" s="46">
        <f>Y24*3.412</f>
        <v>27388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LG/Yaham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6000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74</v>
      </c>
      <c r="Y25" s="53">
        <f>IFERROR(ROUND(M25*0.092903*VLOOKUP(F25,'_Products'!$A$1:$G$23,7,FALSE),0),0)</f>
        <v>1338</v>
      </c>
      <c r="Z25" s="53">
        <f>Y25*3.412</f>
        <v>4565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LG/Yaham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6000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442</v>
      </c>
      <c r="Y26" s="46">
        <f>IFERROR(ROUND(M26*0.092903*VLOOKUP(F26,'_Products'!$A$1:$G$23,7,FALSE),0),0)</f>
        <v>8027</v>
      </c>
      <c r="Z26" s="46">
        <f>Y26*3.412</f>
        <v>27388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LG/Yaham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6000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74</v>
      </c>
      <c r="Y27" s="53">
        <f>IFERROR(ROUND(M27*0.092903*VLOOKUP(F27,'_Products'!$A$1:$G$23,7,FALSE),0),0)</f>
        <v>1338</v>
      </c>
      <c r="Z27" s="53">
        <f>Y27*3.412</f>
        <v>4565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LG/Yaham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6000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74</v>
      </c>
      <c r="Y28" s="46">
        <f>IFERROR(ROUND(M28*0.092903*VLOOKUP(F28,'_Products'!$A$1:$G$23,7,FALSE),0),0)</f>
        <v>1338</v>
      </c>
      <c r="Z28" s="46">
        <f>Y28*3.412</f>
        <v>4565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LG/Yaham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6000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442</v>
      </c>
      <c r="Y29" s="53">
        <f>IFERROR(ROUND(M29*0.092903*VLOOKUP(F29,'_Products'!$A$1:$G$23,7,FALSE),0),0)</f>
        <v>8027</v>
      </c>
      <c r="Z29" s="53">
        <f>Y29*3.412</f>
        <v>27388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Yaham</v>
      </c>
      <c r="F30" s="33" t="s">
        <v>127</v>
      </c>
      <c r="G30" s="43">
        <f>IFERROR(VLOOKUP(F30,'_Products'!$A$1:$G$23,3,FALSE),0)</f>
        <v>10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7500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469</v>
      </c>
      <c r="Y30" s="46">
        <f>IFERROR(ROUND(M30*0.092903*VLOOKUP(F30,'_Products'!$A$1:$G$23,7,FALSE),0),0)</f>
        <v>2632</v>
      </c>
      <c r="Z30" s="46">
        <f>Y30*3.412</f>
        <v>8980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</v>
      </c>
      <c r="F31" t="s">
        <v>128</v>
      </c>
      <c r="G31" s="50">
        <f>IFERROR(VLOOKUP(F31,'_Products'!$A$1:$G$23,3,FALSE),0)</f>
        <v>10.417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634</v>
      </c>
      <c r="Y31" s="53">
        <f>IFERROR(ROUND(M31*0.092903*VLOOKUP(F31,'_Products'!$A$1:$G$23,7,FALSE),0),0)</f>
        <v>6341</v>
      </c>
      <c r="Z31" s="53">
        <f>Y31*3.412</f>
        <v>21635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</v>
      </c>
      <c r="F32" s="33" t="s">
        <v>128</v>
      </c>
      <c r="G32" s="43">
        <f>IFERROR(VLOOKUP(F32,'_Products'!$A$1:$G$23,3,FALSE),0)</f>
        <v>10.417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634</v>
      </c>
      <c r="Y32" s="46">
        <f>IFERROR(ROUND(M32*0.092903*VLOOKUP(F32,'_Products'!$A$1:$G$23,7,FALSE),0),0)</f>
        <v>6341</v>
      </c>
      <c r="Z32" s="46">
        <f>Y32*3.412</f>
        <v>21635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</v>
      </c>
      <c r="F33" t="s">
        <v>128</v>
      </c>
      <c r="G33" s="50">
        <f>IFERROR(VLOOKUP(F33,'_Products'!$A$1:$G$23,3,FALSE),0)</f>
        <v>10.417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634</v>
      </c>
      <c r="Y33" s="53">
        <f>IFERROR(ROUND(M33*0.092903*VLOOKUP(F33,'_Products'!$A$1:$G$23,7,FALSE),0),0)</f>
        <v>6341</v>
      </c>
      <c r="Z33" s="53">
        <f>Y33*3.412</f>
        <v>21635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Yaham</v>
      </c>
      <c r="F34" s="33" t="s">
        <v>127</v>
      </c>
      <c r="G34" s="43">
        <f>IFERROR(VLOOKUP(F34,'_Products'!$A$1:$G$23,3,FALSE),0)</f>
        <v>10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7500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626</v>
      </c>
      <c r="Y34" s="46">
        <f>IFERROR(ROUND(M34*0.092903*VLOOKUP(F34,'_Products'!$A$1:$G$23,7,FALSE),0),0)</f>
        <v>3510</v>
      </c>
      <c r="Z34" s="46">
        <f>Y34*3.412</f>
        <v>11976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</v>
      </c>
      <c r="F35" t="s">
        <v>128</v>
      </c>
      <c r="G35" s="50">
        <f>IFERROR(VLOOKUP(F35,'_Products'!$A$1:$G$23,3,FALSE),0)</f>
        <v>10.417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845</v>
      </c>
      <c r="Y35" s="53">
        <f>IFERROR(ROUND(M35*0.092903*VLOOKUP(F35,'_Products'!$A$1:$G$23,7,FALSE),0),0)</f>
        <v>8454</v>
      </c>
      <c r="Z35" s="53">
        <f>Y35*3.412</f>
        <v>28845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</v>
      </c>
      <c r="F36" s="33" t="s">
        <v>128</v>
      </c>
      <c r="G36" s="43">
        <f>IFERROR(VLOOKUP(F36,'_Products'!$A$1:$G$23,3,FALSE),0)</f>
        <v>10.417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845</v>
      </c>
      <c r="Y36" s="46">
        <f>IFERROR(ROUND(M36*0.092903*VLOOKUP(F36,'_Products'!$A$1:$G$23,7,FALSE),0),0)</f>
        <v>8454</v>
      </c>
      <c r="Z36" s="46">
        <f>Y36*3.412</f>
        <v>28845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Yaham</v>
      </c>
      <c r="F37" t="s">
        <v>127</v>
      </c>
      <c r="G37" s="50">
        <f>IFERROR(VLOOKUP(F37,'_Products'!$A$1:$G$23,3,FALSE),0)</f>
        <v>10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7500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137988</v>
      </c>
      <c r="Y37" s="53">
        <f>IFERROR(ROUND(M37*0.092903*VLOOKUP(F37,'_Products'!$A$1:$G$23,7,FALSE),0),0)</f>
        <v>773846</v>
      </c>
      <c r="Z37" s="53">
        <f>Y37*3.412</f>
        <v>2640363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Yaham</v>
      </c>
      <c r="F38" s="33" t="s">
        <v>127</v>
      </c>
      <c r="G38" s="43">
        <f>IFERROR(VLOOKUP(F38,'_Products'!$A$1:$G$23,3,FALSE),0)</f>
        <v>10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7500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137988</v>
      </c>
      <c r="Y38" s="46">
        <f>IFERROR(ROUND(M38*0.092903*VLOOKUP(F38,'_Products'!$A$1:$G$23,7,FALSE),0),0)</f>
        <v>773846</v>
      </c>
      <c r="Z38" s="46">
        <f>Y38*3.412</f>
        <v>2640363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Yaham</v>
      </c>
      <c r="F39" t="s">
        <v>127</v>
      </c>
      <c r="G39" s="50">
        <f>IFERROR(VLOOKUP(F39,'_Products'!$A$1:$G$23,3,FALSE),0)</f>
        <v>10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7500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3607</v>
      </c>
      <c r="Y39" s="53">
        <f>IFERROR(ROUND(M39*0.092903*VLOOKUP(F39,'_Products'!$A$1:$G$23,7,FALSE),0),0)</f>
        <v>20227</v>
      </c>
      <c r="Z39" s="53">
        <f>Y39*3.412</f>
        <v>69015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Yaham</v>
      </c>
      <c r="F40" s="33" t="s">
        <v>127</v>
      </c>
      <c r="G40" s="43">
        <f>IFERROR(VLOOKUP(F40,'_Products'!$A$1:$G$23,3,FALSE),0)</f>
        <v>10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7500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931</v>
      </c>
      <c r="Y40" s="46">
        <f>IFERROR(ROUND(M40*0.092903*VLOOKUP(F40,'_Products'!$A$1:$G$23,7,FALSE),0),0)</f>
        <v>5220</v>
      </c>
      <c r="Z40" s="46">
        <f>Y40*3.412</f>
        <v>17811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Yaham</v>
      </c>
      <c r="F41" t="s">
        <v>127</v>
      </c>
      <c r="G41" s="50">
        <f>IFERROR(VLOOKUP(F41,'_Products'!$A$1:$G$23,3,FALSE),0)</f>
        <v>10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7500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1916</v>
      </c>
      <c r="Y41" s="53">
        <f>IFERROR(ROUND(M41*0.092903*VLOOKUP(F41,'_Products'!$A$1:$G$23,7,FALSE),0),0)</f>
        <v>10748</v>
      </c>
      <c r="Z41" s="53">
        <f>Y41*3.412</f>
        <v>36672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Yaham</v>
      </c>
      <c r="F42" s="33" t="s">
        <v>127</v>
      </c>
      <c r="G42" s="43">
        <f>IFERROR(VLOOKUP(F42,'_Products'!$A$1:$G$23,3,FALSE),0)</f>
        <v>10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7500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55</v>
      </c>
      <c r="Y42" s="46">
        <f>IFERROR(ROUND(M42*0.092903*VLOOKUP(F42,'_Products'!$A$1:$G$23,7,FALSE),0),0)</f>
        <v>307</v>
      </c>
      <c r="Z42" s="46">
        <f>Y42*3.412</f>
        <v>1047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Yaham</v>
      </c>
      <c r="F43" t="s">
        <v>127</v>
      </c>
      <c r="G43" s="50">
        <f>IFERROR(VLOOKUP(F43,'_Products'!$A$1:$G$23,3,FALSE),0)</f>
        <v>10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7500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7236</v>
      </c>
      <c r="Y43" s="53">
        <f>IFERROR(ROUND(M43*0.092903*VLOOKUP(F43,'_Products'!$A$1:$G$23,7,FALSE),0),0)</f>
        <v>40579</v>
      </c>
      <c r="Z43" s="53">
        <f>Y43*3.412</f>
        <v>138456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7500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414</v>
      </c>
      <c r="Y44" s="46">
        <f>IFERROR(ROUND(M44*0.092903*VLOOKUP(F44,'_Products'!$A$1:$G$23,7,FALSE),0),0)</f>
        <v>2321</v>
      </c>
      <c r="Z44" s="46">
        <f>Y44*3.412</f>
        <v>7919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7500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821</v>
      </c>
      <c r="Y45" s="53">
        <f>IFERROR(ROUND(M45*0.092903*VLOOKUP(F45,'_Products'!$A$1:$G$23,7,FALSE),0),0)</f>
        <v>4604</v>
      </c>
      <c r="Z45" s="53">
        <f>Y45*3.412</f>
        <v>15709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7500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13246</v>
      </c>
      <c r="Y46" s="46">
        <f>IFERROR(ROUND(M46*0.092903*VLOOKUP(F46,'_Products'!$A$1:$G$23,7,FALSE),0),0)</f>
        <v>74284</v>
      </c>
      <c r="Z46" s="46">
        <f>Y46*3.412</f>
        <v>253457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7500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7134</v>
      </c>
      <c r="Y47" s="53">
        <f>IFERROR(ROUND(M47*0.092903*VLOOKUP(F47,'_Products'!$A$1:$G$23,7,FALSE),0),0)</f>
        <v>40009</v>
      </c>
      <c r="Z47" s="53">
        <f>Y47*3.412</f>
        <v>136511</v>
      </c>
    </row>
    <row r="49" spans="1:26" x14ac:dyDescent="0.25">
      <c r="A49" s="56" t="s">
        <v>129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421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433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434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128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132</v>
      </c>
      <c r="B4" s="60" t="s">
        <v>112</v>
      </c>
      <c r="C4" s="60" t="s">
        <v>133</v>
      </c>
      <c r="D4" s="60" t="s">
        <v>134</v>
      </c>
      <c r="E4" s="60" t="s">
        <v>135</v>
      </c>
      <c r="F4" s="60" t="s">
        <v>136</v>
      </c>
      <c r="G4" s="60" t="s">
        <v>137</v>
      </c>
      <c r="H4" s="60" t="s">
        <v>138</v>
      </c>
      <c r="I4" s="60" t="s">
        <v>139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140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141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141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141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141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141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141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141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141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141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141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141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141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141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141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141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142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142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142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142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142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142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142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142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142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142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142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142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1:9" x14ac:dyDescent="0.25">
      <c r="A5" s="33"/>
      <c r="B5" s="41" t="s">
        <v>214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215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216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217</v>
      </c>
    </row>
    <row r="11" ht="28" customHeight="1" spans="1:9" x14ac:dyDescent="0.25">
      <c r="A11" s="3" t="s">
        <v>35</v>
      </c>
      <c r="B11" s="3" t="s">
        <v>101</v>
      </c>
      <c r="C11" s="3" t="s">
        <v>207</v>
      </c>
      <c r="D11" s="3" t="s">
        <v>208</v>
      </c>
      <c r="E11" s="3" t="s">
        <v>112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222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5" t="s">
        <v>87</v>
      </c>
      <c r="B6" s="25" t="s">
        <v>225</v>
      </c>
      <c r="C6" s="25" t="s">
        <v>37</v>
      </c>
      <c r="D6" s="25" t="s">
        <v>112</v>
      </c>
      <c r="E6" s="25" t="s">
        <v>29</v>
      </c>
      <c r="F6" s="25" t="s">
        <v>226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227</v>
      </c>
      <c r="B8" s="33" t="s">
        <v>228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227</v>
      </c>
      <c r="B9" t="s">
        <v>229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230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227</v>
      </c>
      <c r="B13" t="s">
        <v>228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227</v>
      </c>
      <c r="B14" s="33" t="s">
        <v>229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230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227</v>
      </c>
      <c r="B18" s="33" t="s">
        <v>228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227</v>
      </c>
      <c r="B19" t="s">
        <v>229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230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227</v>
      </c>
      <c r="B23" t="s">
        <v>228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227</v>
      </c>
      <c r="B24" s="33" t="s">
        <v>229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227</v>
      </c>
      <c r="B25" t="s">
        <v>231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230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227</v>
      </c>
      <c r="B29" t="s">
        <v>228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227</v>
      </c>
      <c r="B30" s="33" t="s">
        <v>229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227</v>
      </c>
      <c r="B31" t="s">
        <v>231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230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227</v>
      </c>
      <c r="B35" t="s">
        <v>228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227</v>
      </c>
      <c r="B36" s="33" t="s">
        <v>229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227</v>
      </c>
      <c r="B37" t="s">
        <v>231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230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227</v>
      </c>
      <c r="B41" t="s">
        <v>228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227</v>
      </c>
      <c r="B42" s="33" t="s">
        <v>229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227</v>
      </c>
      <c r="B43" t="s">
        <v>231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230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227</v>
      </c>
      <c r="B47" t="s">
        <v>228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227</v>
      </c>
      <c r="B48" s="33" t="s">
        <v>229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227</v>
      </c>
      <c r="B49" t="s">
        <v>231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230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227</v>
      </c>
      <c r="B53" t="s">
        <v>228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227</v>
      </c>
      <c r="B54" s="33" t="s">
        <v>229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227</v>
      </c>
      <c r="B55" t="s">
        <v>231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230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227</v>
      </c>
      <c r="B59" t="s">
        <v>228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227</v>
      </c>
      <c r="B60" s="33" t="s">
        <v>229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227</v>
      </c>
      <c r="B61" t="s">
        <v>231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230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227</v>
      </c>
      <c r="B65" t="s">
        <v>228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227</v>
      </c>
      <c r="B66" s="33" t="s">
        <v>229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230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227</v>
      </c>
      <c r="B70" s="33" t="s">
        <v>228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227</v>
      </c>
      <c r="B71" t="s">
        <v>229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230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227</v>
      </c>
      <c r="B75" t="s">
        <v>228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227</v>
      </c>
      <c r="B76" s="33" t="s">
        <v>229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230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227</v>
      </c>
      <c r="B80" s="33" t="s">
        <v>228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227</v>
      </c>
      <c r="B81" t="s">
        <v>229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230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227</v>
      </c>
      <c r="B85" t="s">
        <v>228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227</v>
      </c>
      <c r="B86" s="33" t="s">
        <v>229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230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227</v>
      </c>
      <c r="B90" s="33" t="s">
        <v>228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227</v>
      </c>
      <c r="B91" t="s">
        <v>229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230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227</v>
      </c>
      <c r="B95" t="s">
        <v>228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227</v>
      </c>
      <c r="B96" s="33" t="s">
        <v>229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230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227</v>
      </c>
      <c r="B100" s="33" t="s">
        <v>228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227</v>
      </c>
      <c r="B101" t="s">
        <v>229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230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227</v>
      </c>
      <c r="B105" t="s">
        <v>228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227</v>
      </c>
      <c r="B106" s="33" t="s">
        <v>229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230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227</v>
      </c>
      <c r="B110" s="33" t="s">
        <v>228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227</v>
      </c>
      <c r="B111" t="s">
        <v>229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230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227</v>
      </c>
      <c r="B115" t="s">
        <v>228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227</v>
      </c>
      <c r="B116" s="33" t="s">
        <v>229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230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227</v>
      </c>
      <c r="B120" s="33" t="s">
        <v>228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227</v>
      </c>
      <c r="B121" t="s">
        <v>229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230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227</v>
      </c>
      <c r="B125" t="s">
        <v>228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227</v>
      </c>
      <c r="B126" s="33" t="s">
        <v>229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230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227</v>
      </c>
      <c r="B130" s="33" t="s">
        <v>228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227</v>
      </c>
      <c r="B131" t="s">
        <v>229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230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227</v>
      </c>
      <c r="B135" t="s">
        <v>228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227</v>
      </c>
      <c r="B136" s="33" t="s">
        <v>229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230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227</v>
      </c>
      <c r="B140" s="33" t="s">
        <v>228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227</v>
      </c>
      <c r="B141" t="s">
        <v>229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230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227</v>
      </c>
      <c r="B145" t="s">
        <v>228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227</v>
      </c>
      <c r="B146" s="33" t="s">
        <v>229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227</v>
      </c>
      <c r="B147" t="s">
        <v>232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227</v>
      </c>
      <c r="B148" s="33" t="s">
        <v>233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230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227</v>
      </c>
      <c r="B152" s="33" t="s">
        <v>228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227</v>
      </c>
      <c r="B153" t="s">
        <v>229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227</v>
      </c>
      <c r="B154" s="33" t="s">
        <v>232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227</v>
      </c>
      <c r="B155" t="s">
        <v>233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230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227</v>
      </c>
      <c r="B159" t="s">
        <v>228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227</v>
      </c>
      <c r="B160" s="33" t="s">
        <v>229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227</v>
      </c>
      <c r="B161" t="s">
        <v>232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227</v>
      </c>
      <c r="B162" s="33" t="s">
        <v>233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230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227</v>
      </c>
      <c r="B166" s="33" t="s">
        <v>228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227</v>
      </c>
      <c r="B167" t="s">
        <v>229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227</v>
      </c>
      <c r="B168" s="33" t="s">
        <v>232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227</v>
      </c>
      <c r="B169" t="s">
        <v>233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230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227</v>
      </c>
      <c r="B173" t="s">
        <v>228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227</v>
      </c>
      <c r="B174" s="33" t="s">
        <v>229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227</v>
      </c>
      <c r="B175" t="s">
        <v>232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227</v>
      </c>
      <c r="B176" s="33" t="s">
        <v>233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230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227</v>
      </c>
      <c r="B180" s="33" t="s">
        <v>228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227</v>
      </c>
      <c r="B181" t="s">
        <v>229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227</v>
      </c>
      <c r="B182" s="33" t="s">
        <v>232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227</v>
      </c>
      <c r="B183" t="s">
        <v>233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230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227</v>
      </c>
      <c r="B187" t="s">
        <v>228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227</v>
      </c>
      <c r="B188" s="33" t="s">
        <v>229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227</v>
      </c>
      <c r="B189" t="s">
        <v>232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227</v>
      </c>
      <c r="B190" s="33" t="s">
        <v>233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230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227</v>
      </c>
      <c r="B194" s="33" t="s">
        <v>228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227</v>
      </c>
      <c r="B195" t="s">
        <v>229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227</v>
      </c>
      <c r="B196" s="33" t="s">
        <v>232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227</v>
      </c>
      <c r="B197" t="s">
        <v>231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227</v>
      </c>
      <c r="B198" s="33" t="s">
        <v>233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230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227</v>
      </c>
      <c r="B202" s="33" t="s">
        <v>228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227</v>
      </c>
      <c r="B203" t="s">
        <v>229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227</v>
      </c>
      <c r="B204" s="33" t="s">
        <v>232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227</v>
      </c>
      <c r="B205" t="s">
        <v>231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227</v>
      </c>
      <c r="B206" s="33" t="s">
        <v>233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230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227</v>
      </c>
      <c r="B210" s="33" t="s">
        <v>228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227</v>
      </c>
      <c r="B211" t="s">
        <v>229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227</v>
      </c>
      <c r="B212" s="33" t="s">
        <v>231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227</v>
      </c>
      <c r="B213" t="s">
        <v>233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230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227</v>
      </c>
      <c r="B217" t="s">
        <v>228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227</v>
      </c>
      <c r="B218" s="33" t="s">
        <v>229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227</v>
      </c>
      <c r="B219" t="s">
        <v>233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230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227</v>
      </c>
      <c r="B223" t="s">
        <v>228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227</v>
      </c>
      <c r="B224" s="33" t="s">
        <v>229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227</v>
      </c>
      <c r="B225" t="s">
        <v>233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230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227</v>
      </c>
      <c r="B229" t="s">
        <v>228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227</v>
      </c>
      <c r="B230" s="33" t="s">
        <v>229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227</v>
      </c>
      <c r="B231" t="s">
        <v>233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230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227</v>
      </c>
      <c r="B235" t="s">
        <v>228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227</v>
      </c>
      <c r="B236" s="33" t="s">
        <v>229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227</v>
      </c>
      <c r="B237" t="s">
        <v>231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227</v>
      </c>
      <c r="B238" s="33" t="s">
        <v>233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230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227</v>
      </c>
      <c r="B242" s="33" t="s">
        <v>228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227</v>
      </c>
      <c r="B243" t="s">
        <v>229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227</v>
      </c>
      <c r="B244" s="33" t="s">
        <v>233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230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227</v>
      </c>
      <c r="B248" s="33" t="s">
        <v>228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227</v>
      </c>
      <c r="B249" t="s">
        <v>229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227</v>
      </c>
      <c r="B250" s="33" t="s">
        <v>233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230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227</v>
      </c>
      <c r="B254" s="33" t="s">
        <v>228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227</v>
      </c>
      <c r="B255" t="s">
        <v>229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227</v>
      </c>
      <c r="B256" s="33" t="s">
        <v>231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227</v>
      </c>
      <c r="B257" t="s">
        <v>233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230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227</v>
      </c>
      <c r="B261" t="s">
        <v>228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227</v>
      </c>
      <c r="B262" s="33" t="s">
        <v>229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227</v>
      </c>
      <c r="B263" t="s">
        <v>231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227</v>
      </c>
      <c r="B264" s="33" t="s">
        <v>233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230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234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236</v>
      </c>
      <c r="C4" s="3" t="s">
        <v>37</v>
      </c>
      <c r="D4" s="3" t="s">
        <v>237</v>
      </c>
      <c r="E4" s="3" t="s">
        <v>29</v>
      </c>
    </row>
    <row r="5" spans="1:7" x14ac:dyDescent="0.25">
      <c r="A5" s="33"/>
      <c r="B5" s="33" t="s">
        <v>238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239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240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241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242</v>
      </c>
      <c r="C9" s="34">
        <v>10000</v>
      </c>
      <c r="D9" s="72">
        <v>0</v>
      </c>
      <c r="E9" s="34">
        <v>0</v>
      </c>
      <c r="G9" s="73" t="s">
        <v>243</v>
      </c>
    </row>
    <row r="10" spans="1:5" x14ac:dyDescent="0.25">
      <c r="A10" s="68"/>
      <c r="B10" s="68" t="s">
        <v>244</v>
      </c>
      <c r="C10" s="68"/>
      <c r="D10" s="68"/>
      <c r="E10" s="69">
        <v>0</v>
      </c>
    </row>
    <row r="11" spans="1:5" x14ac:dyDescent="0.25">
      <c r="A11" s="36"/>
      <c r="B11" s="36" t="s">
        <v>222</v>
      </c>
      <c r="C11" s="36" t="s">
        <v>245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246</v>
      </c>
      <c r="C13" s="3" t="s">
        <v>37</v>
      </c>
      <c r="D13" s="3" t="s">
        <v>237</v>
      </c>
      <c r="E13" s="3" t="s">
        <v>29</v>
      </c>
    </row>
    <row r="14" spans="1:7" x14ac:dyDescent="0.25">
      <c r="A14" s="33"/>
      <c r="B14" s="33" t="s">
        <v>238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239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240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241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242</v>
      </c>
      <c r="C18" s="34">
        <v>10000</v>
      </c>
      <c r="D18" s="72">
        <v>0</v>
      </c>
      <c r="E18" s="34">
        <v>0</v>
      </c>
      <c r="G18" s="73" t="s">
        <v>243</v>
      </c>
    </row>
    <row r="19" spans="1:5" x14ac:dyDescent="0.25">
      <c r="A19" s="68"/>
      <c r="B19" s="68" t="s">
        <v>244</v>
      </c>
      <c r="C19" s="68"/>
      <c r="D19" s="68"/>
      <c r="E19" s="69">
        <v>0</v>
      </c>
    </row>
    <row r="20" spans="1:5" x14ac:dyDescent="0.25">
      <c r="A20" s="36"/>
      <c r="B20" s="36" t="s">
        <v>222</v>
      </c>
      <c r="C20" s="36" t="s">
        <v>245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247</v>
      </c>
      <c r="C22" s="3" t="s">
        <v>37</v>
      </c>
      <c r="D22" s="3" t="s">
        <v>237</v>
      </c>
      <c r="E22" s="3" t="s">
        <v>29</v>
      </c>
    </row>
    <row r="23" spans="1:7" x14ac:dyDescent="0.25">
      <c r="A23" s="33"/>
      <c r="B23" s="33" t="s">
        <v>238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239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240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241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242</v>
      </c>
      <c r="C27" s="34">
        <v>10000</v>
      </c>
      <c r="D27" s="72">
        <v>0</v>
      </c>
      <c r="E27" s="34">
        <v>0</v>
      </c>
      <c r="G27" s="73" t="s">
        <v>243</v>
      </c>
    </row>
    <row r="28" spans="2:7" x14ac:dyDescent="0.25">
      <c r="B28" t="s">
        <v>248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244</v>
      </c>
      <c r="C29" s="68"/>
      <c r="D29" s="68"/>
      <c r="E29" s="69">
        <v>0</v>
      </c>
    </row>
    <row r="30" spans="1:5" x14ac:dyDescent="0.25">
      <c r="A30" s="36"/>
      <c r="B30" s="36" t="s">
        <v>222</v>
      </c>
      <c r="C30" s="36" t="s">
        <v>245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4" t="s">
        <v>250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253</v>
      </c>
      <c r="C7" s="33" t="s">
        <v>254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253</v>
      </c>
      <c r="C8" t="s">
        <v>255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253</v>
      </c>
      <c r="C9" s="33" t="s">
        <v>256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253</v>
      </c>
      <c r="C10" t="s">
        <v>257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258</v>
      </c>
      <c r="C11" s="33" t="s">
        <v>254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258</v>
      </c>
      <c r="C12" t="s">
        <v>255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258</v>
      </c>
      <c r="C13" s="33" t="s">
        <v>256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259</v>
      </c>
      <c r="C14" t="s">
        <v>260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259</v>
      </c>
      <c r="C15" s="33" t="s">
        <v>261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259</v>
      </c>
      <c r="C16" t="s">
        <v>262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263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264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265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266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267</v>
      </c>
      <c r="C26" s="76" t="s">
        <v>245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4" t="s">
        <v>269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270</v>
      </c>
      <c r="C7" s="33" t="s">
        <v>271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270</v>
      </c>
      <c r="C8" t="s">
        <v>272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270</v>
      </c>
      <c r="C9" s="33" t="s">
        <v>273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270</v>
      </c>
      <c r="C10" t="s">
        <v>274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270</v>
      </c>
      <c r="C11" s="33" t="s">
        <v>275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276</v>
      </c>
      <c r="C12" t="s">
        <v>277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276</v>
      </c>
      <c r="C13" s="33" t="s">
        <v>278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276</v>
      </c>
      <c r="C14" t="s">
        <v>279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280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280</v>
      </c>
      <c r="C16" t="s">
        <v>281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280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264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265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282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267</v>
      </c>
      <c r="C27" s="76" t="s">
        <v>245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4">
        <v>3</v>
      </c>
      <c r="C4" s="78" t="s">
        <v>286</v>
      </c>
    </row>
    <row r="5" spans="1:3" x14ac:dyDescent="0.25">
      <c r="A5" t="s">
        <v>287</v>
      </c>
      <c r="B5" s="67">
        <v>0</v>
      </c>
      <c r="C5" s="78" t="s">
        <v>288</v>
      </c>
    </row>
    <row r="6" spans="1:3" x14ac:dyDescent="0.25">
      <c r="A6" t="s">
        <v>289</v>
      </c>
      <c r="B6" s="21">
        <v>0.03</v>
      </c>
      <c r="C6" s="78" t="s">
        <v>290</v>
      </c>
    </row>
    <row r="7" spans="1:3" x14ac:dyDescent="0.25">
      <c r="A7" t="s">
        <v>40</v>
      </c>
      <c r="B7" s="21">
        <v>0.15</v>
      </c>
      <c r="C7" s="78" t="s">
        <v>291</v>
      </c>
    </row>
    <row r="10" spans="1:5" x14ac:dyDescent="0.25">
      <c r="A10" s="25" t="s">
        <v>292</v>
      </c>
      <c r="B10" s="25" t="s">
        <v>37</v>
      </c>
      <c r="C10" s="25" t="s">
        <v>38</v>
      </c>
      <c r="D10" s="25" t="s">
        <v>39</v>
      </c>
      <c r="E10" s="25" t="s">
        <v>293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294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294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294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295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252</v>
      </c>
      <c r="D4" s="25" t="s">
        <v>37</v>
      </c>
      <c r="E4" s="25" t="s">
        <v>237</v>
      </c>
      <c r="F4" s="25" t="s">
        <v>29</v>
      </c>
      <c r="G4" s="25" t="s">
        <v>226</v>
      </c>
      <c r="H4" s="25" t="s">
        <v>38</v>
      </c>
      <c r="I4" s="25" t="s">
        <v>39</v>
      </c>
    </row>
    <row r="5" spans="1:9" x14ac:dyDescent="0.25">
      <c r="A5" s="33"/>
      <c r="B5" s="33" t="s">
        <v>297</v>
      </c>
      <c r="C5" s="33" t="s">
        <v>298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299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300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178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301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302</v>
      </c>
    </row>
    <row r="2" spans="2:2" x14ac:dyDescent="0.25">
      <c r="B2" t="s">
        <v>303</v>
      </c>
    </row>
    <row r="4" ht="24" customHeight="1" spans="2:4" x14ac:dyDescent="0.25">
      <c r="B4" s="80" t="s">
        <v>304</v>
      </c>
      <c r="C4" s="81" t="s">
        <v>305</v>
      </c>
      <c r="D4" s="81" t="s">
        <v>306</v>
      </c>
    </row>
    <row r="5" spans="1:4" x14ac:dyDescent="0.25">
      <c r="A5" s="33"/>
      <c r="B5" s="82" t="s">
        <v>307</v>
      </c>
      <c r="C5" s="47" t="s">
        <v>35</v>
      </c>
      <c r="D5" s="47" t="s">
        <v>308</v>
      </c>
    </row>
    <row r="6" spans="2:4" x14ac:dyDescent="0.25">
      <c r="B6" s="83" t="s">
        <v>309</v>
      </c>
      <c r="C6" s="54" t="s">
        <v>310</v>
      </c>
      <c r="D6" s="54" t="s">
        <v>35</v>
      </c>
    </row>
    <row r="7" spans="1:4" x14ac:dyDescent="0.25">
      <c r="A7" s="33"/>
      <c r="B7" s="82" t="s">
        <v>311</v>
      </c>
      <c r="C7" s="47" t="s">
        <v>310</v>
      </c>
      <c r="D7" s="47" t="s">
        <v>35</v>
      </c>
    </row>
    <row r="8" spans="2:4" x14ac:dyDescent="0.25">
      <c r="B8" s="83" t="s">
        <v>312</v>
      </c>
      <c r="C8" s="54" t="s">
        <v>308</v>
      </c>
      <c r="D8" s="54" t="s">
        <v>35</v>
      </c>
    </row>
    <row r="9" spans="1:4" x14ac:dyDescent="0.25">
      <c r="A9" s="33"/>
      <c r="B9" s="82" t="s">
        <v>313</v>
      </c>
      <c r="C9" s="47" t="s">
        <v>308</v>
      </c>
      <c r="D9" s="47" t="s">
        <v>35</v>
      </c>
    </row>
    <row r="10" spans="2:4" x14ac:dyDescent="0.25">
      <c r="B10" s="83" t="s">
        <v>314</v>
      </c>
      <c r="C10" s="54" t="s">
        <v>35</v>
      </c>
      <c r="D10" s="54" t="s">
        <v>308</v>
      </c>
    </row>
    <row r="11" spans="1:4" x14ac:dyDescent="0.25">
      <c r="A11" s="33"/>
      <c r="B11" s="82" t="s">
        <v>315</v>
      </c>
      <c r="C11" s="47" t="s">
        <v>35</v>
      </c>
      <c r="D11" s="47" t="s">
        <v>308</v>
      </c>
    </row>
    <row r="13" ht="24" customHeight="1" spans="2:4" x14ac:dyDescent="0.25">
      <c r="B13" s="80" t="s">
        <v>316</v>
      </c>
      <c r="C13" s="81" t="s">
        <v>305</v>
      </c>
      <c r="D13" s="81" t="s">
        <v>306</v>
      </c>
    </row>
    <row r="14" spans="1:4" x14ac:dyDescent="0.25">
      <c r="A14" s="33"/>
      <c r="B14" s="82" t="s">
        <v>317</v>
      </c>
      <c r="C14" s="47" t="s">
        <v>35</v>
      </c>
      <c r="D14" s="47" t="s">
        <v>308</v>
      </c>
    </row>
    <row r="15" spans="2:4" x14ac:dyDescent="0.25">
      <c r="B15" s="83" t="s">
        <v>318</v>
      </c>
      <c r="C15" s="54" t="s">
        <v>308</v>
      </c>
      <c r="D15" s="54" t="s">
        <v>35</v>
      </c>
    </row>
    <row r="16" spans="1:4" x14ac:dyDescent="0.25">
      <c r="A16" s="33"/>
      <c r="B16" s="82" t="s">
        <v>319</v>
      </c>
      <c r="C16" s="47" t="s">
        <v>308</v>
      </c>
      <c r="D16" s="47" t="s">
        <v>35</v>
      </c>
    </row>
    <row r="17" spans="2:4" x14ac:dyDescent="0.25">
      <c r="B17" s="83" t="s">
        <v>320</v>
      </c>
      <c r="C17" s="54" t="s">
        <v>35</v>
      </c>
      <c r="D17" s="54" t="s">
        <v>308</v>
      </c>
    </row>
    <row r="18" spans="1:4" x14ac:dyDescent="0.25">
      <c r="A18" s="33"/>
      <c r="B18" s="82" t="s">
        <v>321</v>
      </c>
      <c r="C18" s="47" t="s">
        <v>35</v>
      </c>
      <c r="D18" s="47" t="s">
        <v>308</v>
      </c>
    </row>
    <row r="20" ht="24" customHeight="1" spans="2:4" x14ac:dyDescent="0.25">
      <c r="B20" s="80" t="s">
        <v>322</v>
      </c>
      <c r="C20" s="81" t="s">
        <v>305</v>
      </c>
      <c r="D20" s="81" t="s">
        <v>306</v>
      </c>
    </row>
    <row r="21" spans="1:4" x14ac:dyDescent="0.25">
      <c r="A21" s="33"/>
      <c r="B21" s="82" t="s">
        <v>323</v>
      </c>
      <c r="C21" s="47" t="s">
        <v>324</v>
      </c>
      <c r="D21" s="47" t="s">
        <v>35</v>
      </c>
    </row>
    <row r="22" spans="2:4" x14ac:dyDescent="0.25">
      <c r="B22" s="83" t="s">
        <v>325</v>
      </c>
      <c r="C22" s="54" t="s">
        <v>35</v>
      </c>
      <c r="D22" s="54" t="s">
        <v>308</v>
      </c>
    </row>
    <row r="23" spans="1:4" x14ac:dyDescent="0.25">
      <c r="A23" s="33"/>
      <c r="B23" s="82" t="s">
        <v>326</v>
      </c>
      <c r="C23" s="47" t="s">
        <v>324</v>
      </c>
      <c r="D23" s="47" t="s">
        <v>35</v>
      </c>
    </row>
    <row r="24" spans="2:4" x14ac:dyDescent="0.25">
      <c r="B24" s="83" t="s">
        <v>327</v>
      </c>
      <c r="C24" s="54" t="s">
        <v>308</v>
      </c>
      <c r="D24" s="54" t="s">
        <v>35</v>
      </c>
    </row>
    <row r="25" spans="1:4" x14ac:dyDescent="0.25">
      <c r="A25" s="33"/>
      <c r="B25" s="82" t="s">
        <v>328</v>
      </c>
      <c r="C25" s="47" t="s">
        <v>308</v>
      </c>
      <c r="D25" s="47" t="s">
        <v>35</v>
      </c>
    </row>
    <row r="26" spans="2:4" x14ac:dyDescent="0.25">
      <c r="B26" s="83" t="s">
        <v>329</v>
      </c>
      <c r="C26" s="54" t="s">
        <v>35</v>
      </c>
      <c r="D26" s="54" t="s">
        <v>308</v>
      </c>
    </row>
    <row r="28" ht="24" customHeight="1" spans="2:4" x14ac:dyDescent="0.25">
      <c r="B28" s="80" t="s">
        <v>330</v>
      </c>
      <c r="C28" s="81" t="s">
        <v>305</v>
      </c>
      <c r="D28" s="81" t="s">
        <v>306</v>
      </c>
    </row>
    <row r="29" spans="1:4" x14ac:dyDescent="0.25">
      <c r="A29" s="33"/>
      <c r="B29" s="82" t="s">
        <v>331</v>
      </c>
      <c r="C29" s="47" t="s">
        <v>308</v>
      </c>
      <c r="D29" s="47" t="s">
        <v>35</v>
      </c>
    </row>
    <row r="30" spans="2:4" x14ac:dyDescent="0.25">
      <c r="B30" s="83" t="s">
        <v>332</v>
      </c>
      <c r="C30" s="54" t="s">
        <v>35</v>
      </c>
      <c r="D30" s="54" t="s">
        <v>308</v>
      </c>
    </row>
    <row r="31" spans="1:4" x14ac:dyDescent="0.25">
      <c r="A31" s="33"/>
      <c r="B31" s="82" t="s">
        <v>333</v>
      </c>
      <c r="C31" s="47" t="s">
        <v>35</v>
      </c>
      <c r="D31" s="47" t="s">
        <v>308</v>
      </c>
    </row>
    <row r="32" spans="2:4" x14ac:dyDescent="0.25">
      <c r="B32" s="83" t="s">
        <v>334</v>
      </c>
      <c r="C32" s="54" t="s">
        <v>308</v>
      </c>
      <c r="D32" s="54" t="s">
        <v>35</v>
      </c>
    </row>
    <row r="33" spans="1:4" x14ac:dyDescent="0.25">
      <c r="A33" s="33"/>
      <c r="B33" s="82" t="s">
        <v>335</v>
      </c>
      <c r="C33" s="47" t="s">
        <v>35</v>
      </c>
      <c r="D33" s="47" t="s">
        <v>308</v>
      </c>
    </row>
    <row r="34" spans="2:4" x14ac:dyDescent="0.25">
      <c r="B34" s="83" t="s">
        <v>336</v>
      </c>
      <c r="C34" s="54" t="s">
        <v>308</v>
      </c>
      <c r="D34" s="54" t="s">
        <v>35</v>
      </c>
    </row>
    <row r="35" spans="1:4" x14ac:dyDescent="0.25">
      <c r="A35" s="33"/>
      <c r="B35" s="82" t="s">
        <v>337</v>
      </c>
      <c r="C35" s="47" t="s">
        <v>308</v>
      </c>
      <c r="D35" s="47" t="s">
        <v>35</v>
      </c>
    </row>
    <row r="36" spans="2:4" x14ac:dyDescent="0.25">
      <c r="B36" s="83" t="s">
        <v>338</v>
      </c>
      <c r="C36" s="54" t="s">
        <v>308</v>
      </c>
      <c r="D36" s="54" t="s">
        <v>35</v>
      </c>
    </row>
    <row r="37" spans="1:4" x14ac:dyDescent="0.25">
      <c r="A37" s="33"/>
      <c r="B37" s="82" t="s">
        <v>339</v>
      </c>
      <c r="C37" s="47" t="s">
        <v>35</v>
      </c>
      <c r="D37" s="47" t="s">
        <v>308</v>
      </c>
    </row>
    <row r="39" ht="24" customHeight="1" spans="2:4" x14ac:dyDescent="0.25">
      <c r="B39" s="80" t="s">
        <v>340</v>
      </c>
      <c r="C39" s="81" t="s">
        <v>305</v>
      </c>
      <c r="D39" s="81" t="s">
        <v>306</v>
      </c>
    </row>
    <row r="40" spans="1:4" x14ac:dyDescent="0.25">
      <c r="A40" s="33"/>
      <c r="B40" s="82" t="s">
        <v>341</v>
      </c>
      <c r="C40" s="47" t="s">
        <v>324</v>
      </c>
      <c r="D40" s="47" t="s">
        <v>35</v>
      </c>
    </row>
    <row r="41" spans="2:4" x14ac:dyDescent="0.25">
      <c r="B41" s="83" t="s">
        <v>342</v>
      </c>
      <c r="C41" s="54" t="s">
        <v>35</v>
      </c>
      <c r="D41" s="54" t="s">
        <v>308</v>
      </c>
    </row>
    <row r="42" spans="1:4" x14ac:dyDescent="0.25">
      <c r="A42" s="33"/>
      <c r="B42" s="82" t="s">
        <v>343</v>
      </c>
      <c r="C42" s="47" t="s">
        <v>35</v>
      </c>
      <c r="D42" s="47" t="s">
        <v>308</v>
      </c>
    </row>
    <row r="44" ht="24" customHeight="1" spans="2:4" x14ac:dyDescent="0.25">
      <c r="B44" s="80" t="s">
        <v>344</v>
      </c>
      <c r="C44" s="81" t="s">
        <v>305</v>
      </c>
      <c r="D44" s="81" t="s">
        <v>306</v>
      </c>
    </row>
    <row r="45" spans="1:4" x14ac:dyDescent="0.25">
      <c r="A45" s="33"/>
      <c r="B45" s="82" t="s">
        <v>345</v>
      </c>
      <c r="C45" s="47" t="s">
        <v>308</v>
      </c>
      <c r="D45" s="47" t="s">
        <v>35</v>
      </c>
    </row>
    <row r="46" spans="2:4" x14ac:dyDescent="0.25">
      <c r="B46" s="83" t="s">
        <v>346</v>
      </c>
      <c r="C46" s="54" t="s">
        <v>308</v>
      </c>
      <c r="D46" s="54" t="s">
        <v>35</v>
      </c>
    </row>
    <row r="47" spans="1:4" x14ac:dyDescent="0.25">
      <c r="A47" s="33"/>
      <c r="B47" s="82" t="s">
        <v>347</v>
      </c>
      <c r="C47" s="47" t="s">
        <v>308</v>
      </c>
      <c r="D47" s="47" t="s">
        <v>35</v>
      </c>
    </row>
    <row r="48" spans="2:4" x14ac:dyDescent="0.25">
      <c r="B48" s="83" t="s">
        <v>348</v>
      </c>
      <c r="C48" s="54" t="s">
        <v>308</v>
      </c>
      <c r="D48" s="54" t="s">
        <v>35</v>
      </c>
    </row>
    <row r="50" ht="24" customHeight="1" spans="2:4" x14ac:dyDescent="0.25">
      <c r="B50" s="80" t="s">
        <v>349</v>
      </c>
      <c r="C50" s="81" t="s">
        <v>305</v>
      </c>
      <c r="D50" s="81" t="s">
        <v>306</v>
      </c>
    </row>
    <row r="51" spans="1:4" x14ac:dyDescent="0.25">
      <c r="A51" s="33"/>
      <c r="B51" s="82" t="s">
        <v>350</v>
      </c>
      <c r="C51" s="47" t="s">
        <v>324</v>
      </c>
      <c r="D51" s="47" t="s">
        <v>35</v>
      </c>
    </row>
    <row r="52" spans="2:4" x14ac:dyDescent="0.25">
      <c r="B52" s="83" t="s">
        <v>351</v>
      </c>
      <c r="C52" s="54" t="s">
        <v>35</v>
      </c>
      <c r="D52" s="54" t="s">
        <v>308</v>
      </c>
    </row>
    <row r="53" spans="1:4" x14ac:dyDescent="0.25">
      <c r="A53" s="33"/>
      <c r="B53" s="82" t="s">
        <v>352</v>
      </c>
      <c r="C53" s="47" t="s">
        <v>324</v>
      </c>
      <c r="D53" s="47" t="s">
        <v>35</v>
      </c>
    </row>
    <row r="54" spans="2:4" x14ac:dyDescent="0.25">
      <c r="B54" s="83" t="s">
        <v>353</v>
      </c>
      <c r="C54" s="54" t="s">
        <v>324</v>
      </c>
      <c r="D54" s="54" t="s">
        <v>35</v>
      </c>
    </row>
    <row r="55" spans="1:4" x14ac:dyDescent="0.25">
      <c r="A55" s="33"/>
      <c r="B55" s="82" t="s">
        <v>354</v>
      </c>
      <c r="C55" s="47" t="s">
        <v>324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356</v>
      </c>
      <c r="D3" s="84" t="s">
        <v>357</v>
      </c>
    </row>
    <row r="5" spans="2:9" x14ac:dyDescent="0.25">
      <c r="B5" s="64" t="s">
        <v>358</v>
      </c>
      <c r="I5" s="64" t="s">
        <v>359</v>
      </c>
    </row>
    <row r="6" spans="1:10" x14ac:dyDescent="0.25">
      <c r="A6" s="25" t="s">
        <v>35</v>
      </c>
      <c r="B6" s="25" t="s">
        <v>360</v>
      </c>
      <c r="C6" s="25" t="s">
        <v>361</v>
      </c>
      <c r="D6" s="25" t="s">
        <v>226</v>
      </c>
      <c r="I6" s="25" t="s">
        <v>360</v>
      </c>
      <c r="J6" s="25" t="s">
        <v>361</v>
      </c>
    </row>
    <row r="7" spans="1:10" x14ac:dyDescent="0.25">
      <c r="A7" t="s">
        <v>362</v>
      </c>
      <c r="B7" s="20">
        <v>23399111.419999994</v>
      </c>
      <c r="C7" s="20">
        <v>20352792.819999997</v>
      </c>
      <c r="D7" s="20">
        <v>3046318.6</v>
      </c>
      <c r="H7" s="26" t="s">
        <v>363</v>
      </c>
      <c r="I7" s="20">
        <v>23399111.419999994</v>
      </c>
      <c r="J7" s="20">
        <v>20352792.819999997</v>
      </c>
    </row>
    <row r="8" spans="1:6" x14ac:dyDescent="0.25">
      <c r="A8" s="36" t="s">
        <v>363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364</v>
      </c>
    </row>
    <row r="11" spans="1:4" x14ac:dyDescent="0.25">
      <c r="A11" t="s">
        <v>365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366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367</v>
      </c>
      <c r="B16" s="25" t="s">
        <v>360</v>
      </c>
      <c r="C16" s="25" t="s">
        <v>368</v>
      </c>
      <c r="D16" s="25" t="s">
        <v>369</v>
      </c>
      <c r="E16" s="25" t="s">
        <v>370</v>
      </c>
    </row>
    <row r="17" spans="1:5" x14ac:dyDescent="0.25">
      <c r="A17" s="33" t="s">
        <v>371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372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373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374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375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376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377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378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379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380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381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390</v>
      </c>
      <c r="C6" s="74" t="s">
        <v>391</v>
      </c>
    </row>
    <row r="7" spans="2:3" x14ac:dyDescent="0.25">
      <c r="B7" t="s">
        <v>392</v>
      </c>
      <c r="C7" s="74" t="s">
        <v>391</v>
      </c>
    </row>
    <row r="9" spans="1:6" x14ac:dyDescent="0.25">
      <c r="A9" s="25" t="s">
        <v>35</v>
      </c>
      <c r="B9" s="25" t="s">
        <v>360</v>
      </c>
      <c r="C9" s="25" t="s">
        <v>393</v>
      </c>
      <c r="D9" s="25" t="s">
        <v>394</v>
      </c>
      <c r="E9" s="25" t="s">
        <v>395</v>
      </c>
      <c r="F9" s="25" t="s">
        <v>396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397</v>
      </c>
      <c r="E12" s="86" t="s">
        <v>398</v>
      </c>
      <c r="F12" s="86" t="s">
        <v>399</v>
      </c>
      <c r="G12" s="86" t="s">
        <v>400</v>
      </c>
      <c r="H12" s="86" t="s">
        <v>401</v>
      </c>
      <c r="I12" s="86" t="s">
        <v>402</v>
      </c>
      <c r="J12" s="86" t="s">
        <v>403</v>
      </c>
      <c r="K12" s="86" t="s">
        <v>404</v>
      </c>
      <c r="L12" s="86" t="s">
        <v>405</v>
      </c>
      <c r="M12" s="86" t="s">
        <v>406</v>
      </c>
      <c r="N12" s="86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410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5" t="s">
        <v>412</v>
      </c>
      <c r="B3" s="25" t="s">
        <v>105</v>
      </c>
      <c r="C3" s="25" t="s">
        <v>413</v>
      </c>
      <c r="D3" s="25" t="s">
        <v>414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2026-04-01T21:48:27Z</dcterms:created>
  <dcterms:modified xsi:type="dcterms:W3CDTF">2026-04-01T21:48:27Z</dcterms:modified>
</cp:coreProperties>
</file>