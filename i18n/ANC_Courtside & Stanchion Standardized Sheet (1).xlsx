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ncny-my.sharepoint.com/personal/korey_ryan_anc_com/Documents/Documents/"/>
    </mc:Choice>
  </mc:AlternateContent>
  <xr:revisionPtr revIDLastSave="0" documentId="8_{32F6AD59-812B-4494-B762-46CB2EDD4ADC}" xr6:coauthVersionLast="47" xr6:coauthVersionMax="47" xr10:uidLastSave="{00000000-0000-0000-0000-000000000000}"/>
  <bookViews>
    <workbookView xWindow="-108" yWindow="-108" windowWidth="23256" windowHeight="13896" xr2:uid="{2CD153C4-3368-4AB9-857E-82C073C67D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" i="1" l="1"/>
  <c r="K14" i="1" s="1"/>
  <c r="J13" i="1"/>
  <c r="K13" i="1" s="1"/>
  <c r="J12" i="1"/>
  <c r="K12" i="1" s="1"/>
  <c r="J11" i="1"/>
  <c r="K11" i="1" s="1"/>
  <c r="H14" i="1"/>
  <c r="H12" i="1"/>
  <c r="H11" i="1"/>
  <c r="H13" i="1"/>
  <c r="D12" i="1"/>
  <c r="D14" i="1"/>
  <c r="K3" i="1"/>
  <c r="K4" i="1"/>
  <c r="K6" i="1"/>
  <c r="K10" i="1"/>
  <c r="K8" i="1"/>
  <c r="K7" i="1"/>
  <c r="J4" i="1"/>
  <c r="J5" i="1"/>
  <c r="K5" i="1" s="1"/>
  <c r="J6" i="1"/>
  <c r="J7" i="1"/>
  <c r="J8" i="1"/>
  <c r="J9" i="1"/>
  <c r="K9" i="1" s="1"/>
  <c r="J10" i="1"/>
  <c r="J3" i="1"/>
  <c r="H10" i="1"/>
  <c r="H9" i="1"/>
  <c r="H3" i="1"/>
  <c r="H6" i="1" s="1"/>
  <c r="H8" i="1"/>
  <c r="H4" i="1" s="1"/>
  <c r="H5" i="1" l="1"/>
</calcChain>
</file>

<file path=xl/sharedStrings.xml><?xml version="1.0" encoding="utf-8"?>
<sst xmlns="http://schemas.openxmlformats.org/spreadsheetml/2006/main" count="26" uniqueCount="18">
  <si>
    <t>Pixel Pitch</t>
  </si>
  <si>
    <t>Height</t>
  </si>
  <si>
    <t>Width</t>
  </si>
  <si>
    <t>Physical Specs</t>
  </si>
  <si>
    <t>Pixel Specs</t>
  </si>
  <si>
    <t>Cost</t>
  </si>
  <si>
    <t>Standard Sale Price</t>
  </si>
  <si>
    <t>10'</t>
  </si>
  <si>
    <t>8'</t>
  </si>
  <si>
    <t>Margin</t>
  </si>
  <si>
    <t>Profit</t>
  </si>
  <si>
    <t>Tables</t>
  </si>
  <si>
    <t>Stanchions</t>
  </si>
  <si>
    <t>Size</t>
  </si>
  <si>
    <t>6'</t>
  </si>
  <si>
    <t>5'</t>
  </si>
  <si>
    <t>Single</t>
  </si>
  <si>
    <t>Double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</si>
</sst>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5" formatCode="_(&quot;$&quot;* #,##0_);_(&quot;$&quot;* \(#,##0\);_(&quot;$&quot;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165" fontId="0" fillId="0" borderId="1" xfId="1" applyNumberFormat="1" applyFont="1" applyBorder="1" applyAlignment="1">
      <alignment horizontal="center"/>
    </xf>
    <xf numFmtId="165" fontId="0" fillId="0" borderId="2" xfId="1" applyNumberFormat="1" applyFont="1" applyBorder="1" applyAlignment="1">
      <alignment horizontal="center"/>
    </xf>
    <xf numFmtId="165" fontId="0" fillId="0" borderId="3" xfId="1" applyNumberFormat="1" applyFont="1" applyBorder="1" applyAlignment="1">
      <alignment horizontal="center"/>
    </xf>
    <xf numFmtId="165" fontId="0" fillId="0" borderId="11" xfId="1" applyNumberFormat="1" applyFont="1" applyBorder="1" applyAlignment="1">
      <alignment horizontal="center"/>
    </xf>
    <xf numFmtId="165" fontId="0" fillId="0" borderId="4" xfId="1" applyNumberFormat="1" applyFont="1" applyBorder="1" applyAlignment="1">
      <alignment horizontal="center"/>
    </xf>
    <xf numFmtId="165" fontId="0" fillId="0" borderId="5" xfId="1" applyNumberFormat="1" applyFont="1" applyBorder="1" applyAlignment="1">
      <alignment horizontal="center"/>
    </xf>
    <xf numFmtId="165" fontId="0" fillId="0" borderId="6" xfId="1" applyNumberFormat="1" applyFont="1" applyBorder="1" applyAlignment="1">
      <alignment horizontal="center"/>
    </xf>
    <xf numFmtId="165" fontId="0" fillId="0" borderId="12" xfId="1" applyNumberFormat="1" applyFont="1" applyBorder="1" applyAlignment="1">
      <alignment horizontal="center"/>
    </xf>
    <xf numFmtId="9" fontId="0" fillId="0" borderId="13" xfId="2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9" fontId="0" fillId="0" borderId="15" xfId="2" applyFont="1" applyBorder="1" applyAlignment="1">
      <alignment horizontal="center"/>
    </xf>
    <xf numFmtId="9" fontId="0" fillId="0" borderId="16" xfId="2" applyFont="1" applyBorder="1" applyAlignment="1">
      <alignment horizontal="center"/>
    </xf>
    <xf numFmtId="9" fontId="0" fillId="0" borderId="17" xfId="2" applyFont="1" applyBorder="1" applyAlignment="1">
      <alignment horizontal="center"/>
    </xf>
    <xf numFmtId="165" fontId="0" fillId="0" borderId="18" xfId="1" applyNumberFormat="1" applyFont="1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2" xfId="0" applyBorder="1" applyAlignment="1">
      <alignment horizontal="center"/>
    </xf>
    <xf numFmtId="0" fontId="0" fillId="0" borderId="18" xfId="0" applyBorder="1" applyAlignment="1">
      <alignment horizontal="center"/>
    </xf>
    <xf numFmtId="165" fontId="0" fillId="0" borderId="22" xfId="1" applyNumberFormat="1" applyFont="1" applyBorder="1" applyAlignment="1">
      <alignment horizontal="center"/>
    </xf>
    <xf numFmtId="9" fontId="0" fillId="0" borderId="23" xfId="2" applyFont="1" applyBorder="1" applyAlignment="1">
      <alignment horizontal="center"/>
    </xf>
    <xf numFmtId="0" fontId="0" fillId="0" borderId="24" xfId="0" applyBorder="1" applyAlignment="1">
      <alignment horizontal="center" vertical="center"/>
    </xf>
    <xf numFmtId="165" fontId="0" fillId="0" borderId="1" xfId="1" applyNumberFormat="1" applyFont="1" applyBorder="1"/>
    <xf numFmtId="165" fontId="0" fillId="0" borderId="4" xfId="1" applyNumberFormat="1" applyFont="1" applyBorder="1"/>
    <xf numFmtId="165" fontId="0" fillId="0" borderId="18" xfId="1" applyNumberFormat="1" applyFont="1" applyBorder="1"/>
    <xf numFmtId="165" fontId="0" fillId="0" borderId="22" xfId="1" applyNumberFormat="1" applyFont="1" applyBorder="1"/>
    <xf numFmtId="165" fontId="0" fillId="0" borderId="3" xfId="1" applyNumberFormat="1" applyFont="1" applyBorder="1"/>
    <xf numFmtId="165" fontId="0" fillId="0" borderId="6" xfId="1" applyNumberFormat="1" applyFont="1" applyBorder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638B4-85AC-4CB7-936B-F0D49226F6C6}">
  <dimension ref="A1:K14"/>
  <sheetViews>
    <sheetView tabSelected="1" workbookViewId="0">
      <selection activeCell="K23" sqref="K23"/>
    </sheetView>
  </sheetViews>
  <sheetFormatPr defaultRowHeight="14.4" x14ac:dyDescent="0.3"/>
  <cols>
    <col min="1" max="1" width="9.88671875" bestFit="1" customWidth="1"/>
    <col min="8" max="8" width="11.21875" bestFit="1" customWidth="1"/>
    <col min="9" max="9" width="16.6640625" bestFit="1" customWidth="1"/>
    <col min="10" max="10" width="16.6640625" customWidth="1"/>
    <col min="11" max="11" width="12.33203125" bestFit="1" customWidth="1"/>
  </cols>
  <sheetData>
    <row r="1" spans="1:11" ht="15" thickBot="1" x14ac:dyDescent="0.35">
      <c r="D1" s="7" t="s">
        <v>3</v>
      </c>
      <c r="E1" s="8"/>
      <c r="F1" s="7" t="s">
        <v>4</v>
      </c>
      <c r="G1" s="8"/>
    </row>
    <row r="2" spans="1:11" ht="15" thickBot="1" x14ac:dyDescent="0.35">
      <c r="A2" s="30" t="s">
        <v>11</v>
      </c>
      <c r="B2" s="24" t="s">
        <v>0</v>
      </c>
      <c r="C2" s="25" t="s">
        <v>13</v>
      </c>
      <c r="D2" s="24" t="s">
        <v>1</v>
      </c>
      <c r="E2" s="25" t="s">
        <v>2</v>
      </c>
      <c r="F2" s="24" t="s">
        <v>1</v>
      </c>
      <c r="G2" s="25" t="s">
        <v>2</v>
      </c>
      <c r="H2" s="24" t="s">
        <v>5</v>
      </c>
      <c r="I2" s="25" t="s">
        <v>6</v>
      </c>
      <c r="J2" s="24" t="s">
        <v>10</v>
      </c>
      <c r="K2" s="24" t="s">
        <v>9</v>
      </c>
    </row>
    <row r="3" spans="1:11" x14ac:dyDescent="0.3">
      <c r="A3" s="31"/>
      <c r="B3" s="12">
        <v>3.9</v>
      </c>
      <c r="C3" s="13" t="s">
        <v>7</v>
      </c>
      <c r="D3" s="14">
        <v>2.46</v>
      </c>
      <c r="E3" s="13">
        <v>9.83</v>
      </c>
      <c r="F3" s="14">
        <v>192</v>
      </c>
      <c r="G3" s="13">
        <v>768</v>
      </c>
      <c r="H3" s="15">
        <f>H7-1585</f>
        <v>16560</v>
      </c>
      <c r="I3" s="19">
        <v>30000</v>
      </c>
      <c r="J3" s="15">
        <f>I3-H3</f>
        <v>13440</v>
      </c>
      <c r="K3" s="23">
        <f>J3/I3</f>
        <v>0.44800000000000001</v>
      </c>
    </row>
    <row r="4" spans="1:11" x14ac:dyDescent="0.3">
      <c r="A4" s="31"/>
      <c r="B4" s="1"/>
      <c r="C4" s="3" t="s">
        <v>8</v>
      </c>
      <c r="D4" s="5">
        <v>2.46</v>
      </c>
      <c r="E4" s="3">
        <v>8.17</v>
      </c>
      <c r="F4" s="5">
        <v>192</v>
      </c>
      <c r="G4" s="3">
        <v>640</v>
      </c>
      <c r="H4" s="16">
        <f>H8-1274</f>
        <v>15851</v>
      </c>
      <c r="I4" s="20">
        <v>26500</v>
      </c>
      <c r="J4" s="16">
        <f t="shared" ref="J4:J14" si="0">I4-H4</f>
        <v>10649</v>
      </c>
      <c r="K4" s="26">
        <f>J4/I4</f>
        <v>0.40184905660377357</v>
      </c>
    </row>
    <row r="5" spans="1:11" x14ac:dyDescent="0.3">
      <c r="A5" s="31"/>
      <c r="B5" s="1"/>
      <c r="C5" s="3" t="s">
        <v>14</v>
      </c>
      <c r="D5" s="5">
        <v>2.46</v>
      </c>
      <c r="E5" s="3">
        <v>6.56</v>
      </c>
      <c r="F5" s="5">
        <v>192</v>
      </c>
      <c r="G5" s="3">
        <v>512</v>
      </c>
      <c r="H5" s="16">
        <f>H9-964</f>
        <v>15100</v>
      </c>
      <c r="I5" s="20">
        <v>24500</v>
      </c>
      <c r="J5" s="16">
        <f t="shared" si="0"/>
        <v>9400</v>
      </c>
      <c r="K5" s="26">
        <f>J5/I5</f>
        <v>0.3836734693877551</v>
      </c>
    </row>
    <row r="6" spans="1:11" ht="15" thickBot="1" x14ac:dyDescent="0.35">
      <c r="A6" s="31"/>
      <c r="B6" s="2"/>
      <c r="C6" s="4" t="s">
        <v>15</v>
      </c>
      <c r="D6" s="6">
        <v>2.46</v>
      </c>
      <c r="E6" s="4">
        <v>4.92</v>
      </c>
      <c r="F6" s="6">
        <v>192</v>
      </c>
      <c r="G6" s="4">
        <v>384</v>
      </c>
      <c r="H6" s="17">
        <f>H3</f>
        <v>16560</v>
      </c>
      <c r="I6" s="21">
        <v>30000</v>
      </c>
      <c r="J6" s="29">
        <f t="shared" si="0"/>
        <v>13440</v>
      </c>
      <c r="K6" s="27">
        <f>J6/I6</f>
        <v>0.44800000000000001</v>
      </c>
    </row>
    <row r="7" spans="1:11" x14ac:dyDescent="0.3">
      <c r="A7" s="31"/>
      <c r="B7" s="9">
        <v>2.9</v>
      </c>
      <c r="C7" s="10" t="s">
        <v>7</v>
      </c>
      <c r="D7" s="11">
        <v>2.46</v>
      </c>
      <c r="E7" s="10">
        <v>9.83</v>
      </c>
      <c r="F7" s="11">
        <v>252</v>
      </c>
      <c r="G7" s="10">
        <v>1008</v>
      </c>
      <c r="H7" s="18">
        <v>18145</v>
      </c>
      <c r="I7" s="22">
        <v>35000</v>
      </c>
      <c r="J7" s="15">
        <f t="shared" si="0"/>
        <v>16855</v>
      </c>
      <c r="K7" s="28">
        <f>J7/I7</f>
        <v>0.48157142857142859</v>
      </c>
    </row>
    <row r="8" spans="1:11" x14ac:dyDescent="0.3">
      <c r="A8" s="31"/>
      <c r="B8" s="1"/>
      <c r="C8" s="3" t="s">
        <v>8</v>
      </c>
      <c r="D8" s="5">
        <v>2.46</v>
      </c>
      <c r="E8" s="3">
        <v>8.17</v>
      </c>
      <c r="F8" s="5">
        <v>252</v>
      </c>
      <c r="G8" s="3">
        <v>840</v>
      </c>
      <c r="H8" s="16">
        <f>17125</f>
        <v>17125</v>
      </c>
      <c r="I8" s="20">
        <v>31250</v>
      </c>
      <c r="J8" s="16">
        <f t="shared" si="0"/>
        <v>14125</v>
      </c>
      <c r="K8" s="26">
        <f>J8/I8</f>
        <v>0.45200000000000001</v>
      </c>
    </row>
    <row r="9" spans="1:11" x14ac:dyDescent="0.3">
      <c r="A9" s="31"/>
      <c r="B9" s="1"/>
      <c r="C9" s="3" t="s">
        <v>14</v>
      </c>
      <c r="D9" s="5">
        <v>2.46</v>
      </c>
      <c r="E9" s="3">
        <v>6.56</v>
      </c>
      <c r="F9" s="5">
        <v>252</v>
      </c>
      <c r="G9" s="3">
        <v>672</v>
      </c>
      <c r="H9" s="16">
        <f>16064</f>
        <v>16064</v>
      </c>
      <c r="I9" s="20">
        <v>28000</v>
      </c>
      <c r="J9" s="16">
        <f t="shared" si="0"/>
        <v>11936</v>
      </c>
      <c r="K9" s="26">
        <f>J9/I9</f>
        <v>0.42628571428571427</v>
      </c>
    </row>
    <row r="10" spans="1:11" ht="15" thickBot="1" x14ac:dyDescent="0.35">
      <c r="A10" s="32"/>
      <c r="B10" s="35"/>
      <c r="C10" s="36" t="s">
        <v>15</v>
      </c>
      <c r="D10" s="37">
        <v>2.46</v>
      </c>
      <c r="E10" s="36">
        <v>4.92</v>
      </c>
      <c r="F10" s="37">
        <v>252</v>
      </c>
      <c r="G10" s="36">
        <v>504</v>
      </c>
      <c r="H10" s="29">
        <f>H7</f>
        <v>18145</v>
      </c>
      <c r="I10" s="38">
        <v>35000</v>
      </c>
      <c r="J10" s="29">
        <f t="shared" si="0"/>
        <v>16855</v>
      </c>
      <c r="K10" s="39">
        <f>J10/I10</f>
        <v>0.48157142857142859</v>
      </c>
    </row>
    <row r="11" spans="1:11" x14ac:dyDescent="0.3">
      <c r="A11" s="33" t="s">
        <v>12</v>
      </c>
      <c r="B11" s="30">
        <v>3.9</v>
      </c>
      <c r="C11" s="13" t="s">
        <v>16</v>
      </c>
      <c r="D11" s="14">
        <v>0.98429999999999995</v>
      </c>
      <c r="E11" s="13">
        <v>2.528</v>
      </c>
      <c r="F11" s="14">
        <v>64</v>
      </c>
      <c r="G11" s="13">
        <v>192</v>
      </c>
      <c r="H11" s="41">
        <f>2949.22*2</f>
        <v>5898.44</v>
      </c>
      <c r="I11" s="42">
        <v>30000</v>
      </c>
      <c r="J11" s="41">
        <f t="shared" si="0"/>
        <v>24101.56</v>
      </c>
      <c r="K11" s="23">
        <f>J11/I11</f>
        <v>0.8033853333333334</v>
      </c>
    </row>
    <row r="12" spans="1:11" ht="15" thickBot="1" x14ac:dyDescent="0.35">
      <c r="A12" s="34"/>
      <c r="B12" s="32"/>
      <c r="C12" s="36" t="s">
        <v>17</v>
      </c>
      <c r="D12" s="37">
        <f>D11*2</f>
        <v>1.9685999999999999</v>
      </c>
      <c r="E12" s="36">
        <v>2.528</v>
      </c>
      <c r="F12" s="37">
        <v>84</v>
      </c>
      <c r="G12" s="36">
        <v>252</v>
      </c>
      <c r="H12" s="43">
        <f>7375.83*2</f>
        <v>14751.66</v>
      </c>
      <c r="I12" s="44">
        <v>33000</v>
      </c>
      <c r="J12" s="43">
        <f t="shared" si="0"/>
        <v>18248.34</v>
      </c>
      <c r="K12" s="39">
        <f>J12/I12</f>
        <v>0.55298000000000003</v>
      </c>
    </row>
    <row r="13" spans="1:11" x14ac:dyDescent="0.3">
      <c r="A13" s="34"/>
      <c r="B13" s="30">
        <v>2.9</v>
      </c>
      <c r="C13" s="13" t="s">
        <v>16</v>
      </c>
      <c r="D13" s="14">
        <v>0.98429999999999995</v>
      </c>
      <c r="E13" s="13">
        <v>3.37</v>
      </c>
      <c r="F13" s="14">
        <v>128</v>
      </c>
      <c r="G13" s="13">
        <v>256</v>
      </c>
      <c r="H13" s="41">
        <f>3502.83*2</f>
        <v>7005.66</v>
      </c>
      <c r="I13" s="42">
        <v>45000</v>
      </c>
      <c r="J13" s="41">
        <f t="shared" si="0"/>
        <v>37994.339999999997</v>
      </c>
      <c r="K13" s="23">
        <f>J13/I13</f>
        <v>0.84431866666666655</v>
      </c>
    </row>
    <row r="14" spans="1:11" ht="15" thickBot="1" x14ac:dyDescent="0.35">
      <c r="A14" s="40"/>
      <c r="B14" s="32"/>
      <c r="C14" s="4" t="s">
        <v>17</v>
      </c>
      <c r="D14" s="6">
        <f>D13*2</f>
        <v>1.9685999999999999</v>
      </c>
      <c r="E14" s="4">
        <v>3.37</v>
      </c>
      <c r="F14" s="6">
        <v>168</v>
      </c>
      <c r="G14" s="4">
        <v>336</v>
      </c>
      <c r="H14" s="45">
        <f>8802.33*2</f>
        <v>17604.66</v>
      </c>
      <c r="I14" s="46">
        <v>50000</v>
      </c>
      <c r="J14" s="45">
        <f t="shared" si="0"/>
        <v>32395.34</v>
      </c>
      <c r="K14" s="27">
        <f>J14/I14</f>
        <v>0.6479068</v>
      </c>
    </row>
  </sheetData>
  <mergeCells count="8">
    <mergeCell ref="A11:A14"/>
    <mergeCell ref="B11:B12"/>
    <mergeCell ref="B13:B14"/>
    <mergeCell ref="D1:E1"/>
    <mergeCell ref="F1:G1"/>
    <mergeCell ref="B3:B6"/>
    <mergeCell ref="B7:B10"/>
    <mergeCell ref="A2:A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Korey Ryan</dc:creator>
  <cp:lastModifiedBy>Korey Ryan</cp:lastModifiedBy>
  <dcterms:created xsi:type="dcterms:W3CDTF">2026-02-27T16:14:37Z</dcterms:created>
  <dcterms:modified xsi:type="dcterms:W3CDTF">2026-02-27T19:33:05Z</dcterms:modified>
</cp:coreProperties>
</file>