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4D6B44D7-67DE-4416-B87E-CAB3B4A0DB8B}" xr6:coauthVersionLast="47" xr6:coauthVersionMax="47" xr10:uidLastSave="{00000000-0000-0000-0000-000000000000}"/>
  <bookViews>
    <workbookView xWindow="28680" yWindow="-120" windowWidth="29040" windowHeight="15720" xr2:uid="{6D239351-3B36-48A2-9F3A-CD24FCAC3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F4" i="1"/>
  <c r="E4" i="1"/>
  <c r="G6" i="1" l="1"/>
  <c r="I6" i="1" s="1"/>
  <c r="J6" i="1" s="1"/>
  <c r="L6" i="1" s="1"/>
  <c r="M6" i="1" s="1"/>
  <c r="G4" i="1"/>
  <c r="I4" i="1" s="1"/>
  <c r="J4" i="1" s="1"/>
  <c r="L4" i="1" s="1"/>
  <c r="M4" i="1" s="1"/>
  <c r="F2" i="1" l="1"/>
  <c r="E2" i="1"/>
  <c r="G2" i="1" l="1"/>
  <c r="I2" i="1" s="1"/>
  <c r="J2" i="1" s="1"/>
  <c r="L2" i="1" s="1"/>
  <c r="M2" i="1" s="1"/>
</calcChain>
</file>

<file path=xl/sharedStrings.xml><?xml version="1.0" encoding="utf-8"?>
<sst xmlns="http://schemas.openxmlformats.org/spreadsheetml/2006/main" count="23" uniqueCount="23">
  <si>
    <t>Display Name</t>
  </si>
  <si>
    <t>Product</t>
  </si>
  <si>
    <t>Width (ft)</t>
  </si>
  <si>
    <t>Height (ft)</t>
  </si>
  <si>
    <t>Width (M)</t>
  </si>
  <si>
    <t>Height (M)</t>
  </si>
  <si>
    <t>Total VA for Display</t>
  </si>
  <si>
    <t>LED Display Area (Sq. Meters)</t>
  </si>
  <si>
    <t>Qty of Displays</t>
  </si>
  <si>
    <t>Total Power Needed</t>
  </si>
  <si>
    <t>Total Power Plus Safety</t>
  </si>
  <si>
    <t>Amp Load @ 208V per Display</t>
  </si>
  <si>
    <t>VA per Sq meeter</t>
  </si>
  <si>
    <t>Option 1</t>
  </si>
  <si>
    <t>Option 2</t>
  </si>
  <si>
    <t>Option 3</t>
  </si>
  <si>
    <t>FVII 6-TA+</t>
  </si>
  <si>
    <t>GSCF026-GP</t>
  </si>
  <si>
    <t>C2.5</t>
  </si>
  <si>
    <t>Display Weight</t>
  </si>
  <si>
    <t>164lbs</t>
  </si>
  <si>
    <t>121lbs</t>
  </si>
  <si>
    <t>151lbs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</si>
</sst>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5" xfId="0" applyFont="1" applyBorder="1"/>
    <xf numFmtId="0" fontId="0" fillId="0" borderId="4" xfId="0" applyBorder="1" applyAlignment="1">
      <alignment horizontal="left" vertical="center"/>
    </xf>
    <xf numFmtId="1" fontId="0" fillId="0" borderId="4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B275-2D4A-4EE5-A1C1-4F473F7C2787}">
  <sheetPr>
    <pageSetUpPr fitToPage="1"/>
  </sheetPr>
  <dimension ref="A1:N7"/>
  <sheetViews>
    <sheetView tabSelected="1" workbookViewId="0">
      <selection activeCell="H15" sqref="H15"/>
    </sheetView>
  </sheetViews>
  <sheetFormatPr defaultRowHeight="14.5" x14ac:dyDescent="0.35"/>
  <cols>
    <col min="1" max="1" width="31" bestFit="1" customWidth="1"/>
    <col min="2" max="2" width="20.7265625" style="1" customWidth="1"/>
    <col min="3" max="3" width="9.7265625" style="1" bestFit="1" customWidth="1"/>
    <col min="4" max="4" width="10.1796875" style="1" bestFit="1" customWidth="1"/>
    <col min="5" max="5" width="10.54296875" style="1" bestFit="1" customWidth="1"/>
    <col min="6" max="6" width="10.453125" style="1" bestFit="1" customWidth="1"/>
    <col min="7" max="7" width="27.453125" style="1" bestFit="1" customWidth="1"/>
    <col min="8" max="9" width="18.54296875" style="1" bestFit="1" customWidth="1"/>
    <col min="10" max="10" width="16.81640625" style="1" bestFit="1" customWidth="1"/>
    <col min="11" max="11" width="14.26953125" style="1" bestFit="1" customWidth="1"/>
    <col min="12" max="12" width="19.453125" style="1" bestFit="1" customWidth="1"/>
    <col min="13" max="14" width="22" style="1" customWidth="1"/>
  </cols>
  <sheetData>
    <row r="1" spans="1:14" ht="29.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12</v>
      </c>
      <c r="I1" s="5" t="s">
        <v>6</v>
      </c>
      <c r="J1" s="10" t="s">
        <v>11</v>
      </c>
      <c r="K1" s="5" t="s">
        <v>8</v>
      </c>
      <c r="L1" s="5" t="s">
        <v>9</v>
      </c>
      <c r="M1" s="6" t="s">
        <v>10</v>
      </c>
      <c r="N1" s="6" t="s">
        <v>19</v>
      </c>
    </row>
    <row r="2" spans="1:14" x14ac:dyDescent="0.35">
      <c r="A2" s="7" t="s">
        <v>13</v>
      </c>
      <c r="B2" s="8" t="s">
        <v>16</v>
      </c>
      <c r="C2" s="2">
        <v>9.4499999999999993</v>
      </c>
      <c r="D2" s="2">
        <v>2.36</v>
      </c>
      <c r="E2" s="3">
        <f t="shared" ref="E2" si="0">SUM(C2/3.281)</f>
        <v>2.8802194452910697</v>
      </c>
      <c r="F2" s="3">
        <f t="shared" ref="F2" si="1">SUM(D2/3.281)</f>
        <v>0.71929289850655276</v>
      </c>
      <c r="G2" s="3">
        <f t="shared" ref="G2" si="2">SUM(E2*F2)</f>
        <v>2.0717213931383491</v>
      </c>
      <c r="H2" s="2">
        <v>610</v>
      </c>
      <c r="I2" s="9">
        <f t="shared" ref="I2" si="3">SUM(G2*H2)</f>
        <v>1263.7500498143929</v>
      </c>
      <c r="J2" s="3">
        <f t="shared" ref="J2" si="4">SUM(I2/360.256)</f>
        <v>3.5079222825279608</v>
      </c>
      <c r="K2" s="2">
        <v>1</v>
      </c>
      <c r="L2" s="3">
        <f>SUM(J2*K2)</f>
        <v>3.5079222825279608</v>
      </c>
      <c r="M2" s="13">
        <f>SUM(L2*1.2)</f>
        <v>4.2095067390335528</v>
      </c>
      <c r="N2" s="13" t="s">
        <v>20</v>
      </c>
    </row>
    <row r="3" spans="1:14" ht="5.15" customHeight="1" x14ac:dyDescent="0.3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4"/>
      <c r="N3" s="14"/>
    </row>
    <row r="4" spans="1:14" x14ac:dyDescent="0.35">
      <c r="A4" s="15" t="s">
        <v>14</v>
      </c>
      <c r="B4" s="8" t="s">
        <v>17</v>
      </c>
      <c r="C4" s="1">
        <v>10.99</v>
      </c>
      <c r="D4" s="1">
        <v>1.77</v>
      </c>
      <c r="E4" s="3">
        <f t="shared" ref="E4" si="5">SUM(C4/3.281)</f>
        <v>3.3495885400792442</v>
      </c>
      <c r="F4" s="3">
        <f t="shared" ref="F4" si="6">SUM(D4/3.281)</f>
        <v>0.53946967387991462</v>
      </c>
      <c r="G4" s="3">
        <f t="shared" ref="G4" si="7">SUM(E4*F4)</f>
        <v>1.8070014373484493</v>
      </c>
      <c r="H4" s="2">
        <v>720</v>
      </c>
      <c r="I4" s="9">
        <f t="shared" ref="I4" si="8">SUM(G4*H4)</f>
        <v>1301.0410348908836</v>
      </c>
      <c r="J4" s="3">
        <f t="shared" ref="J4" si="9">SUM(I4/360.256)</f>
        <v>3.6114347433238687</v>
      </c>
      <c r="K4" s="2">
        <v>1</v>
      </c>
      <c r="L4" s="3">
        <f>SUM(J4*K4)</f>
        <v>3.6114347433238687</v>
      </c>
      <c r="M4" s="13">
        <f>SUM(L4*1.2)</f>
        <v>4.3337216919886421</v>
      </c>
      <c r="N4" s="13" t="s">
        <v>22</v>
      </c>
    </row>
    <row r="5" spans="1:14" ht="5.15" customHeight="1" x14ac:dyDescent="0.35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4"/>
      <c r="N5" s="14"/>
    </row>
    <row r="6" spans="1:14" x14ac:dyDescent="0.35">
      <c r="A6" s="15" t="s">
        <v>15</v>
      </c>
      <c r="B6" s="8" t="s">
        <v>18</v>
      </c>
      <c r="C6" s="1">
        <v>11.02</v>
      </c>
      <c r="D6" s="1">
        <v>2.36</v>
      </c>
      <c r="E6" s="3">
        <f t="shared" ref="E6" si="10">SUM(C6/3.281)</f>
        <v>3.3587320938738188</v>
      </c>
      <c r="F6" s="3">
        <f t="shared" ref="F6" si="11">SUM(D6/3.281)</f>
        <v>0.71929289850655276</v>
      </c>
      <c r="G6" s="3">
        <f t="shared" ref="G6" si="12">SUM(E6*F6)</f>
        <v>2.4159121431094821</v>
      </c>
      <c r="H6" s="2">
        <v>490</v>
      </c>
      <c r="I6" s="9">
        <f t="shared" ref="I6" si="13">SUM(G6*H6)</f>
        <v>1183.7969501236462</v>
      </c>
      <c r="J6" s="3">
        <f t="shared" ref="J6" si="14">SUM(I6/360.256)</f>
        <v>3.2859881587638964</v>
      </c>
      <c r="K6" s="2">
        <v>1</v>
      </c>
      <c r="L6" s="3">
        <f>SUM(J6*K6)</f>
        <v>3.2859881587638964</v>
      </c>
      <c r="M6" s="13">
        <f>SUM(L6*1.2)</f>
        <v>3.9431857905166754</v>
      </c>
      <c r="N6" s="13" t="s">
        <v>21</v>
      </c>
    </row>
    <row r="7" spans="1:14" ht="5.15" customHeight="1" x14ac:dyDescent="0.3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4"/>
      <c r="N7" s="14"/>
    </row>
  </sheetData>
  <pageMargins left="0.7" right="0.7" top="0.75" bottom="0.75" header="0.3" footer="0.3"/>
  <pageSetup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ECD6ABB0E2E0409B9419BD156B555C" ma:contentTypeVersion="8" ma:contentTypeDescription="Create a new document." ma:contentTypeScope="" ma:versionID="30eaf98ac21191a2b10018937e0cc857">
  <xsd:schema xmlns:xsd="http://www.w3.org/2001/XMLSchema" xmlns:xs="http://www.w3.org/2001/XMLSchema" xmlns:p="http://schemas.microsoft.com/office/2006/metadata/properties" xmlns:ns3="97397005-8d32-4b7f-92bf-a64e8c86f2fe" targetNamespace="http://schemas.microsoft.com/office/2006/metadata/properties" ma:root="true" ma:fieldsID="824abf9bdbea7975cd59031a85cf2716" ns3:_="">
    <xsd:import namespace="97397005-8d32-4b7f-92bf-a64e8c86f2fe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97005-8d32-4b7f-92bf-a64e8c86f2f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97397005-8d32-4b7f-92bf-a64e8c86f2fe" xsi:nil="true"/>
    <MigrationWizId xmlns="97397005-8d32-4b7f-92bf-a64e8c86f2fe" xsi:nil="true"/>
    <_activity xmlns="97397005-8d32-4b7f-92bf-a64e8c86f2fe" xsi:nil="true"/>
    <MigrationWizIdVersion xmlns="97397005-8d32-4b7f-92bf-a64e8c86f2fe" xsi:nil="true"/>
  </documentManagement>
</p:properties>
</file>

<file path=customXml/itemProps1.xml><?xml version="1.0" encoding="utf-8"?>
<ds:datastoreItem xmlns:ds="http://schemas.openxmlformats.org/officeDocument/2006/customXml" ds:itemID="{123CB77C-DBE0-40A7-A6C0-FE0F555E3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97005-8d32-4b7f-92bf-a64e8c86f2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3ADB2D-F024-4A4B-AE35-CDA8CC4EC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330189-6C3E-42DD-B706-BC4C89288F1E}">
  <ds:schemaRefs>
    <ds:schemaRef ds:uri="http://www.w3.org/XML/1998/namespace"/>
    <ds:schemaRef ds:uri="97397005-8d32-4b7f-92bf-a64e8c86f2fe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Ervin, David</dc:creator>
  <cp:lastModifiedBy>Matthew Hobbs</cp:lastModifiedBy>
  <cp:lastPrinted>2019-03-20T19:35:54Z</cp:lastPrinted>
  <dcterms:created xsi:type="dcterms:W3CDTF">2019-03-20T18:53:20Z</dcterms:created>
  <dcterms:modified xsi:type="dcterms:W3CDTF">2026-03-18T16:24:46Z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0x010100A3ECD6ABB0E2E0409B9419BD156B555C</vt:lpwstr>
  </property>
</Properties>
</file>