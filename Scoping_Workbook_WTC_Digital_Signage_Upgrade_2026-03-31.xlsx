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DC9901BF-16FA-4C9F-B8B8-10FF88ABBB5D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Project Overview" sheetId="1" r:id="rId1"/>
    <sheet name="Margin Analysis" sheetId="25" r:id="rId2"/>
    <sheet name="Budget Summary" sheetId="26" r:id="rId3"/>
    <sheet name="LED Cost Sheet" sheetId="2" r:id="rId4"/>
    <sheet name="Tech Specs (Installers)" sheetId="3" r:id="rId5"/>
    <sheet name="Underpass 1 - Install" sheetId="4" r:id="rId6"/>
    <sheet name="Underpass 2 - Install" sheetId="5" r:id="rId7"/>
    <sheet name="Underpass 3 - Install" sheetId="6" r:id="rId8"/>
    <sheet name="Underpass 4 - Install" sheetId="7" r:id="rId9"/>
    <sheet name="Concourse - Install" sheetId="8" r:id="rId10"/>
    <sheet name="T4-B1 (6-9) - Install" sheetId="9" r:id="rId11"/>
    <sheet name="T4-B2 (10-18) - Install" sheetId="10" r:id="rId12"/>
    <sheet name="T4 Lobby Elevator - Install" sheetId="11" r:id="rId13"/>
    <sheet name="T2-B1M Screen 20 - Install" sheetId="12" r:id="rId14"/>
    <sheet name="T2-B1M Screen 21 - Install" sheetId="13" r:id="rId15"/>
    <sheet name="T2-B1M Screen 22 - Install" sheetId="14" r:id="rId16"/>
    <sheet name="Processor Count" sheetId="15" r:id="rId17"/>
    <sheet name="Bundle Equipment" sheetId="16" r:id="rId18"/>
    <sheet name="ANC Travel" sheetId="17" r:id="rId19"/>
    <sheet name="CMS" sheetId="18" r:id="rId20"/>
    <sheet name="Scoring" sheetId="19" r:id="rId21"/>
    <sheet name="Venue Services" sheetId="20" r:id="rId22"/>
    <sheet name="Additional Items" sheetId="21" r:id="rId23"/>
    <sheet name="Resp Matrix" sheetId="22" r:id="rId24"/>
    <sheet name="P&amp;L" sheetId="23" r:id="rId25"/>
    <sheet name="Cash Flow" sheetId="24" r:id="rId26"/>
    <sheet name="PO's" sheetId="27" r:id="rId27"/>
    <sheet name="Alternates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" i="2" l="1"/>
  <c r="F8" i="21"/>
  <c r="H8" i="21" s="1"/>
  <c r="I8" i="21" s="1"/>
  <c r="F7" i="21"/>
  <c r="H7" i="21" s="1"/>
  <c r="I7" i="21" s="1"/>
  <c r="H6" i="21"/>
  <c r="F6" i="21"/>
  <c r="F5" i="21"/>
  <c r="A15" i="20"/>
  <c r="A14" i="20"/>
  <c r="B14" i="20" s="1"/>
  <c r="A13" i="20"/>
  <c r="A12" i="20"/>
  <c r="C11" i="20"/>
  <c r="B11" i="20"/>
  <c r="A11" i="20"/>
  <c r="D11" i="20" s="1"/>
  <c r="F21" i="19"/>
  <c r="H21" i="19" s="1"/>
  <c r="I21" i="19" s="1"/>
  <c r="F20" i="19"/>
  <c r="H20" i="19" s="1"/>
  <c r="I20" i="19" s="1"/>
  <c r="I19" i="19"/>
  <c r="F19" i="19"/>
  <c r="H19" i="19" s="1"/>
  <c r="F18" i="19"/>
  <c r="H18" i="19" s="1"/>
  <c r="I18" i="19" s="1"/>
  <c r="F17" i="19"/>
  <c r="H17" i="19" s="1"/>
  <c r="I17" i="19" s="1"/>
  <c r="F16" i="19"/>
  <c r="H16" i="19" s="1"/>
  <c r="I16" i="19" s="1"/>
  <c r="F15" i="19"/>
  <c r="H15" i="19" s="1"/>
  <c r="I15" i="19" s="1"/>
  <c r="F14" i="19"/>
  <c r="H14" i="19" s="1"/>
  <c r="I14" i="19" s="1"/>
  <c r="F13" i="19"/>
  <c r="H13" i="19" s="1"/>
  <c r="I13" i="19" s="1"/>
  <c r="I12" i="19"/>
  <c r="F12" i="19"/>
  <c r="H12" i="19" s="1"/>
  <c r="F11" i="19"/>
  <c r="H11" i="19" s="1"/>
  <c r="I11" i="19" s="1"/>
  <c r="F10" i="19"/>
  <c r="H10" i="19" s="1"/>
  <c r="I10" i="19" s="1"/>
  <c r="F9" i="19"/>
  <c r="H9" i="19" s="1"/>
  <c r="I9" i="19" s="1"/>
  <c r="F8" i="19"/>
  <c r="F7" i="19"/>
  <c r="H7" i="19" s="1"/>
  <c r="F20" i="18"/>
  <c r="H20" i="18" s="1"/>
  <c r="I20" i="18" s="1"/>
  <c r="F19" i="18"/>
  <c r="H19" i="18" s="1"/>
  <c r="I19" i="18" s="1"/>
  <c r="F18" i="18"/>
  <c r="H18" i="18" s="1"/>
  <c r="I18" i="18" s="1"/>
  <c r="F17" i="18"/>
  <c r="H17" i="18" s="1"/>
  <c r="I17" i="18" s="1"/>
  <c r="F16" i="18"/>
  <c r="H16" i="18" s="1"/>
  <c r="I16" i="18" s="1"/>
  <c r="F15" i="18"/>
  <c r="H15" i="18" s="1"/>
  <c r="I15" i="18" s="1"/>
  <c r="F14" i="18"/>
  <c r="H14" i="18" s="1"/>
  <c r="I14" i="18" s="1"/>
  <c r="F13" i="18"/>
  <c r="H13" i="18" s="1"/>
  <c r="I13" i="18" s="1"/>
  <c r="F12" i="18"/>
  <c r="H12" i="18" s="1"/>
  <c r="I12" i="18" s="1"/>
  <c r="F11" i="18"/>
  <c r="H11" i="18" s="1"/>
  <c r="I11" i="18" s="1"/>
  <c r="F10" i="18"/>
  <c r="H10" i="18" s="1"/>
  <c r="I10" i="18" s="1"/>
  <c r="F9" i="18"/>
  <c r="H9" i="18" s="1"/>
  <c r="I9" i="18" s="1"/>
  <c r="F8" i="18"/>
  <c r="H8" i="18" s="1"/>
  <c r="I8" i="18" s="1"/>
  <c r="I7" i="18"/>
  <c r="F7" i="18"/>
  <c r="H7" i="18" s="1"/>
  <c r="E64" i="16"/>
  <c r="H63" i="16"/>
  <c r="E63" i="16"/>
  <c r="G63" i="16" s="1"/>
  <c r="H62" i="16"/>
  <c r="E62" i="16"/>
  <c r="G62" i="16" s="1"/>
  <c r="G64" i="16" s="1"/>
  <c r="H64" i="16" s="1"/>
  <c r="E58" i="16"/>
  <c r="G58" i="16" s="1"/>
  <c r="H58" i="16" s="1"/>
  <c r="E57" i="16"/>
  <c r="E53" i="16"/>
  <c r="G53" i="16" s="1"/>
  <c r="H53" i="16" s="1"/>
  <c r="E52" i="16"/>
  <c r="E54" i="16" s="1"/>
  <c r="E48" i="16"/>
  <c r="G48" i="16" s="1"/>
  <c r="H48" i="16" s="1"/>
  <c r="E47" i="16"/>
  <c r="G47" i="16" s="1"/>
  <c r="H47" i="16" s="1"/>
  <c r="E46" i="16"/>
  <c r="E49" i="16" s="1"/>
  <c r="R11" i="2" s="1"/>
  <c r="E43" i="16"/>
  <c r="E42" i="16"/>
  <c r="G42" i="16" s="1"/>
  <c r="H42" i="16" s="1"/>
  <c r="E41" i="16"/>
  <c r="G41" i="16" s="1"/>
  <c r="H41" i="16" s="1"/>
  <c r="G40" i="16"/>
  <c r="E40" i="16"/>
  <c r="E37" i="16"/>
  <c r="E36" i="16"/>
  <c r="G36" i="16" s="1"/>
  <c r="H36" i="16" s="1"/>
  <c r="E35" i="16"/>
  <c r="G35" i="16" s="1"/>
  <c r="G32" i="16"/>
  <c r="E32" i="16"/>
  <c r="R8" i="2" s="1"/>
  <c r="E31" i="16"/>
  <c r="G31" i="16" s="1"/>
  <c r="H31" i="16" s="1"/>
  <c r="E30" i="16"/>
  <c r="G30" i="16" s="1"/>
  <c r="H30" i="16" s="1"/>
  <c r="E29" i="16"/>
  <c r="G29" i="16" s="1"/>
  <c r="H29" i="16" s="1"/>
  <c r="E25" i="16"/>
  <c r="G25" i="16" s="1"/>
  <c r="H25" i="16" s="1"/>
  <c r="E24" i="16"/>
  <c r="G24" i="16" s="1"/>
  <c r="H24" i="16" s="1"/>
  <c r="E23" i="16"/>
  <c r="G23" i="16" s="1"/>
  <c r="H23" i="16" s="1"/>
  <c r="E19" i="16"/>
  <c r="E18" i="16"/>
  <c r="G18" i="16" s="1"/>
  <c r="E14" i="16"/>
  <c r="G14" i="16" s="1"/>
  <c r="H14" i="16" s="1"/>
  <c r="E13" i="16"/>
  <c r="E9" i="16"/>
  <c r="G9" i="16" s="1"/>
  <c r="H9" i="16" s="1"/>
  <c r="E8" i="16"/>
  <c r="E10" i="16" s="1"/>
  <c r="E22" i="15"/>
  <c r="D22" i="15"/>
  <c r="C22" i="15"/>
  <c r="F22" i="15" s="1"/>
  <c r="G22" i="15" s="1"/>
  <c r="B22" i="15"/>
  <c r="F21" i="15"/>
  <c r="G21" i="15" s="1"/>
  <c r="I21" i="15" s="1"/>
  <c r="E21" i="15"/>
  <c r="D21" i="15"/>
  <c r="C21" i="15"/>
  <c r="B21" i="15"/>
  <c r="E20" i="15"/>
  <c r="D20" i="15"/>
  <c r="F20" i="15" s="1"/>
  <c r="G20" i="15" s="1"/>
  <c r="C20" i="15"/>
  <c r="B20" i="15"/>
  <c r="I19" i="15"/>
  <c r="H19" i="15"/>
  <c r="E19" i="15"/>
  <c r="D19" i="15"/>
  <c r="C19" i="15"/>
  <c r="F19" i="15" s="1"/>
  <c r="G19" i="15" s="1"/>
  <c r="B19" i="15"/>
  <c r="E18" i="15"/>
  <c r="D18" i="15"/>
  <c r="C18" i="15"/>
  <c r="B18" i="15"/>
  <c r="E17" i="15"/>
  <c r="D17" i="15"/>
  <c r="F17" i="15" s="1"/>
  <c r="G17" i="15" s="1"/>
  <c r="H17" i="15" s="1"/>
  <c r="C17" i="15"/>
  <c r="B17" i="15"/>
  <c r="E16" i="15"/>
  <c r="D16" i="15"/>
  <c r="C16" i="15"/>
  <c r="F16" i="15" s="1"/>
  <c r="G16" i="15" s="1"/>
  <c r="B16" i="15"/>
  <c r="E15" i="15"/>
  <c r="D15" i="15"/>
  <c r="F15" i="15" s="1"/>
  <c r="G15" i="15" s="1"/>
  <c r="H15" i="15" s="1"/>
  <c r="C15" i="15"/>
  <c r="B15" i="15"/>
  <c r="E14" i="15"/>
  <c r="D14" i="15"/>
  <c r="F14" i="15" s="1"/>
  <c r="G14" i="15" s="1"/>
  <c r="C14" i="15"/>
  <c r="B14" i="15"/>
  <c r="E13" i="15"/>
  <c r="D13" i="15"/>
  <c r="C13" i="15"/>
  <c r="B13" i="15"/>
  <c r="E12" i="15"/>
  <c r="D12" i="15"/>
  <c r="F12" i="15" s="1"/>
  <c r="C12" i="15"/>
  <c r="B12" i="15"/>
  <c r="K51" i="14"/>
  <c r="J51" i="14"/>
  <c r="I51" i="14"/>
  <c r="J50" i="14"/>
  <c r="K50" i="14" s="1"/>
  <c r="I50" i="14"/>
  <c r="J49" i="14"/>
  <c r="I49" i="14"/>
  <c r="J48" i="14"/>
  <c r="I48" i="14"/>
  <c r="K48" i="14" s="1"/>
  <c r="J47" i="14"/>
  <c r="K47" i="14" s="1"/>
  <c r="I47" i="14"/>
  <c r="I44" i="14"/>
  <c r="C139" i="25" s="1"/>
  <c r="D139" i="25" s="1"/>
  <c r="E139" i="25" s="1"/>
  <c r="K43" i="14"/>
  <c r="J43" i="14"/>
  <c r="I43" i="14"/>
  <c r="K42" i="14"/>
  <c r="J42" i="14"/>
  <c r="I42" i="14"/>
  <c r="J41" i="14"/>
  <c r="I41" i="14"/>
  <c r="K41" i="14" s="1"/>
  <c r="J40" i="14"/>
  <c r="I40" i="14"/>
  <c r="K39" i="14"/>
  <c r="J39" i="14"/>
  <c r="I39" i="14"/>
  <c r="K38" i="14"/>
  <c r="J38" i="14"/>
  <c r="I38" i="14"/>
  <c r="J34" i="14"/>
  <c r="I34" i="14"/>
  <c r="J33" i="14"/>
  <c r="K33" i="14" s="1"/>
  <c r="I33" i="14"/>
  <c r="J32" i="14"/>
  <c r="I32" i="14"/>
  <c r="K32" i="14" s="1"/>
  <c r="J31" i="14"/>
  <c r="I31" i="14"/>
  <c r="K31" i="14" s="1"/>
  <c r="K30" i="14"/>
  <c r="J30" i="14"/>
  <c r="I30" i="14"/>
  <c r="I35" i="14" s="1"/>
  <c r="C138" i="25" s="1"/>
  <c r="D138" i="25" s="1"/>
  <c r="E138" i="25" s="1"/>
  <c r="J29" i="14"/>
  <c r="K29" i="14" s="1"/>
  <c r="I29" i="14"/>
  <c r="J25" i="14"/>
  <c r="I25" i="14"/>
  <c r="K25" i="14" s="1"/>
  <c r="J24" i="14"/>
  <c r="K24" i="14" s="1"/>
  <c r="I24" i="14"/>
  <c r="K23" i="14"/>
  <c r="J23" i="14"/>
  <c r="I23" i="14"/>
  <c r="J22" i="14"/>
  <c r="I22" i="14"/>
  <c r="K22" i="14" s="1"/>
  <c r="J21" i="14"/>
  <c r="I21" i="14"/>
  <c r="K21" i="14" s="1"/>
  <c r="J20" i="14"/>
  <c r="K20" i="14" s="1"/>
  <c r="I20" i="14"/>
  <c r="J51" i="13"/>
  <c r="I51" i="13"/>
  <c r="K51" i="13" s="1"/>
  <c r="J50" i="13"/>
  <c r="I50" i="13"/>
  <c r="K50" i="13" s="1"/>
  <c r="J49" i="13"/>
  <c r="I49" i="13"/>
  <c r="K49" i="13" s="1"/>
  <c r="J48" i="13"/>
  <c r="K48" i="13" s="1"/>
  <c r="I48" i="13"/>
  <c r="J47" i="13"/>
  <c r="I47" i="13"/>
  <c r="J43" i="13"/>
  <c r="K43" i="13" s="1"/>
  <c r="I43" i="13"/>
  <c r="J42" i="13"/>
  <c r="I42" i="13"/>
  <c r="K42" i="13" s="1"/>
  <c r="J41" i="13"/>
  <c r="I41" i="13"/>
  <c r="K41" i="13" s="1"/>
  <c r="J40" i="13"/>
  <c r="I40" i="13"/>
  <c r="K39" i="13"/>
  <c r="J39" i="13"/>
  <c r="I39" i="13"/>
  <c r="J38" i="13"/>
  <c r="K38" i="13" s="1"/>
  <c r="I38" i="13"/>
  <c r="K34" i="13"/>
  <c r="J34" i="13"/>
  <c r="I34" i="13"/>
  <c r="J33" i="13"/>
  <c r="K33" i="13" s="1"/>
  <c r="I33" i="13"/>
  <c r="J32" i="13"/>
  <c r="I32" i="13"/>
  <c r="K31" i="13"/>
  <c r="J31" i="13"/>
  <c r="I31" i="13"/>
  <c r="K30" i="13"/>
  <c r="J30" i="13"/>
  <c r="I30" i="13"/>
  <c r="J29" i="13"/>
  <c r="I29" i="13"/>
  <c r="I35" i="13" s="1"/>
  <c r="C125" i="25" s="1"/>
  <c r="D125" i="25" s="1"/>
  <c r="E125" i="25" s="1"/>
  <c r="K25" i="13"/>
  <c r="J25" i="13"/>
  <c r="I25" i="13"/>
  <c r="J24" i="13"/>
  <c r="I24" i="13"/>
  <c r="K24" i="13" s="1"/>
  <c r="J23" i="13"/>
  <c r="I23" i="13"/>
  <c r="K23" i="13" s="1"/>
  <c r="J22" i="13"/>
  <c r="I22" i="13"/>
  <c r="I26" i="13" s="1"/>
  <c r="C124" i="25" s="1"/>
  <c r="K21" i="13"/>
  <c r="J21" i="13"/>
  <c r="I21" i="13"/>
  <c r="J20" i="13"/>
  <c r="I20" i="13"/>
  <c r="K20" i="13" s="1"/>
  <c r="J51" i="12"/>
  <c r="I51" i="12"/>
  <c r="K51" i="12" s="1"/>
  <c r="K50" i="12"/>
  <c r="J50" i="12"/>
  <c r="I50" i="12"/>
  <c r="K49" i="12"/>
  <c r="J49" i="12"/>
  <c r="I49" i="12"/>
  <c r="J48" i="12"/>
  <c r="I48" i="12"/>
  <c r="K48" i="12" s="1"/>
  <c r="J47" i="12"/>
  <c r="I47" i="12"/>
  <c r="J43" i="12"/>
  <c r="I43" i="12"/>
  <c r="K43" i="12" s="1"/>
  <c r="J42" i="12"/>
  <c r="I42" i="12"/>
  <c r="K42" i="12" s="1"/>
  <c r="K41" i="12"/>
  <c r="J41" i="12"/>
  <c r="I41" i="12"/>
  <c r="J40" i="12"/>
  <c r="K40" i="12" s="1"/>
  <c r="I40" i="12"/>
  <c r="J39" i="12"/>
  <c r="I39" i="12"/>
  <c r="K39" i="12" s="1"/>
  <c r="J38" i="12"/>
  <c r="I38" i="12"/>
  <c r="J34" i="12"/>
  <c r="K34" i="12" s="1"/>
  <c r="I34" i="12"/>
  <c r="J33" i="12"/>
  <c r="I33" i="12"/>
  <c r="K33" i="12" s="1"/>
  <c r="J32" i="12"/>
  <c r="I32" i="12"/>
  <c r="K32" i="12" s="1"/>
  <c r="J31" i="12"/>
  <c r="K31" i="12" s="1"/>
  <c r="I31" i="12"/>
  <c r="J30" i="12"/>
  <c r="I30" i="12"/>
  <c r="K30" i="12" s="1"/>
  <c r="J29" i="12"/>
  <c r="I29" i="12"/>
  <c r="J25" i="12"/>
  <c r="I25" i="12"/>
  <c r="K25" i="12" s="1"/>
  <c r="J24" i="12"/>
  <c r="I24" i="12"/>
  <c r="K24" i="12" s="1"/>
  <c r="K23" i="12"/>
  <c r="J23" i="12"/>
  <c r="I23" i="12"/>
  <c r="K22" i="12"/>
  <c r="J22" i="12"/>
  <c r="I22" i="12"/>
  <c r="J21" i="12"/>
  <c r="I21" i="12"/>
  <c r="K21" i="12" s="1"/>
  <c r="J20" i="12"/>
  <c r="I20" i="12"/>
  <c r="I52" i="11"/>
  <c r="C102" i="25" s="1"/>
  <c r="D102" i="25" s="1"/>
  <c r="E102" i="25" s="1"/>
  <c r="J51" i="11"/>
  <c r="I51" i="11"/>
  <c r="K51" i="11" s="1"/>
  <c r="J50" i="11"/>
  <c r="K50" i="11" s="1"/>
  <c r="I50" i="11"/>
  <c r="J49" i="11"/>
  <c r="I49" i="11"/>
  <c r="K49" i="11" s="1"/>
  <c r="J48" i="11"/>
  <c r="I48" i="11"/>
  <c r="K48" i="11" s="1"/>
  <c r="J47" i="11"/>
  <c r="I47" i="11"/>
  <c r="K47" i="11" s="1"/>
  <c r="J43" i="11"/>
  <c r="I43" i="11"/>
  <c r="K43" i="11" s="1"/>
  <c r="K42" i="11"/>
  <c r="J42" i="11"/>
  <c r="I42" i="11"/>
  <c r="K41" i="11"/>
  <c r="J41" i="11"/>
  <c r="I41" i="11"/>
  <c r="J40" i="11"/>
  <c r="I40" i="11"/>
  <c r="K40" i="11" s="1"/>
  <c r="J39" i="11"/>
  <c r="I39" i="11"/>
  <c r="K38" i="11"/>
  <c r="J38" i="11"/>
  <c r="I38" i="11"/>
  <c r="J34" i="11"/>
  <c r="I34" i="11"/>
  <c r="J33" i="11"/>
  <c r="I33" i="11"/>
  <c r="K33" i="11" s="1"/>
  <c r="J32" i="11"/>
  <c r="K32" i="11" s="1"/>
  <c r="I32" i="11"/>
  <c r="J31" i="11"/>
  <c r="I31" i="11"/>
  <c r="K31" i="11" s="1"/>
  <c r="J30" i="11"/>
  <c r="I30" i="11"/>
  <c r="K30" i="11" s="1"/>
  <c r="K29" i="11"/>
  <c r="J29" i="11"/>
  <c r="I29" i="11"/>
  <c r="J25" i="11"/>
  <c r="I25" i="11"/>
  <c r="K25" i="11" s="1"/>
  <c r="J24" i="11"/>
  <c r="I24" i="11"/>
  <c r="K24" i="11" s="1"/>
  <c r="K23" i="11"/>
  <c r="J23" i="11"/>
  <c r="I23" i="11"/>
  <c r="J22" i="11"/>
  <c r="K22" i="11" s="1"/>
  <c r="I22" i="11"/>
  <c r="J21" i="11"/>
  <c r="I21" i="11"/>
  <c r="K21" i="11" s="1"/>
  <c r="J20" i="11"/>
  <c r="I20" i="11"/>
  <c r="K20" i="11" s="1"/>
  <c r="I52" i="10"/>
  <c r="C89" i="25" s="1"/>
  <c r="D89" i="25" s="1"/>
  <c r="E89" i="25" s="1"/>
  <c r="J51" i="10"/>
  <c r="K51" i="10" s="1"/>
  <c r="I51" i="10"/>
  <c r="J50" i="10"/>
  <c r="I50" i="10"/>
  <c r="J49" i="10"/>
  <c r="I49" i="10"/>
  <c r="J48" i="10"/>
  <c r="I48" i="10"/>
  <c r="K48" i="10" s="1"/>
  <c r="J47" i="10"/>
  <c r="K47" i="10" s="1"/>
  <c r="I47" i="10"/>
  <c r="J43" i="10"/>
  <c r="I43" i="10"/>
  <c r="K43" i="10" s="1"/>
  <c r="J42" i="10"/>
  <c r="K42" i="10" s="1"/>
  <c r="I42" i="10"/>
  <c r="K41" i="10"/>
  <c r="J41" i="10"/>
  <c r="I41" i="10"/>
  <c r="J40" i="10"/>
  <c r="I40" i="10"/>
  <c r="K40" i="10" s="1"/>
  <c r="J39" i="10"/>
  <c r="I39" i="10"/>
  <c r="K39" i="10" s="1"/>
  <c r="J38" i="10"/>
  <c r="K38" i="10" s="1"/>
  <c r="K44" i="10" s="1"/>
  <c r="I38" i="10"/>
  <c r="K35" i="10"/>
  <c r="K34" i="10"/>
  <c r="J34" i="10"/>
  <c r="I34" i="10"/>
  <c r="K33" i="10"/>
  <c r="J33" i="10"/>
  <c r="I33" i="10"/>
  <c r="J32" i="10"/>
  <c r="I32" i="10"/>
  <c r="K32" i="10" s="1"/>
  <c r="J31" i="10"/>
  <c r="I31" i="10"/>
  <c r="K31" i="10" s="1"/>
  <c r="K30" i="10"/>
  <c r="J30" i="10"/>
  <c r="I30" i="10"/>
  <c r="K29" i="10"/>
  <c r="J29" i="10"/>
  <c r="I29" i="10"/>
  <c r="K25" i="10"/>
  <c r="J25" i="10"/>
  <c r="I25" i="10"/>
  <c r="J24" i="10"/>
  <c r="K24" i="10" s="1"/>
  <c r="I24" i="10"/>
  <c r="J23" i="10"/>
  <c r="I23" i="10"/>
  <c r="J22" i="10"/>
  <c r="I22" i="10"/>
  <c r="J21" i="10"/>
  <c r="I21" i="10"/>
  <c r="K20" i="10"/>
  <c r="J20" i="10"/>
  <c r="I20" i="10"/>
  <c r="J51" i="9"/>
  <c r="I51" i="9"/>
  <c r="K51" i="9" s="1"/>
  <c r="J50" i="9"/>
  <c r="I50" i="9"/>
  <c r="K50" i="9" s="1"/>
  <c r="K49" i="9"/>
  <c r="J49" i="9"/>
  <c r="I49" i="9"/>
  <c r="K48" i="9"/>
  <c r="J48" i="9"/>
  <c r="I48" i="9"/>
  <c r="J47" i="9"/>
  <c r="I47" i="9"/>
  <c r="I44" i="9"/>
  <c r="C74" i="25" s="1"/>
  <c r="D74" i="25" s="1"/>
  <c r="E74" i="25" s="1"/>
  <c r="J43" i="9"/>
  <c r="K43" i="9" s="1"/>
  <c r="I43" i="9"/>
  <c r="J42" i="9"/>
  <c r="I42" i="9"/>
  <c r="K42" i="9" s="1"/>
  <c r="J41" i="9"/>
  <c r="I41" i="9"/>
  <c r="J40" i="9"/>
  <c r="I40" i="9"/>
  <c r="K40" i="9" s="1"/>
  <c r="J39" i="9"/>
  <c r="K39" i="9" s="1"/>
  <c r="I39" i="9"/>
  <c r="J38" i="9"/>
  <c r="I38" i="9"/>
  <c r="J34" i="9"/>
  <c r="K34" i="9" s="1"/>
  <c r="I34" i="9"/>
  <c r="J33" i="9"/>
  <c r="I33" i="9"/>
  <c r="K33" i="9" s="1"/>
  <c r="J32" i="9"/>
  <c r="I32" i="9"/>
  <c r="K32" i="9" s="1"/>
  <c r="J31" i="9"/>
  <c r="I31" i="9"/>
  <c r="K31" i="9" s="1"/>
  <c r="J30" i="9"/>
  <c r="K30" i="9" s="1"/>
  <c r="I30" i="9"/>
  <c r="J29" i="9"/>
  <c r="I29" i="9"/>
  <c r="K29" i="9" s="1"/>
  <c r="K25" i="9"/>
  <c r="J25" i="9"/>
  <c r="I25" i="9"/>
  <c r="J24" i="9"/>
  <c r="I24" i="9"/>
  <c r="K24" i="9" s="1"/>
  <c r="J23" i="9"/>
  <c r="I23" i="9"/>
  <c r="K23" i="9" s="1"/>
  <c r="K22" i="9"/>
  <c r="J22" i="9"/>
  <c r="I22" i="9"/>
  <c r="K21" i="9"/>
  <c r="J21" i="9"/>
  <c r="I21" i="9"/>
  <c r="J20" i="9"/>
  <c r="I20" i="9"/>
  <c r="J51" i="8"/>
  <c r="I51" i="8"/>
  <c r="K51" i="8" s="1"/>
  <c r="J50" i="8"/>
  <c r="I50" i="8"/>
  <c r="K50" i="8" s="1"/>
  <c r="J49" i="8"/>
  <c r="K49" i="8" s="1"/>
  <c r="I49" i="8"/>
  <c r="J48" i="8"/>
  <c r="I48" i="8"/>
  <c r="K48" i="8" s="1"/>
  <c r="J47" i="8"/>
  <c r="I47" i="8"/>
  <c r="K47" i="8" s="1"/>
  <c r="J43" i="8"/>
  <c r="K43" i="8" s="1"/>
  <c r="I43" i="8"/>
  <c r="J42" i="8"/>
  <c r="I42" i="8"/>
  <c r="K42" i="8" s="1"/>
  <c r="K41" i="8"/>
  <c r="J41" i="8"/>
  <c r="I41" i="8"/>
  <c r="K40" i="8"/>
  <c r="J40" i="8"/>
  <c r="I40" i="8"/>
  <c r="J39" i="8"/>
  <c r="I39" i="8"/>
  <c r="K39" i="8" s="1"/>
  <c r="J38" i="8"/>
  <c r="I38" i="8"/>
  <c r="J34" i="8"/>
  <c r="I34" i="8"/>
  <c r="K34" i="8" s="1"/>
  <c r="J33" i="8"/>
  <c r="I33" i="8"/>
  <c r="K33" i="8" s="1"/>
  <c r="K32" i="8"/>
  <c r="J32" i="8"/>
  <c r="I32" i="8"/>
  <c r="J31" i="8"/>
  <c r="K31" i="8" s="1"/>
  <c r="I31" i="8"/>
  <c r="J30" i="8"/>
  <c r="I30" i="8"/>
  <c r="K30" i="8" s="1"/>
  <c r="J29" i="8"/>
  <c r="I29" i="8"/>
  <c r="J25" i="8"/>
  <c r="K25" i="8" s="1"/>
  <c r="I25" i="8"/>
  <c r="J24" i="8"/>
  <c r="I24" i="8"/>
  <c r="K24" i="8" s="1"/>
  <c r="J23" i="8"/>
  <c r="I23" i="8"/>
  <c r="K23" i="8" s="1"/>
  <c r="J22" i="8"/>
  <c r="K22" i="8" s="1"/>
  <c r="I22" i="8"/>
  <c r="J21" i="8"/>
  <c r="I21" i="8"/>
  <c r="K21" i="8" s="1"/>
  <c r="J20" i="8"/>
  <c r="I20" i="8"/>
  <c r="J51" i="7"/>
  <c r="I51" i="7"/>
  <c r="I52" i="7" s="1"/>
  <c r="C50" i="25" s="1"/>
  <c r="D50" i="25" s="1"/>
  <c r="E50" i="25" s="1"/>
  <c r="J50" i="7"/>
  <c r="K50" i="7" s="1"/>
  <c r="I50" i="7"/>
  <c r="J49" i="7"/>
  <c r="I49" i="7"/>
  <c r="K49" i="7" s="1"/>
  <c r="J48" i="7"/>
  <c r="I48" i="7"/>
  <c r="J47" i="7"/>
  <c r="I47" i="7"/>
  <c r="K47" i="7" s="1"/>
  <c r="J43" i="7"/>
  <c r="I43" i="7"/>
  <c r="K43" i="7" s="1"/>
  <c r="J42" i="7"/>
  <c r="I42" i="7"/>
  <c r="K42" i="7" s="1"/>
  <c r="J41" i="7"/>
  <c r="K41" i="7" s="1"/>
  <c r="I41" i="7"/>
  <c r="J40" i="7"/>
  <c r="I40" i="7"/>
  <c r="J39" i="7"/>
  <c r="I39" i="7"/>
  <c r="K39" i="7" s="1"/>
  <c r="J38" i="7"/>
  <c r="I38" i="7"/>
  <c r="K38" i="7" s="1"/>
  <c r="J34" i="7"/>
  <c r="I34" i="7"/>
  <c r="K33" i="7"/>
  <c r="J33" i="7"/>
  <c r="I33" i="7"/>
  <c r="J32" i="7"/>
  <c r="K32" i="7" s="1"/>
  <c r="I32" i="7"/>
  <c r="J31" i="7"/>
  <c r="I31" i="7"/>
  <c r="K31" i="7" s="1"/>
  <c r="J30" i="7"/>
  <c r="I30" i="7"/>
  <c r="K30" i="7" s="1"/>
  <c r="K29" i="7"/>
  <c r="J29" i="7"/>
  <c r="I29" i="7"/>
  <c r="J25" i="7"/>
  <c r="I25" i="7"/>
  <c r="K25" i="7" s="1"/>
  <c r="J24" i="7"/>
  <c r="I24" i="7"/>
  <c r="K24" i="7" s="1"/>
  <c r="K23" i="7"/>
  <c r="J23" i="7"/>
  <c r="I23" i="7"/>
  <c r="J22" i="7"/>
  <c r="I22" i="7"/>
  <c r="K22" i="7" s="1"/>
  <c r="J21" i="7"/>
  <c r="I21" i="7"/>
  <c r="K20" i="7"/>
  <c r="J20" i="7"/>
  <c r="I20" i="7"/>
  <c r="K51" i="6"/>
  <c r="J51" i="6"/>
  <c r="I51" i="6"/>
  <c r="J50" i="6"/>
  <c r="I50" i="6"/>
  <c r="K50" i="6" s="1"/>
  <c r="J49" i="6"/>
  <c r="I49" i="6"/>
  <c r="K49" i="6" s="1"/>
  <c r="K48" i="6"/>
  <c r="J48" i="6"/>
  <c r="I48" i="6"/>
  <c r="J47" i="6"/>
  <c r="K47" i="6" s="1"/>
  <c r="K52" i="6" s="1"/>
  <c r="I47" i="6"/>
  <c r="K43" i="6"/>
  <c r="J43" i="6"/>
  <c r="I43" i="6"/>
  <c r="J42" i="6"/>
  <c r="K42" i="6" s="1"/>
  <c r="I42" i="6"/>
  <c r="J41" i="6"/>
  <c r="I41" i="6"/>
  <c r="K41" i="6" s="1"/>
  <c r="J40" i="6"/>
  <c r="I40" i="6"/>
  <c r="J39" i="6"/>
  <c r="I39" i="6"/>
  <c r="K38" i="6"/>
  <c r="J38" i="6"/>
  <c r="I38" i="6"/>
  <c r="J34" i="6"/>
  <c r="I34" i="6"/>
  <c r="C9" i="26" s="1"/>
  <c r="J33" i="6"/>
  <c r="K33" i="6" s="1"/>
  <c r="I33" i="6"/>
  <c r="J32" i="6"/>
  <c r="I32" i="6"/>
  <c r="J31" i="6"/>
  <c r="I31" i="6"/>
  <c r="K31" i="6" s="1"/>
  <c r="J30" i="6"/>
  <c r="I30" i="6"/>
  <c r="J29" i="6"/>
  <c r="K29" i="6" s="1"/>
  <c r="I29" i="6"/>
  <c r="K25" i="6"/>
  <c r="J25" i="6"/>
  <c r="I25" i="6"/>
  <c r="K24" i="6"/>
  <c r="J24" i="6"/>
  <c r="I24" i="6"/>
  <c r="J23" i="6"/>
  <c r="I23" i="6"/>
  <c r="J22" i="6"/>
  <c r="I22" i="6"/>
  <c r="K21" i="6"/>
  <c r="J21" i="6"/>
  <c r="I21" i="6"/>
  <c r="J20" i="6"/>
  <c r="K20" i="6" s="1"/>
  <c r="I20" i="6"/>
  <c r="J51" i="5"/>
  <c r="K51" i="5" s="1"/>
  <c r="I51" i="5"/>
  <c r="J50" i="5"/>
  <c r="I50" i="5"/>
  <c r="K50" i="5" s="1"/>
  <c r="J49" i="5"/>
  <c r="I49" i="5"/>
  <c r="K49" i="5" s="1"/>
  <c r="K48" i="5"/>
  <c r="J48" i="5"/>
  <c r="I48" i="5"/>
  <c r="J47" i="5"/>
  <c r="I47" i="5"/>
  <c r="J43" i="5"/>
  <c r="K43" i="5" s="1"/>
  <c r="I43" i="5"/>
  <c r="J42" i="5"/>
  <c r="I42" i="5"/>
  <c r="K42" i="5" s="1"/>
  <c r="J41" i="5"/>
  <c r="I41" i="5"/>
  <c r="K41" i="5" s="1"/>
  <c r="K40" i="5"/>
  <c r="J40" i="5"/>
  <c r="I40" i="5"/>
  <c r="K39" i="5"/>
  <c r="J39" i="5"/>
  <c r="I39" i="5"/>
  <c r="J38" i="5"/>
  <c r="K38" i="5" s="1"/>
  <c r="I38" i="5"/>
  <c r="J34" i="5"/>
  <c r="K34" i="5" s="1"/>
  <c r="I34" i="5"/>
  <c r="J33" i="5"/>
  <c r="I33" i="5"/>
  <c r="K33" i="5" s="1"/>
  <c r="J32" i="5"/>
  <c r="I32" i="5"/>
  <c r="J31" i="5"/>
  <c r="I31" i="5"/>
  <c r="K31" i="5" s="1"/>
  <c r="J30" i="5"/>
  <c r="K30" i="5" s="1"/>
  <c r="I30" i="5"/>
  <c r="J29" i="5"/>
  <c r="I29" i="5"/>
  <c r="K29" i="5" s="1"/>
  <c r="J25" i="5"/>
  <c r="K25" i="5" s="1"/>
  <c r="I25" i="5"/>
  <c r="J24" i="5"/>
  <c r="I24" i="5"/>
  <c r="K24" i="5" s="1"/>
  <c r="J23" i="5"/>
  <c r="I23" i="5"/>
  <c r="K23" i="5" s="1"/>
  <c r="J22" i="5"/>
  <c r="I22" i="5"/>
  <c r="K22" i="5" s="1"/>
  <c r="J21" i="5"/>
  <c r="K21" i="5" s="1"/>
  <c r="I21" i="5"/>
  <c r="J20" i="5"/>
  <c r="I20" i="5"/>
  <c r="K20" i="5" s="1"/>
  <c r="J51" i="4"/>
  <c r="I51" i="4"/>
  <c r="K51" i="4" s="1"/>
  <c r="K50" i="4"/>
  <c r="J50" i="4"/>
  <c r="I50" i="4"/>
  <c r="J49" i="4"/>
  <c r="K49" i="4" s="1"/>
  <c r="I49" i="4"/>
  <c r="J48" i="4"/>
  <c r="I48" i="4"/>
  <c r="K48" i="4" s="1"/>
  <c r="J47" i="4"/>
  <c r="I47" i="4"/>
  <c r="J43" i="4"/>
  <c r="K43" i="4" s="1"/>
  <c r="I43" i="4"/>
  <c r="J42" i="4"/>
  <c r="I42" i="4"/>
  <c r="K42" i="4" s="1"/>
  <c r="K41" i="4"/>
  <c r="J41" i="4"/>
  <c r="I41" i="4"/>
  <c r="J40" i="4"/>
  <c r="K40" i="4" s="1"/>
  <c r="I40" i="4"/>
  <c r="J39" i="4"/>
  <c r="I39" i="4"/>
  <c r="K39" i="4" s="1"/>
  <c r="J38" i="4"/>
  <c r="I38" i="4"/>
  <c r="K34" i="4"/>
  <c r="J34" i="4"/>
  <c r="I34" i="4"/>
  <c r="J33" i="4"/>
  <c r="I33" i="4"/>
  <c r="K33" i="4" s="1"/>
  <c r="K32" i="4"/>
  <c r="J32" i="4"/>
  <c r="I32" i="4"/>
  <c r="J31" i="4"/>
  <c r="K31" i="4" s="1"/>
  <c r="I31" i="4"/>
  <c r="J30" i="4"/>
  <c r="K30" i="4" s="1"/>
  <c r="I30" i="4"/>
  <c r="J29" i="4"/>
  <c r="I29" i="4"/>
  <c r="J25" i="4"/>
  <c r="I25" i="4"/>
  <c r="K25" i="4" s="1"/>
  <c r="J24" i="4"/>
  <c r="I24" i="4"/>
  <c r="K24" i="4" s="1"/>
  <c r="K23" i="4"/>
  <c r="J23" i="4"/>
  <c r="I23" i="4"/>
  <c r="K22" i="4"/>
  <c r="J22" i="4"/>
  <c r="I22" i="4"/>
  <c r="J21" i="4"/>
  <c r="I21" i="4"/>
  <c r="K21" i="4" s="1"/>
  <c r="J20" i="4"/>
  <c r="I20" i="4"/>
  <c r="O15" i="3"/>
  <c r="M15" i="3"/>
  <c r="L15" i="3"/>
  <c r="J15" i="3"/>
  <c r="I15" i="3"/>
  <c r="G15" i="3"/>
  <c r="F15" i="3"/>
  <c r="E15" i="3"/>
  <c r="D15" i="3"/>
  <c r="H15" i="3" s="1"/>
  <c r="C15" i="3"/>
  <c r="B15" i="3"/>
  <c r="A15" i="3"/>
  <c r="O14" i="3"/>
  <c r="N14" i="3"/>
  <c r="M14" i="3"/>
  <c r="J14" i="3"/>
  <c r="I14" i="3"/>
  <c r="G14" i="3"/>
  <c r="F14" i="3"/>
  <c r="E14" i="3"/>
  <c r="D14" i="3"/>
  <c r="C14" i="3"/>
  <c r="B14" i="3"/>
  <c r="H14" i="3" s="1"/>
  <c r="A14" i="3"/>
  <c r="O13" i="3"/>
  <c r="M13" i="3"/>
  <c r="L13" i="3"/>
  <c r="J13" i="3"/>
  <c r="I13" i="3"/>
  <c r="G13" i="3"/>
  <c r="F13" i="3"/>
  <c r="E13" i="3"/>
  <c r="D13" i="3"/>
  <c r="C13" i="3"/>
  <c r="B13" i="3"/>
  <c r="H13" i="3" s="1"/>
  <c r="A13" i="3"/>
  <c r="O12" i="3"/>
  <c r="N12" i="3"/>
  <c r="M12" i="3"/>
  <c r="J12" i="3"/>
  <c r="I12" i="3"/>
  <c r="G12" i="3"/>
  <c r="F12" i="3"/>
  <c r="E12" i="3"/>
  <c r="D12" i="3"/>
  <c r="H12" i="3" s="1"/>
  <c r="C12" i="3"/>
  <c r="B12" i="3"/>
  <c r="A12" i="3"/>
  <c r="O11" i="3"/>
  <c r="M11" i="3"/>
  <c r="L11" i="3"/>
  <c r="J11" i="3"/>
  <c r="I11" i="3"/>
  <c r="G11" i="3"/>
  <c r="F11" i="3"/>
  <c r="E11" i="3"/>
  <c r="D11" i="3"/>
  <c r="C11" i="3"/>
  <c r="B11" i="3"/>
  <c r="H11" i="3" s="1"/>
  <c r="A11" i="3"/>
  <c r="O10" i="3"/>
  <c r="N10" i="3"/>
  <c r="M10" i="3"/>
  <c r="J10" i="3"/>
  <c r="I10" i="3"/>
  <c r="G10" i="3"/>
  <c r="F10" i="3"/>
  <c r="E10" i="3"/>
  <c r="D10" i="3"/>
  <c r="C10" i="3"/>
  <c r="B10" i="3"/>
  <c r="A10" i="3"/>
  <c r="O9" i="3"/>
  <c r="M9" i="3"/>
  <c r="J9" i="3"/>
  <c r="I9" i="3"/>
  <c r="G9" i="3"/>
  <c r="F9" i="3"/>
  <c r="E9" i="3"/>
  <c r="D9" i="3"/>
  <c r="C9" i="3"/>
  <c r="B9" i="3"/>
  <c r="A9" i="3"/>
  <c r="O8" i="3"/>
  <c r="M8" i="3"/>
  <c r="J8" i="3"/>
  <c r="I8" i="3"/>
  <c r="G8" i="3"/>
  <c r="F8" i="3"/>
  <c r="E8" i="3"/>
  <c r="D8" i="3"/>
  <c r="C8" i="3"/>
  <c r="B8" i="3"/>
  <c r="A8" i="3"/>
  <c r="O7" i="3"/>
  <c r="M7" i="3"/>
  <c r="L7" i="3"/>
  <c r="J7" i="3"/>
  <c r="I7" i="3"/>
  <c r="G7" i="3"/>
  <c r="F7" i="3"/>
  <c r="E7" i="3"/>
  <c r="D7" i="3"/>
  <c r="C7" i="3"/>
  <c r="B7" i="3"/>
  <c r="H7" i="3" s="1"/>
  <c r="A7" i="3"/>
  <c r="O6" i="3"/>
  <c r="N6" i="3"/>
  <c r="M6" i="3"/>
  <c r="J6" i="3"/>
  <c r="I6" i="3"/>
  <c r="G6" i="3"/>
  <c r="F6" i="3"/>
  <c r="E6" i="3"/>
  <c r="D6" i="3"/>
  <c r="H6" i="3" s="1"/>
  <c r="C6" i="3"/>
  <c r="B6" i="3"/>
  <c r="A6" i="3"/>
  <c r="O5" i="3"/>
  <c r="M5" i="3"/>
  <c r="J5" i="3"/>
  <c r="I5" i="3"/>
  <c r="H5" i="3"/>
  <c r="G5" i="3"/>
  <c r="F5" i="3"/>
  <c r="N5" i="3" s="1"/>
  <c r="E5" i="3"/>
  <c r="D5" i="3"/>
  <c r="C5" i="3"/>
  <c r="B5" i="3"/>
  <c r="A5" i="3"/>
  <c r="Z16" i="2"/>
  <c r="Y16" i="2"/>
  <c r="X16" i="2"/>
  <c r="W16" i="2"/>
  <c r="V16" i="2"/>
  <c r="T16" i="2"/>
  <c r="S16" i="2"/>
  <c r="Q16" i="2"/>
  <c r="Z14" i="2"/>
  <c r="U14" i="2"/>
  <c r="R14" i="2"/>
  <c r="M14" i="2"/>
  <c r="Z13" i="2"/>
  <c r="U13" i="2"/>
  <c r="L14" i="3" s="1"/>
  <c r="M13" i="2"/>
  <c r="Z12" i="2"/>
  <c r="U12" i="2"/>
  <c r="R12" i="2"/>
  <c r="M12" i="2"/>
  <c r="Z11" i="2"/>
  <c r="U11" i="2"/>
  <c r="L12" i="3" s="1"/>
  <c r="M11" i="2"/>
  <c r="Z10" i="2"/>
  <c r="U10" i="2"/>
  <c r="R10" i="2"/>
  <c r="M10" i="2"/>
  <c r="Z9" i="2"/>
  <c r="U9" i="2"/>
  <c r="L10" i="3" s="1"/>
  <c r="R9" i="2"/>
  <c r="M9" i="2"/>
  <c r="Z8" i="2"/>
  <c r="U8" i="2"/>
  <c r="L9" i="3" s="1"/>
  <c r="M8" i="2"/>
  <c r="Z7" i="2"/>
  <c r="U7" i="2"/>
  <c r="L8" i="3" s="1"/>
  <c r="M7" i="2"/>
  <c r="Z6" i="2"/>
  <c r="U6" i="2"/>
  <c r="M6" i="2"/>
  <c r="Z5" i="2"/>
  <c r="U5" i="2"/>
  <c r="L6" i="3" s="1"/>
  <c r="M5" i="2"/>
  <c r="Z4" i="2"/>
  <c r="U4" i="2"/>
  <c r="L5" i="3" s="1"/>
  <c r="R4" i="2"/>
  <c r="M4" i="2"/>
  <c r="M16" i="2" s="1"/>
  <c r="E17" i="26"/>
  <c r="D17" i="26"/>
  <c r="C17" i="26"/>
  <c r="D16" i="26"/>
  <c r="C16" i="26"/>
  <c r="D15" i="26"/>
  <c r="C15" i="26"/>
  <c r="D5" i="26"/>
  <c r="C5" i="26"/>
  <c r="G5" i="26" s="1"/>
  <c r="F156" i="25"/>
  <c r="E156" i="25"/>
  <c r="D156" i="25"/>
  <c r="C156" i="25"/>
  <c r="F155" i="25"/>
  <c r="E155" i="25"/>
  <c r="D155" i="25"/>
  <c r="C155" i="25"/>
  <c r="F154" i="25"/>
  <c r="C154" i="25"/>
  <c r="F153" i="25"/>
  <c r="C153" i="25"/>
  <c r="E136" i="25"/>
  <c r="D136" i="25"/>
  <c r="C136" i="25"/>
  <c r="E127" i="25"/>
  <c r="D127" i="25"/>
  <c r="C127" i="25"/>
  <c r="E123" i="25"/>
  <c r="D123" i="25"/>
  <c r="C123" i="25"/>
  <c r="C114" i="25"/>
  <c r="D114" i="25" s="1"/>
  <c r="E114" i="25" s="1"/>
  <c r="D110" i="25"/>
  <c r="C110" i="25"/>
  <c r="E97" i="25"/>
  <c r="D97" i="25"/>
  <c r="C97" i="25"/>
  <c r="C88" i="25"/>
  <c r="D88" i="25" s="1"/>
  <c r="E88" i="25" s="1"/>
  <c r="E84" i="25"/>
  <c r="D84" i="25"/>
  <c r="C84" i="25"/>
  <c r="C75" i="25"/>
  <c r="D75" i="25" s="1"/>
  <c r="E75" i="25" s="1"/>
  <c r="E71" i="25"/>
  <c r="D71" i="25"/>
  <c r="C71" i="25"/>
  <c r="C62" i="25"/>
  <c r="D62" i="25" s="1"/>
  <c r="E62" i="25" s="1"/>
  <c r="E58" i="25"/>
  <c r="D58" i="25"/>
  <c r="C58" i="25"/>
  <c r="E45" i="25"/>
  <c r="D45" i="25"/>
  <c r="C45" i="25"/>
  <c r="C36" i="25"/>
  <c r="D36" i="25" s="1"/>
  <c r="E36" i="25" s="1"/>
  <c r="D32" i="25"/>
  <c r="C32" i="25"/>
  <c r="C23" i="25"/>
  <c r="D23" i="25" s="1"/>
  <c r="E23" i="25" s="1"/>
  <c r="E19" i="25"/>
  <c r="D19" i="25"/>
  <c r="C19" i="25"/>
  <c r="C10" i="25"/>
  <c r="D10" i="25" s="1"/>
  <c r="E10" i="25" s="1"/>
  <c r="E6" i="25"/>
  <c r="D6" i="25"/>
  <c r="C6" i="25"/>
  <c r="C13" i="1"/>
  <c r="K44" i="5" l="1"/>
  <c r="K35" i="14"/>
  <c r="D124" i="25"/>
  <c r="K44" i="7"/>
  <c r="I16" i="15"/>
  <c r="H16" i="15"/>
  <c r="G46" i="16"/>
  <c r="K52" i="8"/>
  <c r="I26" i="9"/>
  <c r="G37" i="16"/>
  <c r="H37" i="16" s="1"/>
  <c r="H35" i="16"/>
  <c r="I26" i="4"/>
  <c r="K20" i="4"/>
  <c r="K26" i="4" s="1"/>
  <c r="K29" i="13"/>
  <c r="K35" i="13" s="1"/>
  <c r="H21" i="15"/>
  <c r="C14" i="20"/>
  <c r="H10" i="3"/>
  <c r="I26" i="5"/>
  <c r="K34" i="6"/>
  <c r="D9" i="26" s="1"/>
  <c r="E9" i="26" s="1"/>
  <c r="K26" i="11"/>
  <c r="D15" i="20"/>
  <c r="C15" i="20"/>
  <c r="B15" i="20"/>
  <c r="I35" i="5"/>
  <c r="C21" i="25" s="1"/>
  <c r="D21" i="25" s="1"/>
  <c r="E21" i="25" s="1"/>
  <c r="I26" i="6"/>
  <c r="K23" i="6"/>
  <c r="I44" i="7"/>
  <c r="C48" i="25" s="1"/>
  <c r="D48" i="25" s="1"/>
  <c r="E48" i="25" s="1"/>
  <c r="I44" i="12"/>
  <c r="C113" i="25" s="1"/>
  <c r="D113" i="25" s="1"/>
  <c r="E113" i="25" s="1"/>
  <c r="K38" i="12"/>
  <c r="K44" i="12" s="1"/>
  <c r="H22" i="15"/>
  <c r="I22" i="15"/>
  <c r="G43" i="16"/>
  <c r="H43" i="16" s="1"/>
  <c r="H40" i="16"/>
  <c r="I52" i="6"/>
  <c r="C37" i="25" s="1"/>
  <c r="D37" i="25" s="1"/>
  <c r="E37" i="25" s="1"/>
  <c r="I52" i="13"/>
  <c r="C128" i="25" s="1"/>
  <c r="D128" i="25" s="1"/>
  <c r="E128" i="25" s="1"/>
  <c r="G26" i="16"/>
  <c r="K32" i="6"/>
  <c r="K35" i="6" s="1"/>
  <c r="K26" i="14"/>
  <c r="I52" i="5"/>
  <c r="C24" i="25" s="1"/>
  <c r="D24" i="25" s="1"/>
  <c r="E24" i="25" s="1"/>
  <c r="K47" i="5"/>
  <c r="K52" i="5" s="1"/>
  <c r="G13" i="16"/>
  <c r="E15" i="16"/>
  <c r="R5" i="2" s="1"/>
  <c r="I52" i="9"/>
  <c r="C76" i="25" s="1"/>
  <c r="D76" i="25" s="1"/>
  <c r="E76" i="25" s="1"/>
  <c r="H32" i="16"/>
  <c r="K47" i="9"/>
  <c r="K52" i="9" s="1"/>
  <c r="G20" i="16"/>
  <c r="H20" i="16" s="1"/>
  <c r="H18" i="16"/>
  <c r="E15" i="26"/>
  <c r="K20" i="9"/>
  <c r="K26" i="9" s="1"/>
  <c r="H14" i="15"/>
  <c r="I14" i="15"/>
  <c r="G19" i="16"/>
  <c r="H19" i="16" s="1"/>
  <c r="E20" i="16"/>
  <c r="R6" i="2" s="1"/>
  <c r="D14" i="20"/>
  <c r="E5" i="26"/>
  <c r="K30" i="6"/>
  <c r="I35" i="6"/>
  <c r="C34" i="25" s="1"/>
  <c r="D34" i="25" s="1"/>
  <c r="E34" i="25" s="1"/>
  <c r="K35" i="7"/>
  <c r="K51" i="7"/>
  <c r="K34" i="11"/>
  <c r="K35" i="11" s="1"/>
  <c r="C101" i="25"/>
  <c r="D101" i="25" s="1"/>
  <c r="E101" i="25" s="1"/>
  <c r="K22" i="13"/>
  <c r="H22" i="18"/>
  <c r="E16" i="26"/>
  <c r="I54" i="13"/>
  <c r="G12" i="15"/>
  <c r="F23" i="15"/>
  <c r="G57" i="16"/>
  <c r="E59" i="16"/>
  <c r="R13" i="2" s="1"/>
  <c r="F10" i="21"/>
  <c r="H5" i="21"/>
  <c r="C14" i="26"/>
  <c r="K35" i="9"/>
  <c r="I17" i="15"/>
  <c r="K39" i="6"/>
  <c r="I44" i="6"/>
  <c r="C35" i="25" s="1"/>
  <c r="D35" i="25" s="1"/>
  <c r="E35" i="25" s="1"/>
  <c r="K47" i="12"/>
  <c r="K52" i="12" s="1"/>
  <c r="I52" i="12"/>
  <c r="C115" i="25" s="1"/>
  <c r="D115" i="25" s="1"/>
  <c r="E115" i="25" s="1"/>
  <c r="H20" i="15"/>
  <c r="I20" i="15"/>
  <c r="I44" i="4"/>
  <c r="K38" i="4"/>
  <c r="K44" i="4" s="1"/>
  <c r="K40" i="6"/>
  <c r="I26" i="7"/>
  <c r="K40" i="7"/>
  <c r="K23" i="10"/>
  <c r="I35" i="10"/>
  <c r="C86" i="25" s="1"/>
  <c r="D86" i="25" s="1"/>
  <c r="E86" i="25" s="1"/>
  <c r="K39" i="11"/>
  <c r="K44" i="11" s="1"/>
  <c r="I44" i="11"/>
  <c r="C100" i="25" s="1"/>
  <c r="D100" i="25" s="1"/>
  <c r="E100" i="25" s="1"/>
  <c r="I15" i="15"/>
  <c r="F18" i="15"/>
  <c r="G18" i="15" s="1"/>
  <c r="F22" i="18"/>
  <c r="F26" i="18" s="1"/>
  <c r="H9" i="3"/>
  <c r="I35" i="8"/>
  <c r="C60" i="25" s="1"/>
  <c r="D60" i="25" s="1"/>
  <c r="E60" i="25" s="1"/>
  <c r="K29" i="8"/>
  <c r="K35" i="8" s="1"/>
  <c r="K52" i="11"/>
  <c r="K52" i="14"/>
  <c r="H8" i="3"/>
  <c r="K21" i="10"/>
  <c r="I26" i="10"/>
  <c r="D154" i="25"/>
  <c r="I6" i="21"/>
  <c r="E154" i="25" s="1"/>
  <c r="N7" i="3"/>
  <c r="N9" i="3"/>
  <c r="K29" i="4"/>
  <c r="K35" i="4" s="1"/>
  <c r="I35" i="4"/>
  <c r="I35" i="7"/>
  <c r="C47" i="25" s="1"/>
  <c r="D47" i="25" s="1"/>
  <c r="E47" i="25" s="1"/>
  <c r="I26" i="11"/>
  <c r="K40" i="13"/>
  <c r="K44" i="13" s="1"/>
  <c r="I44" i="13"/>
  <c r="C126" i="25" s="1"/>
  <c r="D126" i="25" s="1"/>
  <c r="E126" i="25" s="1"/>
  <c r="I7" i="19"/>
  <c r="I35" i="9"/>
  <c r="C73" i="25" s="1"/>
  <c r="D73" i="25" s="1"/>
  <c r="E73" i="25" s="1"/>
  <c r="K26" i="5"/>
  <c r="N8" i="3"/>
  <c r="N13" i="3"/>
  <c r="K44" i="6"/>
  <c r="K38" i="8"/>
  <c r="K44" i="8" s="1"/>
  <c r="I44" i="8"/>
  <c r="C61" i="25" s="1"/>
  <c r="D61" i="25" s="1"/>
  <c r="E61" i="25" s="1"/>
  <c r="K22" i="10"/>
  <c r="K26" i="10" s="1"/>
  <c r="K54" i="10" s="1"/>
  <c r="K49" i="10"/>
  <c r="K52" i="10" s="1"/>
  <c r="I26" i="14"/>
  <c r="K34" i="14"/>
  <c r="C140" i="25"/>
  <c r="D140" i="25" s="1"/>
  <c r="E140" i="25" s="1"/>
  <c r="K49" i="14"/>
  <c r="I52" i="14"/>
  <c r="C141" i="25" s="1"/>
  <c r="D141" i="25" s="1"/>
  <c r="E141" i="25" s="1"/>
  <c r="E26" i="16"/>
  <c r="R7" i="2" s="1"/>
  <c r="R16" i="2" s="1"/>
  <c r="H8" i="19"/>
  <c r="I8" i="19" s="1"/>
  <c r="F23" i="19"/>
  <c r="F27" i="19" s="1"/>
  <c r="N11" i="3"/>
  <c r="K47" i="4"/>
  <c r="K52" i="4" s="1"/>
  <c r="I52" i="4"/>
  <c r="I44" i="5"/>
  <c r="C22" i="25" s="1"/>
  <c r="D22" i="25" s="1"/>
  <c r="E22" i="25" s="1"/>
  <c r="K21" i="7"/>
  <c r="K26" i="7" s="1"/>
  <c r="K41" i="9"/>
  <c r="K50" i="10"/>
  <c r="I35" i="11"/>
  <c r="C99" i="25" s="1"/>
  <c r="D99" i="25" s="1"/>
  <c r="E99" i="25" s="1"/>
  <c r="K20" i="12"/>
  <c r="K26" i="12" s="1"/>
  <c r="I26" i="12"/>
  <c r="K40" i="14"/>
  <c r="K44" i="14" s="1"/>
  <c r="F13" i="15"/>
  <c r="G13" i="15" s="1"/>
  <c r="I44" i="10"/>
  <c r="C87" i="25" s="1"/>
  <c r="D87" i="25" s="1"/>
  <c r="E87" i="25" s="1"/>
  <c r="I52" i="8"/>
  <c r="C63" i="25" s="1"/>
  <c r="D63" i="25" s="1"/>
  <c r="E63" i="25" s="1"/>
  <c r="K26" i="13"/>
  <c r="G52" i="16"/>
  <c r="B12" i="20"/>
  <c r="B13" i="20" s="1"/>
  <c r="C13" i="20" s="1"/>
  <c r="D13" i="20" s="1"/>
  <c r="E32" i="25"/>
  <c r="E110" i="25"/>
  <c r="N15" i="3"/>
  <c r="K32" i="5"/>
  <c r="K35" i="5" s="1"/>
  <c r="K22" i="6"/>
  <c r="K26" i="6" s="1"/>
  <c r="K54" i="6" s="1"/>
  <c r="K34" i="7"/>
  <c r="C49" i="25"/>
  <c r="D49" i="25" s="1"/>
  <c r="E49" i="25" s="1"/>
  <c r="K48" i="7"/>
  <c r="K52" i="7" s="1"/>
  <c r="I26" i="8"/>
  <c r="K20" i="8"/>
  <c r="K26" i="8" s="1"/>
  <c r="K54" i="8" s="1"/>
  <c r="K38" i="9"/>
  <c r="K44" i="9" s="1"/>
  <c r="I35" i="12"/>
  <c r="C112" i="25" s="1"/>
  <c r="D112" i="25" s="1"/>
  <c r="E112" i="25" s="1"/>
  <c r="K29" i="12"/>
  <c r="K35" i="12" s="1"/>
  <c r="K32" i="13"/>
  <c r="G8" i="16"/>
  <c r="K47" i="13"/>
  <c r="K52" i="13" s="1"/>
  <c r="K54" i="7" l="1"/>
  <c r="D7" i="26"/>
  <c r="K54" i="14"/>
  <c r="C12" i="20"/>
  <c r="C150" i="25"/>
  <c r="C11" i="26"/>
  <c r="I18" i="15"/>
  <c r="H18" i="15"/>
  <c r="H26" i="16"/>
  <c r="C33" i="25"/>
  <c r="I54" i="6"/>
  <c r="I54" i="8"/>
  <c r="C59" i="25"/>
  <c r="G54" i="16"/>
  <c r="H54" i="16" s="1"/>
  <c r="H52" i="16"/>
  <c r="K54" i="4"/>
  <c r="D6" i="26"/>
  <c r="E66" i="16"/>
  <c r="H23" i="19"/>
  <c r="G59" i="16"/>
  <c r="H59" i="16" s="1"/>
  <c r="H57" i="16"/>
  <c r="I54" i="4"/>
  <c r="C7" i="25"/>
  <c r="C6" i="26"/>
  <c r="D129" i="25"/>
  <c r="E124" i="25"/>
  <c r="K54" i="13"/>
  <c r="C85" i="25"/>
  <c r="I54" i="10"/>
  <c r="C129" i="25"/>
  <c r="I54" i="14"/>
  <c r="C137" i="25"/>
  <c r="G23" i="15"/>
  <c r="H12" i="15"/>
  <c r="I12" i="15"/>
  <c r="I23" i="15" s="1"/>
  <c r="C12" i="26"/>
  <c r="C151" i="25"/>
  <c r="D8" i="26"/>
  <c r="E8" i="26" s="1"/>
  <c r="B17" i="20"/>
  <c r="K54" i="12"/>
  <c r="I5" i="21"/>
  <c r="E153" i="25" s="1"/>
  <c r="D14" i="26"/>
  <c r="E14" i="26" s="1"/>
  <c r="H10" i="21"/>
  <c r="I10" i="21" s="1"/>
  <c r="D153" i="25"/>
  <c r="K54" i="5"/>
  <c r="K54" i="11"/>
  <c r="C111" i="25"/>
  <c r="I54" i="12"/>
  <c r="C8" i="26"/>
  <c r="G8" i="26" s="1"/>
  <c r="C9" i="25"/>
  <c r="D9" i="25" s="1"/>
  <c r="E9" i="25" s="1"/>
  <c r="K54" i="9"/>
  <c r="C11" i="25"/>
  <c r="D11" i="25" s="1"/>
  <c r="E11" i="25" s="1"/>
  <c r="C10" i="26"/>
  <c r="C72" i="25"/>
  <c r="I54" i="9"/>
  <c r="D10" i="26"/>
  <c r="E10" i="26" s="1"/>
  <c r="I54" i="11"/>
  <c r="C98" i="25"/>
  <c r="G10" i="16"/>
  <c r="H8" i="16"/>
  <c r="I54" i="7"/>
  <c r="C46" i="25"/>
  <c r="H26" i="18"/>
  <c r="I22" i="18"/>
  <c r="G15" i="16"/>
  <c r="H15" i="16" s="1"/>
  <c r="H13" i="16"/>
  <c r="I54" i="5"/>
  <c r="C20" i="25"/>
  <c r="I13" i="15"/>
  <c r="H13" i="15"/>
  <c r="C7" i="26"/>
  <c r="G7" i="26" s="1"/>
  <c r="C8" i="25"/>
  <c r="D8" i="25" s="1"/>
  <c r="E8" i="25" s="1"/>
  <c r="G49" i="16"/>
  <c r="H49" i="16" s="1"/>
  <c r="H46" i="16"/>
  <c r="G66" i="16" l="1"/>
  <c r="H66" i="16" s="1"/>
  <c r="H10" i="16"/>
  <c r="D33" i="25"/>
  <c r="C38" i="25"/>
  <c r="C142" i="25"/>
  <c r="D137" i="25"/>
  <c r="C77" i="25"/>
  <c r="D72" i="25"/>
  <c r="F129" i="25"/>
  <c r="C133" i="25"/>
  <c r="E6" i="26"/>
  <c r="G6" i="26"/>
  <c r="D111" i="25"/>
  <c r="C116" i="25"/>
  <c r="D98" i="25"/>
  <c r="C103" i="25"/>
  <c r="D20" i="25"/>
  <c r="C25" i="25"/>
  <c r="D85" i="25"/>
  <c r="C90" i="25"/>
  <c r="C17" i="20"/>
  <c r="D12" i="20"/>
  <c r="I26" i="18"/>
  <c r="E150" i="25" s="1"/>
  <c r="D150" i="25"/>
  <c r="D11" i="26"/>
  <c r="E11" i="26" s="1"/>
  <c r="C13" i="26"/>
  <c r="C19" i="26" s="1"/>
  <c r="C152" i="25"/>
  <c r="D7" i="25"/>
  <c r="C12" i="25"/>
  <c r="H27" i="19"/>
  <c r="I23" i="19"/>
  <c r="C51" i="25"/>
  <c r="D46" i="25"/>
  <c r="E7" i="26"/>
  <c r="E129" i="25"/>
  <c r="D133" i="25"/>
  <c r="E133" i="25" s="1"/>
  <c r="C64" i="25"/>
  <c r="D59" i="25"/>
  <c r="C22" i="26" l="1"/>
  <c r="G19" i="26"/>
  <c r="C120" i="25"/>
  <c r="D116" i="25"/>
  <c r="E111" i="25"/>
  <c r="E46" i="25"/>
  <c r="D51" i="25"/>
  <c r="D17" i="20"/>
  <c r="E152" i="25" s="1"/>
  <c r="D13" i="26"/>
  <c r="E13" i="26" s="1"/>
  <c r="D152" i="25"/>
  <c r="C55" i="25"/>
  <c r="F51" i="25"/>
  <c r="C94" i="25"/>
  <c r="F133" i="25"/>
  <c r="E85" i="25"/>
  <c r="D90" i="25"/>
  <c r="D151" i="25"/>
  <c r="I27" i="19"/>
  <c r="E151" i="25" s="1"/>
  <c r="D12" i="26"/>
  <c r="E12" i="26" s="1"/>
  <c r="C29" i="25"/>
  <c r="F25" i="25"/>
  <c r="D77" i="25"/>
  <c r="E72" i="25"/>
  <c r="C16" i="25"/>
  <c r="D25" i="25"/>
  <c r="E20" i="25"/>
  <c r="C81" i="25"/>
  <c r="E7" i="25"/>
  <c r="D12" i="25"/>
  <c r="C107" i="25"/>
  <c r="E137" i="25"/>
  <c r="D142" i="25"/>
  <c r="D103" i="25"/>
  <c r="E98" i="25"/>
  <c r="C146" i="25"/>
  <c r="D64" i="25"/>
  <c r="E59" i="25"/>
  <c r="C42" i="25"/>
  <c r="C68" i="25"/>
  <c r="F64" i="25"/>
  <c r="D38" i="25"/>
  <c r="E33" i="25"/>
  <c r="D107" i="25" l="1"/>
  <c r="E107" i="25" s="1"/>
  <c r="E103" i="25"/>
  <c r="C158" i="25"/>
  <c r="F16" i="25"/>
  <c r="D146" i="25"/>
  <c r="E146" i="25" s="1"/>
  <c r="E142" i="25"/>
  <c r="D42" i="25"/>
  <c r="E42" i="25" s="1"/>
  <c r="E38" i="25"/>
  <c r="E77" i="25"/>
  <c r="D81" i="25"/>
  <c r="E81" i="25" s="1"/>
  <c r="F55" i="25"/>
  <c r="F107" i="25"/>
  <c r="G22" i="26"/>
  <c r="F103" i="25"/>
  <c r="F38" i="25"/>
  <c r="D16" i="25"/>
  <c r="E12" i="25"/>
  <c r="F42" i="25"/>
  <c r="D55" i="25"/>
  <c r="E55" i="25" s="1"/>
  <c r="E51" i="25"/>
  <c r="F77" i="25"/>
  <c r="D68" i="25"/>
  <c r="E68" i="25" s="1"/>
  <c r="E64" i="25"/>
  <c r="D94" i="25"/>
  <c r="E94" i="25" s="1"/>
  <c r="E90" i="25"/>
  <c r="D19" i="26"/>
  <c r="F142" i="25"/>
  <c r="F146" i="25"/>
  <c r="D29" i="25"/>
  <c r="E29" i="25" s="1"/>
  <c r="E25" i="25"/>
  <c r="D120" i="25"/>
  <c r="E120" i="25" s="1"/>
  <c r="E116" i="25"/>
  <c r="F12" i="25"/>
  <c r="F90" i="25"/>
  <c r="F116" i="25"/>
  <c r="C26" i="1" l="1"/>
  <c r="E16" i="25"/>
  <c r="D158" i="25"/>
  <c r="E19" i="26"/>
  <c r="D22" i="26"/>
  <c r="F19" i="26"/>
  <c r="F29" i="25"/>
  <c r="F120" i="25"/>
  <c r="F81" i="25"/>
  <c r="F68" i="25"/>
  <c r="F94" i="25"/>
  <c r="E158" i="25" l="1"/>
  <c r="C28" i="1" s="1"/>
  <c r="C27" i="1"/>
  <c r="C30" i="1"/>
  <c r="F158" i="25"/>
  <c r="C29" i="1" s="1"/>
  <c r="E22" i="26"/>
  <c r="F22" i="26"/>
</calcChain>
</file>

<file path=xl/sharedStrings.xml><?xml version="1.0" encoding="utf-8"?>
<sst xmlns="http://schemas.openxmlformats.org/spreadsheetml/2006/main" count="1961" uniqueCount="405">
  <si>
    <t>WTC Digital Signage Upgrade — Project Overview</t>
  </si>
  <si>
    <t>Westfield | 2026-03-31 | ANC Proposal Engine</t>
  </si>
  <si>
    <t>PROJECT INFORMATION</t>
  </si>
  <si>
    <t>Client</t>
  </si>
  <si>
    <t>Westfield</t>
  </si>
  <si>
    <t>Project Name</t>
  </si>
  <si>
    <t>WTC Digital Signage Upgrade</t>
  </si>
  <si>
    <t>Location</t>
  </si>
  <si>
    <t>New York, NY</t>
  </si>
  <si>
    <t>Date Created</t>
  </si>
  <si>
    <t>2026-03-31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</si>
  <si>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</si>
  <si>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</si>
  <si>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</si>
  <si>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</si>
  <si>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</si>
  <si>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</si>
  <si>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</si>
  <si>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</si>
  <si>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</si>
  <si>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</si>
  <si>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15%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</si>
  <si>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</si>
  <si>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</si>
  <si>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</si>
  <si>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</si>
  <si>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</si>
  <si>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</si>
  <si>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</si>
  <si>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</si>
  <si>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</si>
  <si>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</si>
  <si>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</si>
  <si>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</si>
  <si>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</si>
  <si>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</si>
  <si>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</si>
  <si>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WTC Digital Signage Upgrade — Margin Analysis</t>
  </si>
  <si>
    <t/>
  </si>
  <si>
    <t>Zone / Category</t>
  </si>
  <si>
    <t>Cost</t>
  </si>
  <si>
    <t>Selling Price</t>
  </si>
  <si>
    <t>Margin $</t>
  </si>
  <si>
    <t>Margin %</t>
  </si>
  <si>
    <t>Underpass 1 — 9A Underpass 1-4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</si>
  <si>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</si>
  <si>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</si>
  <si>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</si>
  <si>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</si>
  <si>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</si>
  <si>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</si>
  <si>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</si>
  <si>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</si>
  <si>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</si>
  <si>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</si>
  <si>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</si>
  <si>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Underpass 2 — 9A Underpass 1-4</t>
  </si>
  <si>
    <t>Underpass 3 — 9A Underpass 1-4</t>
  </si>
  <si>
    <t>Underpass 4 — 9A Underpass 1-4</t>
  </si>
  <si>
    <t>Concourse — Concourse</t>
  </si>
  <si>
    <t>T4-B1 (6-9) — T4-B1</t>
  </si>
  <si>
    <t>T4-B2 (10-18) — T4-B2</t>
  </si>
  <si>
    <t>T4 Lobby Elevator — T4 Lobby Elevator</t>
  </si>
  <si>
    <t>T2-B1M Screen 20 — T2-B1M</t>
  </si>
  <si>
    <t>T2-B1M Screen 21 — T2-B1M</t>
  </si>
  <si>
    <t>T2-B1M Screen 22 — T2-B1M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</si>
  <si>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</si>
  <si>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</si>
  <si>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</si>
  <si>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</si>
  <si>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</si>
  <si>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</si>
  <si>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</si>
  <si>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</si>
  <si>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</si>
  <si>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WTC Digital Signage Upgrade — Budget Summary</t>
  </si>
  <si>
    <t>Westfield | 2026-03-31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</si>
  <si>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</si>
  <si>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</si>
  <si>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</si>
  <si>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</si>
  <si>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</si>
  <si>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</si>
  <si>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</si>
  <si>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</si>
  <si>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</si>
  <si>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</si>
  <si>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</si>
  <si>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</si>
  <si>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WTC Digital Signage Upgrade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</si>
  <si>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</si>
  <si>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</si>
  <si>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</si>
  <si>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</si>
  <si>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</si>
  <si>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</si>
  <si>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</si>
  <si>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</si>
  <si>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</si>
  <si>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</si>
  <si>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</si>
  <si>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</si>
  <si>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</si>
  <si>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</si>
  <si>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</si>
  <si>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</si>
  <si>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</si>
  <si>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</si>
  <si>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</si>
  <si>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</si>
  <si>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</si>
  <si>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</si>
  <si>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</si>
  <si>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</si>
  <si>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LG/Yaham</t>
  </si>
  <si>
    <t>C2.5-MIP 2.5mm Indoor (Alt)</t>
  </si>
  <si>
    <t>2.5mm</t>
  </si>
  <si>
    <t>front</t>
  </si>
  <si>
    <t>TOTAL (11 displays)</t>
  </si>
  <si>
    <t>WTC Digital Signage Upgrade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</si>
  <si>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</si>
  <si>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</si>
  <si>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</si>
  <si>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</si>
  <si>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</si>
  <si>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</si>
  <si>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</si>
  <si>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</si>
  <si>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</si>
  <si>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</si>
  <si>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</si>
  <si>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Project Name: WTC Digital Signage Upgrade</t>
  </si>
  <si>
    <t>Revised By: ANC Proposal Engine</t>
  </si>
  <si>
    <t>Linked Margin Assignment</t>
  </si>
  <si>
    <t>Install Margin</t>
  </si>
  <si>
    <t>Electrical Margin</t>
  </si>
  <si>
    <t>Engineering and Permits</t>
  </si>
  <si>
    <t>Underpass 1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</si>
  <si>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</si>
  <si>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</si>
  <si>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</si>
  <si>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</si>
  <si>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</si>
  <si>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</si>
  <si>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</si>
  <si>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</si>
  <si>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</si>
  <si>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</si>
  <si>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</si>
  <si>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</si>
  <si>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</si>
  <si>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</si>
  <si>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</si>
  <si>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</si>
  <si>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</si>
  <si>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</si>
  <si>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</si>
  <si>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</si>
  <si>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</si>
  <si>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</si>
  <si>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</si>
  <si>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</si>
  <si>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</si>
  <si>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</si>
  <si>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</si>
  <si>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</si>
  <si>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</si>
  <si>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</si>
  <si>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</si>
  <si>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</si>
  <si>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</si>
  <si>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</si>
  <si>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</si>
  <si>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</si>
  <si>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Underpass 2</t>
  </si>
  <si>
    <t>Underpass 3</t>
  </si>
  <si>
    <t>Underpass 4</t>
  </si>
  <si>
    <t>Concourse</t>
  </si>
  <si>
    <t>T4-B1 (6-9)</t>
  </si>
  <si>
    <t>T4-B2 (10-18)</t>
  </si>
  <si>
    <t>T4 Lobby Elevator</t>
  </si>
  <si>
    <t>T2-B1M Screen 20</t>
  </si>
  <si>
    <t>T2-B1M Screen 21</t>
  </si>
  <si>
    <t>T2-B1M Screen 22</t>
  </si>
  <si>
    <t>WTC Digital Signage Upgrade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</si>
  <si>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</si>
  <si>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</si>
  <si>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</si>
  <si>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</si>
  <si>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</si>
  <si>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</si>
  <si>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</si>
  <si>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</si>
  <si>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</si>
  <si>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</si>
  <si>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</si>
  <si>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</si>
  <si>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</si>
  <si>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</si>
  <si>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</si>
  <si>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</si>
  <si>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WTC Digital Signage Upgrade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</si>
  <si>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</si>
  <si>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</si>
  <si>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</si>
  <si>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</si>
  <si>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</si>
  <si>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</si>
  <si>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</si>
  <si>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</si>
  <si>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EQUIPMENT GRAND TOTAL</t>
  </si>
  <si>
    <t>WTC Digital Signage Upgrade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</si>
  <si>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</si>
  <si>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</si>
  <si>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</si>
  <si>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</si>
  <si>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</si>
  <si>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</si>
  <si>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</si>
  <si>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</si>
  <si>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</si>
  <si>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</si>
  <si>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</si>
  <si>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</si>
  <si>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</si>
  <si>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WTC Digital Signage Upgrade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</si>
  <si>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</si>
  <si>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</si>
  <si>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</si>
  <si>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</si>
  <si>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</si>
  <si>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</si>
  <si>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</si>
  <si>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</si>
  <si>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</si>
  <si>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</si>
  <si>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</si>
  <si>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</si>
  <si>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</si>
  <si>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</si>
  <si>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</si>
  <si>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</si>
  <si>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</si>
  <si>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</si>
  <si>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WTC Digital Signage Upgrade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</si>
  <si>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</si>
  <si>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</si>
  <si>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</si>
  <si>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</si>
  <si>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</si>
  <si>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</si>
  <si>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</si>
  <si>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</si>
  <si>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</si>
  <si>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</si>
  <si>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</si>
  <si>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</si>
  <si>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</si>
  <si>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</si>
  <si>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WTC Digital Signage Upgrade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</si>
  <si>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</si>
  <si>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</si>
  <si>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</si>
  <si>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</si>
  <si>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</si>
  <si>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</si>
  <si>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</si>
  <si>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</si>
  <si>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</si>
  <si>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</si>
  <si>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</si>
  <si>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</si>
  <si>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WTC Digital Signage Upgrade — Additional Non-LED Items</t>
  </si>
  <si>
    <t>GAME CLOCK</t>
  </si>
  <si>
    <t>Six-Digit Game Clocks</t>
  </si>
  <si>
    <t>PITCH CLOCK</t>
  </si>
  <si>
    <t>OES / MIS</t>
  </si>
  <si>
    <t>ADDITIONAL ITEMS TOTAL</t>
  </si>
  <si>
    <t>Project: WTC Digital Signage Upgrade</t>
  </si>
  <si>
    <t>Date: 3/31/2026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</si>
  <si>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</si>
  <si>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</si>
  <si>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</si>
  <si>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</si>
  <si>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</si>
  <si>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</si>
  <si>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</si>
  <si>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</si>
  <si>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</si>
  <si>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</si>
  <si>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</si>
  <si>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</si>
  <si>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</si>
  <si>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</si>
  <si>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</si>
  <si>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</si>
  <si>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</si>
  <si>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</si>
  <si>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</si>
  <si>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</si>
  <si>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</si>
  <si>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</si>
  <si>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</si>
  <si>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</si>
  <si>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</si>
  <si>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</si>
  <si>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</si>
  <si>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</si>
  <si>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</si>
  <si>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</si>
  <si>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</si>
  <si>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</si>
  <si>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</si>
  <si>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</si>
  <si>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</si>
  <si>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</si>
  <si>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</si>
  <si>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</si>
  <si>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</si>
  <si>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</si>
  <si>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</si>
  <si>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</si>
  <si>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</si>
  <si>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</si>
  <si>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</si>
  <si>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</si>
  <si>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</si>
  <si>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</si>
  <si>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</si>
  <si>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</si>
  <si>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</si>
  <si>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WTC Digital Signage Upgrade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</si>
  <si>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</si>
  <si>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</si>
  <si>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</si>
  <si>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</si>
  <si>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</si>
  <si>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</si>
  <si>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</si>
  <si>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</si>
  <si>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</si>
  <si>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</si>
  <si>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</si>
  <si>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</si>
  <si>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</si>
  <si>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</si>
  <si>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</si>
  <si>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</si>
  <si>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</si>
  <si>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</si>
  <si>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</si>
  <si>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</si>
  <si>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</si>
  <si>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</si>
  <si>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</si>
  <si>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</si>
  <si>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</si>
  <si>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</si>
  <si>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WTC Digital Signage Upgrade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</si>
  <si>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</si>
  <si>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</si>
  <si>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</si>
  <si>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</si>
  <si>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</si>
  <si>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</si>
  <si>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</si>
  <si>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</si>
  <si>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</si>
  <si>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</si>
  <si>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</si>
  <si>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</si>
  <si>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</si>
  <si>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</si>
  <si>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</si>
  <si>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</si>
  <si>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</si>
  <si>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</si>
  <si>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</si>
  <si>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</si>
  <si>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</si>
  <si>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</si>
  <si>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</si>
  <si>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</si>
  <si>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</si>
  <si>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</si>
  <si>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</si>
  <si>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</si>
  <si>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WTC Digital Signage Upgrade — Purchase Orders</t>
  </si>
  <si>
    <t>PO Number</t>
  </si>
  <si>
    <t>Title / Description</t>
  </si>
  <si>
    <t>Original Contract Amount</t>
  </si>
  <si>
    <t>WTC Digital Signage Upgrade — Cost Alternates (Reference Only)</t>
  </si>
  <si>
    <t>These alternates are NOT included in the base bid budget. Shown for reference only.</t>
  </si>
  <si>
    <t>Alt ID</t>
  </si>
  <si>
    <t>Pitch (mm)</t>
  </si>
  <si>
    <t>Env</t>
  </si>
  <si>
    <t>Est. Cost</t>
  </si>
  <si>
    <t>Option 1</t>
  </si>
  <si>
    <t>New Path Hall Option 1</t>
  </si>
  <si>
    <t>Path Hall</t>
  </si>
  <si>
    <t>14' x 48' display for Path Hall</t>
  </si>
  <si>
    <t>Option 2</t>
  </si>
  <si>
    <t>New Path Hall Option 2</t>
  </si>
  <si>
    <t>13' x 65' display for Path Hall</t>
  </si>
  <si>
    <t>NOTE: These alternates are optional add-ons or substitute configurations. They are NOT included in the base bid budget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</si>
</sst>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0.0"/>
  </numFmts>
  <fonts count="2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666666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name val="Calibri"/>
    </font>
    <font>
      <b/>
      <sz val="12"/>
      <name val="Calibri"/>
    </font>
    <font>
      <b/>
      <sz val="10"/>
      <color rgb="FF1F2937"/>
      <name val="Calibri"/>
    </font>
    <font>
      <i/>
      <sz val="9"/>
      <color rgb="FF999999"/>
      <name val="Calibri"/>
    </font>
    <font>
      <i/>
      <sz val="10"/>
      <color rgb="FFCC0000"/>
      <name val="Calibri"/>
    </font>
    <font>
      <b/>
      <sz val="11"/>
      <color rgb="FFFFFFFF"/>
      <name val="Calibri"/>
    </font>
    <font>
      <i/>
      <sz val="10"/>
      <color rgb="FFDEE2E6"/>
      <name val="Calibri"/>
    </font>
    <font>
      <b/>
      <sz val="14"/>
      <name val="Calibri"/>
    </font>
    <font>
      <sz val="11"/>
      <color rgb="FF666666"/>
      <name val="Calibri"/>
    </font>
    <font>
      <b/>
      <sz val="11"/>
      <color rgb="FF666666"/>
      <name val="Calibri"/>
    </font>
    <font>
      <b/>
      <sz val="9"/>
      <name val="Calibri"/>
    </font>
    <font>
      <i/>
      <sz val="10"/>
      <color rgb="FF66666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  <fill>
      <patternFill patternType="solid">
        <fgColor rgb="FFFFC107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4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4" fontId="0" fillId="0" borderId="0" xfId="0" applyNumberFormat="1"/>
    <xf numFmtId="165" fontId="0" fillId="5" borderId="2" xfId="0" applyNumberFormat="1" applyFill="1" applyBorder="1"/>
    <xf numFmtId="0" fontId="7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5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4" fontId="6" fillId="2" borderId="4" xfId="0" applyNumberFormat="1" applyFont="1" applyFill="1" applyBorder="1"/>
    <xf numFmtId="165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7" fillId="7" borderId="4" xfId="0" applyFont="1" applyFill="1" applyBorder="1"/>
    <xf numFmtId="164" fontId="7" fillId="7" borderId="4" xfId="0" applyNumberFormat="1" applyFont="1" applyFill="1" applyBorder="1"/>
    <xf numFmtId="165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5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0" fontId="0" fillId="3" borderId="0" xfId="0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164" fontId="8" fillId="3" borderId="0" xfId="0" applyNumberFormat="1" applyFont="1" applyFill="1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164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4" fontId="7" fillId="9" borderId="4" xfId="0" applyNumberFormat="1" applyFont="1" applyFill="1" applyBorder="1"/>
    <xf numFmtId="165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6" fontId="0" fillId="3" borderId="0" xfId="0" applyNumberFormat="1" applyFill="1"/>
    <xf numFmtId="166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4" fontId="0" fillId="3" borderId="2" xfId="0" applyNumberFormat="1" applyFill="1" applyBorder="1"/>
    <xf numFmtId="164" fontId="0" fillId="5" borderId="2" xfId="0" applyNumberFormat="1" applyFill="1" applyBorder="1"/>
    <xf numFmtId="0" fontId="8" fillId="0" borderId="6" xfId="0" applyFont="1" applyBorder="1"/>
    <xf numFmtId="164" fontId="8" fillId="0" borderId="6" xfId="0" applyNumberFormat="1" applyFont="1" applyBorder="1"/>
    <xf numFmtId="165" fontId="0" fillId="3" borderId="2" xfId="0" applyNumberFormat="1" applyFill="1" applyBorder="1"/>
    <xf numFmtId="164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4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3" fillId="10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/>
    <xf numFmtId="0" fontId="0" fillId="5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937"/>
  </sheetPr>
  <dimension ref="A1:C30"/>
  <sheetViews>
    <sheetView workbookViewId="0">
      <selection sqref="A1:C1"/>
    </sheetView>
  </sheetViews>
  <sheetFormatPr defaultRowHeight="14.5" x14ac:dyDescent="0.35"/>
  <cols>
    <col min="1" max="1" width="4" customWidth="1"/>
    <col min="2" max="2" width="36" customWidth="1"/>
    <col min="3" max="3" width="30" customWidth="1"/>
  </cols>
  <sheetData>
    <row r="1" spans="1:3" ht="24" customHeight="1" x14ac:dyDescent="0.35">
      <c r="A1" s="88" t="s">
        <v>0</v>
      </c>
      <c r="B1" s="88"/>
      <c r="C1" s="88"/>
    </row>
    <row r="2" spans="1:3" x14ac:dyDescent="0.35">
      <c r="A2" s="89" t="s">
        <v>1</v>
      </c>
      <c r="B2" s="89"/>
      <c r="C2" s="89"/>
    </row>
    <row r="4" spans="1:3" x14ac:dyDescent="0.35">
      <c r="B4" s="1" t="s">
        <v>2</v>
      </c>
      <c r="C4" s="1"/>
    </row>
    <row r="5" spans="1:3" x14ac:dyDescent="0.35">
      <c r="B5" s="2" t="s">
        <v>3</v>
      </c>
      <c r="C5" s="3" t="s">
        <v>4</v>
      </c>
    </row>
    <row r="6" spans="1:3" x14ac:dyDescent="0.35">
      <c r="B6" s="4" t="s">
        <v>5</v>
      </c>
      <c r="C6" s="5" t="s">
        <v>6</v>
      </c>
    </row>
    <row r="7" spans="1:3" x14ac:dyDescent="0.35">
      <c r="B7" s="2" t="s">
        <v>7</v>
      </c>
      <c r="C7" s="3" t="s">
        <v>8</v>
      </c>
    </row>
    <row r="8" spans="1:3" x14ac:dyDescent="0.35">
      <c r="B8" s="4" t="s">
        <v>9</v>
      </c>
      <c r="C8" s="5" t="s">
        <v>10</v>
      </c>
    </row>
    <row r="9" spans="1:3" x14ac:dyDescent="0.35">
      <c r="B9" s="2" t="s">
        <v>11</v>
      </c>
      <c r="C9" s="3" t="s">
        <v>12</v>
      </c>
    </row>
    <row r="10" spans="1:3" x14ac:dyDescent="0.35">
      <c r="B10" s="4" t="s">
        <v>13</v>
      </c>
      <c r="C10" s="5" t="s">
        <v>14</v>
      </c>
    </row>
    <row r="11" spans="1:3" x14ac:dyDescent="0.35">
      <c r="B11" s="2" t="s">
        <v>15</v>
      </c>
      <c r="C11" s="3" t="s">
        <v>16</v>
      </c>
    </row>
    <row r="12" spans="1:3" x14ac:dyDescent="0.35">
      <c r="B12" s="4" t="s">
        <v>17</v>
      </c>
      <c r="C12" s="5" t="s">
        <v>16</v>
      </c>
    </row>
    <row r="13" spans="1:3" x14ac:dyDescent="0.35">
      <c r="B13" s="2" t="s">
        <v>18</v>
      </c>
      <c r="C13" s="3">
        <f>SUM('LED Cost Sheet'!I4:I14)</f>
        <v>447.24000000000007</v>
      </c>
    </row>
    <row r="15" spans="1:3" x14ac:dyDescent="0.35">
      <c r="B15" s="1" t="s">
        <v>19</v>
      </c>
      <c r="C15" s="1"/>
    </row>
    <row r="16" spans="1:3" x14ac:dyDescent="0.35">
      <c r="B16" s="4" t="s">
        <v>20</v>
      </c>
      <c r="C16" s="5" t="s">
        <v>21</v>
      </c>
    </row>
    <row r="17" spans="2:3" x14ac:dyDescent="0.35">
      <c r="B17" s="2" t="s">
        <v>22</v>
      </c>
      <c r="C17" s="3" t="s">
        <v>21</v>
      </c>
    </row>
    <row r="18" spans="2:3" x14ac:dyDescent="0.35">
      <c r="B18" s="4" t="s">
        <v>23</v>
      </c>
      <c r="C18" s="5" t="s">
        <v>21</v>
      </c>
    </row>
    <row r="19" spans="2:3" x14ac:dyDescent="0.35">
      <c r="B19" s="2" t="s">
        <v>24</v>
      </c>
      <c r="C19" s="3" t="s">
        <v>21</v>
      </c>
    </row>
    <row r="20" spans="2:3" x14ac:dyDescent="0.35">
      <c r="B20" s="4" t="s">
        <v>25</v>
      </c>
      <c r="C20" s="5" t="s">
        <v>21</v>
      </c>
    </row>
    <row r="21" spans="2:3" x14ac:dyDescent="0.35">
      <c r="B21" s="2" t="s">
        <v>26</v>
      </c>
      <c r="C21" s="3" t="s">
        <v>27</v>
      </c>
    </row>
    <row r="22" spans="2:3" x14ac:dyDescent="0.35">
      <c r="B22" s="4" t="s">
        <v>28</v>
      </c>
      <c r="C22" s="5" t="s">
        <v>29</v>
      </c>
    </row>
    <row r="23" spans="2:3" x14ac:dyDescent="0.35">
      <c r="B23" s="2" t="s">
        <v>30</v>
      </c>
      <c r="C23" s="3" t="s">
        <v>29</v>
      </c>
    </row>
    <row r="25" spans="2:3" x14ac:dyDescent="0.35">
      <c r="B25" s="1" t="s">
        <v>31</v>
      </c>
      <c r="C25" s="1"/>
    </row>
    <row r="26" spans="2:3" x14ac:dyDescent="0.35">
      <c r="B26" s="2" t="s">
        <v>32</v>
      </c>
      <c r="C26" s="6">
        <f>'Margin Analysis'!C158</f>
        <v>2829644.1199999996</v>
      </c>
    </row>
    <row r="27" spans="2:3" x14ac:dyDescent="0.35">
      <c r="B27" s="2" t="s">
        <v>33</v>
      </c>
      <c r="C27" s="6">
        <f>'Margin Analysis'!D158</f>
        <v>4636569.1852941168</v>
      </c>
    </row>
    <row r="28" spans="2:3" x14ac:dyDescent="0.35">
      <c r="B28" s="2" t="s">
        <v>34</v>
      </c>
      <c r="C28" s="6">
        <f>'Margin Analysis'!E158</f>
        <v>1806925.0652941172</v>
      </c>
    </row>
    <row r="29" spans="2:3" x14ac:dyDescent="0.35">
      <c r="B29" s="2" t="s">
        <v>35</v>
      </c>
      <c r="C29" s="7">
        <f>'Margin Analysis'!F158</f>
        <v>0.38971165814265674</v>
      </c>
    </row>
    <row r="30" spans="2:3" ht="15.5" x14ac:dyDescent="0.35">
      <c r="B30" s="8" t="s">
        <v>36</v>
      </c>
      <c r="C30" s="9">
        <f>'Margin Analysis'!D158</f>
        <v>4636569.1852941168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A52EF"/>
  </sheetPr>
  <dimension ref="A1:G158"/>
  <sheetViews>
    <sheetView workbookViewId="0"/>
  </sheetViews>
  <sheetFormatPr defaultRowHeight="14.5" outlineLevelRow="1" x14ac:dyDescent="0.3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spans="1:7" ht="24" customHeight="1" x14ac:dyDescent="0.35">
      <c r="A1" s="88" t="s">
        <v>37</v>
      </c>
      <c r="B1" s="88"/>
      <c r="C1" s="88"/>
      <c r="D1" s="88"/>
      <c r="E1" s="88"/>
      <c r="F1" s="88"/>
    </row>
    <row r="2" spans="1:7" x14ac:dyDescent="0.35">
      <c r="A2" s="89" t="s">
        <v>1</v>
      </c>
      <c r="B2" s="89"/>
      <c r="C2" s="89"/>
      <c r="D2" s="89"/>
      <c r="E2" s="89"/>
      <c r="F2" s="89"/>
    </row>
    <row r="4" spans="1:7" ht="18.649999999999999" customHeight="1" x14ac:dyDescent="0.35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</row>
    <row r="5" spans="1:7" s="10" customFormat="1" x14ac:dyDescent="0.35">
      <c r="B5" s="10" t="s">
        <v>44</v>
      </c>
      <c r="D5" s="11" t="s">
        <v>41</v>
      </c>
    </row>
    <row r="6" spans="1:7" outlineLevel="1" collapsed="1" x14ac:dyDescent="0.35">
      <c r="B6" s="12" t="s">
        <v>45</v>
      </c>
      <c r="C6" s="13">
        <f>'LED Cost Sheet'!T4</f>
        <v>34909.51</v>
      </c>
      <c r="D6" s="13">
        <f>'LED Cost Sheet'!V4</f>
        <v>92766.89</v>
      </c>
      <c r="E6" s="13">
        <f t="shared" ref="E6:E12" si="0">IFERROR(D6-C6,0)</f>
        <v>57857.38</v>
      </c>
      <c r="F6" s="14">
        <v>0.15</v>
      </c>
    </row>
    <row r="7" spans="1:7" outlineLevel="1" collapsed="1" x14ac:dyDescent="0.35">
      <c r="B7" s="12" t="s">
        <v>46</v>
      </c>
      <c r="C7" s="13">
        <f>'Underpass 1 - Install'!I26</f>
        <v>2088.75</v>
      </c>
      <c r="D7" s="13">
        <f>IFERROR(C7/(1-F7),0)</f>
        <v>2457.3529411764707</v>
      </c>
      <c r="E7" s="13">
        <f t="shared" si="0"/>
        <v>368.60294117647072</v>
      </c>
      <c r="F7" s="14">
        <v>0.15</v>
      </c>
    </row>
    <row r="8" spans="1:7" outlineLevel="1" collapsed="1" x14ac:dyDescent="0.35">
      <c r="B8" s="12" t="s">
        <v>47</v>
      </c>
      <c r="C8" s="13">
        <f>'Underpass 1 - Install'!I35-'Underpass 1 - Install'!I34</f>
        <v>8703.1299999999974</v>
      </c>
      <c r="D8" s="13">
        <f>IFERROR(C8/(1-F8),0)</f>
        <v>10238.976470588232</v>
      </c>
      <c r="E8" s="13">
        <f t="shared" si="0"/>
        <v>1535.8464705882343</v>
      </c>
      <c r="F8" s="14">
        <v>0.15</v>
      </c>
    </row>
    <row r="9" spans="1:7" outlineLevel="1" collapsed="1" x14ac:dyDescent="0.35">
      <c r="B9" s="12" t="s">
        <v>48</v>
      </c>
      <c r="C9" s="13">
        <f>'Underpass 1 - Install'!I44</f>
        <v>8703.1299999999992</v>
      </c>
      <c r="D9" s="13">
        <f>IFERROR(C9/(1-F9),0)</f>
        <v>10238.976470588235</v>
      </c>
      <c r="E9" s="13">
        <f t="shared" si="0"/>
        <v>1535.8464705882361</v>
      </c>
      <c r="F9" s="14">
        <v>0.15</v>
      </c>
    </row>
    <row r="10" spans="1:7" outlineLevel="1" collapsed="1" x14ac:dyDescent="0.35">
      <c r="B10" s="12" t="s">
        <v>49</v>
      </c>
      <c r="C10" s="13">
        <f>'Underpass 1 - Install'!I34</f>
        <v>20882.349999999999</v>
      </c>
      <c r="D10" s="13">
        <f>IFERROR(C10/(1-F10),0)</f>
        <v>24567.470588235294</v>
      </c>
      <c r="E10" s="13">
        <f t="shared" si="0"/>
        <v>3685.1205882352951</v>
      </c>
      <c r="F10" s="14">
        <v>0.15</v>
      </c>
    </row>
    <row r="11" spans="1:7" outlineLevel="1" collapsed="1" x14ac:dyDescent="0.35">
      <c r="B11" s="12" t="s">
        <v>50</v>
      </c>
      <c r="C11" s="13">
        <f>'Underpass 1 - Install'!I52</f>
        <v>4705.88</v>
      </c>
      <c r="D11" s="13">
        <f>IFERROR(C11/(1-F11),0)</f>
        <v>5536.3294117647065</v>
      </c>
      <c r="E11" s="13">
        <f t="shared" si="0"/>
        <v>830.44941176470638</v>
      </c>
      <c r="F11" s="14">
        <v>0.15</v>
      </c>
    </row>
    <row r="12" spans="1:7" outlineLevel="1" collapsed="1" x14ac:dyDescent="0.35">
      <c r="B12" s="2" t="s">
        <v>51</v>
      </c>
      <c r="C12" s="15">
        <f>SUM(C6:C11)</f>
        <v>79992.75</v>
      </c>
      <c r="D12" s="15">
        <f>SUM(D6:D11)</f>
        <v>145805.99588235296</v>
      </c>
      <c r="E12" s="15">
        <f t="shared" si="0"/>
        <v>65813.24588235296</v>
      </c>
      <c r="F12" s="16">
        <f>IFERROR(1-C12/D12,0)</f>
        <v>0.45137544230661097</v>
      </c>
    </row>
    <row r="13" spans="1:7" outlineLevel="1" collapsed="1" x14ac:dyDescent="0.35">
      <c r="B13" s="12" t="s">
        <v>52</v>
      </c>
      <c r="C13" s="17">
        <v>0</v>
      </c>
      <c r="D13" s="17">
        <v>0</v>
      </c>
      <c r="E13" s="17">
        <v>0</v>
      </c>
      <c r="G13" s="18">
        <v>0</v>
      </c>
    </row>
    <row r="14" spans="1:7" outlineLevel="1" collapsed="1" x14ac:dyDescent="0.35">
      <c r="B14" s="12" t="s">
        <v>53</v>
      </c>
      <c r="C14" s="17">
        <v>0</v>
      </c>
      <c r="D14" s="17">
        <v>0</v>
      </c>
      <c r="E14" s="17">
        <v>0</v>
      </c>
      <c r="G14" s="18">
        <v>0</v>
      </c>
    </row>
    <row r="15" spans="1:7" outlineLevel="1" collapsed="1" x14ac:dyDescent="0.35">
      <c r="B15" s="12" t="s">
        <v>54</v>
      </c>
      <c r="C15" s="17">
        <v>0</v>
      </c>
      <c r="D15" s="17">
        <v>0</v>
      </c>
      <c r="E15" s="17">
        <v>0</v>
      </c>
      <c r="G15" s="18">
        <v>0</v>
      </c>
    </row>
    <row r="16" spans="1:7" x14ac:dyDescent="0.35">
      <c r="B16" s="19" t="s">
        <v>55</v>
      </c>
      <c r="C16" s="20">
        <f>C12+C13+C14+C15</f>
        <v>79992.75</v>
      </c>
      <c r="D16" s="20">
        <f>D12+D13+D14+D15</f>
        <v>145805.99588235296</v>
      </c>
      <c r="E16" s="20">
        <f>IFERROR(D16-C16,0)</f>
        <v>65813.24588235296</v>
      </c>
      <c r="F16" s="21">
        <f>IFERROR(1-C16/D16,0)</f>
        <v>0.45137544230661097</v>
      </c>
    </row>
    <row r="18" spans="2:7" s="10" customFormat="1" x14ac:dyDescent="0.35">
      <c r="B18" s="10" t="s">
        <v>56</v>
      </c>
      <c r="D18" s="11" t="s">
        <v>41</v>
      </c>
    </row>
    <row r="19" spans="2:7" outlineLevel="1" collapsed="1" x14ac:dyDescent="0.35">
      <c r="B19" s="12" t="s">
        <v>45</v>
      </c>
      <c r="C19" s="13">
        <f>'LED Cost Sheet'!T5</f>
        <v>68046.11</v>
      </c>
      <c r="D19" s="13">
        <f>'LED Cost Sheet'!V5</f>
        <v>152572.17000000001</v>
      </c>
      <c r="E19" s="13">
        <f t="shared" ref="E19:E25" si="1">IFERROR(D19-C19,0)</f>
        <v>84526.060000000012</v>
      </c>
      <c r="F19" s="14">
        <v>0.15</v>
      </c>
    </row>
    <row r="20" spans="2:7" outlineLevel="1" collapsed="1" x14ac:dyDescent="0.35">
      <c r="B20" s="12" t="s">
        <v>46</v>
      </c>
      <c r="C20" s="13">
        <f>'Underpass 2 - Install'!I26</f>
        <v>4102.5</v>
      </c>
      <c r="D20" s="13">
        <f>IFERROR(C20/(1-F20),0)</f>
        <v>4826.4705882352946</v>
      </c>
      <c r="E20" s="13">
        <f t="shared" si="1"/>
        <v>723.9705882352946</v>
      </c>
      <c r="F20" s="14">
        <v>0.15</v>
      </c>
    </row>
    <row r="21" spans="2:7" outlineLevel="1" collapsed="1" x14ac:dyDescent="0.35">
      <c r="B21" s="12" t="s">
        <v>47</v>
      </c>
      <c r="C21" s="13">
        <f>'Underpass 2 - Install'!I35-'Underpass 2 - Install'!I34</f>
        <v>17093.75</v>
      </c>
      <c r="D21" s="13">
        <f>IFERROR(C21/(1-F21),0)</f>
        <v>20110.294117647059</v>
      </c>
      <c r="E21" s="13">
        <f t="shared" si="1"/>
        <v>3016.5441176470595</v>
      </c>
      <c r="F21" s="14">
        <v>0.15</v>
      </c>
    </row>
    <row r="22" spans="2:7" outlineLevel="1" collapsed="1" x14ac:dyDescent="0.35">
      <c r="B22" s="12" t="s">
        <v>48</v>
      </c>
      <c r="C22" s="13">
        <f>'Underpass 2 - Install'!I44</f>
        <v>17093.75</v>
      </c>
      <c r="D22" s="13">
        <f>IFERROR(C22/(1-F22),0)</f>
        <v>20110.294117647059</v>
      </c>
      <c r="E22" s="13">
        <f t="shared" si="1"/>
        <v>3016.5441176470595</v>
      </c>
      <c r="F22" s="14">
        <v>0.15</v>
      </c>
    </row>
    <row r="23" spans="2:7" outlineLevel="1" collapsed="1" x14ac:dyDescent="0.35">
      <c r="B23" s="12" t="s">
        <v>49</v>
      </c>
      <c r="C23" s="13">
        <f>'Underpass 2 - Install'!I34</f>
        <v>20882.349999999999</v>
      </c>
      <c r="D23" s="13">
        <f>IFERROR(C23/(1-F23),0)</f>
        <v>24567.470588235294</v>
      </c>
      <c r="E23" s="13">
        <f t="shared" si="1"/>
        <v>3685.1205882352951</v>
      </c>
      <c r="F23" s="14">
        <v>0.15</v>
      </c>
    </row>
    <row r="24" spans="2:7" outlineLevel="1" collapsed="1" x14ac:dyDescent="0.35">
      <c r="B24" s="12" t="s">
        <v>50</v>
      </c>
      <c r="C24" s="13">
        <f>'Underpass 2 - Install'!I52</f>
        <v>4705.88</v>
      </c>
      <c r="D24" s="13">
        <f>IFERROR(C24/(1-F24),0)</f>
        <v>5536.3294117647065</v>
      </c>
      <c r="E24" s="13">
        <f t="shared" si="1"/>
        <v>830.44941176470638</v>
      </c>
      <c r="F24" s="14">
        <v>0.15</v>
      </c>
    </row>
    <row r="25" spans="2:7" outlineLevel="1" collapsed="1" x14ac:dyDescent="0.35">
      <c r="B25" s="2" t="s">
        <v>51</v>
      </c>
      <c r="C25" s="15">
        <f>SUM(C19:C24)</f>
        <v>131924.34</v>
      </c>
      <c r="D25" s="15">
        <f>SUM(D19:D24)</f>
        <v>227723.02882352943</v>
      </c>
      <c r="E25" s="15">
        <f t="shared" si="1"/>
        <v>95798.688823529432</v>
      </c>
      <c r="F25" s="16">
        <f>IFERROR(1-C25/D25,0)</f>
        <v>0.42068072481930319</v>
      </c>
    </row>
    <row r="26" spans="2:7" outlineLevel="1" collapsed="1" x14ac:dyDescent="0.35">
      <c r="B26" s="12" t="s">
        <v>52</v>
      </c>
      <c r="C26" s="17">
        <v>0</v>
      </c>
      <c r="D26" s="17">
        <v>0</v>
      </c>
      <c r="E26" s="17">
        <v>0</v>
      </c>
      <c r="G26" s="18">
        <v>0</v>
      </c>
    </row>
    <row r="27" spans="2:7" outlineLevel="1" collapsed="1" x14ac:dyDescent="0.35">
      <c r="B27" s="12" t="s">
        <v>53</v>
      </c>
      <c r="C27" s="17">
        <v>0</v>
      </c>
      <c r="D27" s="17">
        <v>0</v>
      </c>
      <c r="E27" s="17">
        <v>0</v>
      </c>
      <c r="G27" s="18">
        <v>0</v>
      </c>
    </row>
    <row r="28" spans="2:7" outlineLevel="1" collapsed="1" x14ac:dyDescent="0.35">
      <c r="B28" s="12" t="s">
        <v>54</v>
      </c>
      <c r="C28" s="17">
        <v>0</v>
      </c>
      <c r="D28" s="17">
        <v>0</v>
      </c>
      <c r="E28" s="17">
        <v>0</v>
      </c>
      <c r="G28" s="18">
        <v>0</v>
      </c>
    </row>
    <row r="29" spans="2:7" x14ac:dyDescent="0.35">
      <c r="B29" s="19" t="s">
        <v>55</v>
      </c>
      <c r="C29" s="20">
        <f>C25+C26+C27+C28</f>
        <v>131924.34</v>
      </c>
      <c r="D29" s="20">
        <f>D25+D26+D27+D28</f>
        <v>227723.02882352943</v>
      </c>
      <c r="E29" s="20">
        <f>IFERROR(D29-C29,0)</f>
        <v>95798.688823529432</v>
      </c>
      <c r="F29" s="21">
        <f>IFERROR(1-C29/D29,0)</f>
        <v>0.42068072481930319</v>
      </c>
    </row>
    <row r="31" spans="2:7" s="10" customFormat="1" x14ac:dyDescent="0.35">
      <c r="B31" s="10" t="s">
        <v>57</v>
      </c>
      <c r="D31" s="11" t="s">
        <v>41</v>
      </c>
    </row>
    <row r="32" spans="2:7" outlineLevel="1" collapsed="1" x14ac:dyDescent="0.35">
      <c r="B32" s="12" t="s">
        <v>45</v>
      </c>
      <c r="C32" s="13">
        <f>'LED Cost Sheet'!T6</f>
        <v>68046.11</v>
      </c>
      <c r="D32" s="13">
        <f>'LED Cost Sheet'!V6</f>
        <v>152572.17000000001</v>
      </c>
      <c r="E32" s="13">
        <f t="shared" ref="E32:E38" si="2">IFERROR(D32-C32,0)</f>
        <v>84526.060000000012</v>
      </c>
      <c r="F32" s="14">
        <v>0.15</v>
      </c>
    </row>
    <row r="33" spans="2:7" outlineLevel="1" collapsed="1" x14ac:dyDescent="0.35">
      <c r="B33" s="12" t="s">
        <v>46</v>
      </c>
      <c r="C33" s="13">
        <f>'Underpass 3 - Install'!I26</f>
        <v>4102.5</v>
      </c>
      <c r="D33" s="13">
        <f>IFERROR(C33/(1-F33),0)</f>
        <v>4826.4705882352946</v>
      </c>
      <c r="E33" s="13">
        <f t="shared" si="2"/>
        <v>723.9705882352946</v>
      </c>
      <c r="F33" s="14">
        <v>0.15</v>
      </c>
    </row>
    <row r="34" spans="2:7" outlineLevel="1" collapsed="1" x14ac:dyDescent="0.35">
      <c r="B34" s="12" t="s">
        <v>47</v>
      </c>
      <c r="C34" s="13">
        <f>'Underpass 3 - Install'!I35-'Underpass 3 - Install'!I34</f>
        <v>17093.75</v>
      </c>
      <c r="D34" s="13">
        <f>IFERROR(C34/(1-F34),0)</f>
        <v>20110.294117647059</v>
      </c>
      <c r="E34" s="13">
        <f t="shared" si="2"/>
        <v>3016.5441176470595</v>
      </c>
      <c r="F34" s="14">
        <v>0.15</v>
      </c>
    </row>
    <row r="35" spans="2:7" outlineLevel="1" collapsed="1" x14ac:dyDescent="0.35">
      <c r="B35" s="12" t="s">
        <v>48</v>
      </c>
      <c r="C35" s="13">
        <f>'Underpass 3 - Install'!I44</f>
        <v>17093.75</v>
      </c>
      <c r="D35" s="13">
        <f>IFERROR(C35/(1-F35),0)</f>
        <v>20110.294117647059</v>
      </c>
      <c r="E35" s="13">
        <f t="shared" si="2"/>
        <v>3016.5441176470595</v>
      </c>
      <c r="F35" s="14">
        <v>0.15</v>
      </c>
    </row>
    <row r="36" spans="2:7" outlineLevel="1" collapsed="1" x14ac:dyDescent="0.35">
      <c r="B36" s="12" t="s">
        <v>49</v>
      </c>
      <c r="C36" s="13">
        <f>'Underpass 3 - Install'!I34</f>
        <v>20882.349999999999</v>
      </c>
      <c r="D36" s="13">
        <f>IFERROR(C36/(1-F36),0)</f>
        <v>24567.470588235294</v>
      </c>
      <c r="E36" s="13">
        <f t="shared" si="2"/>
        <v>3685.1205882352951</v>
      </c>
      <c r="F36" s="14">
        <v>0.15</v>
      </c>
    </row>
    <row r="37" spans="2:7" outlineLevel="1" collapsed="1" x14ac:dyDescent="0.35">
      <c r="B37" s="12" t="s">
        <v>50</v>
      </c>
      <c r="C37" s="13">
        <f>'Underpass 3 - Install'!I52</f>
        <v>4705.88</v>
      </c>
      <c r="D37" s="13">
        <f>IFERROR(C37/(1-F37),0)</f>
        <v>5536.3294117647065</v>
      </c>
      <c r="E37" s="13">
        <f t="shared" si="2"/>
        <v>830.44941176470638</v>
      </c>
      <c r="F37" s="14">
        <v>0.15</v>
      </c>
    </row>
    <row r="38" spans="2:7" outlineLevel="1" collapsed="1" x14ac:dyDescent="0.35">
      <c r="B38" s="2" t="s">
        <v>51</v>
      </c>
      <c r="C38" s="15">
        <f>SUM(C32:C37)</f>
        <v>131924.34</v>
      </c>
      <c r="D38" s="15">
        <f>SUM(D32:D37)</f>
        <v>227723.02882352943</v>
      </c>
      <c r="E38" s="15">
        <f t="shared" si="2"/>
        <v>95798.688823529432</v>
      </c>
      <c r="F38" s="16">
        <f>IFERROR(1-C38/D38,0)</f>
        <v>0.42068072481930319</v>
      </c>
    </row>
    <row r="39" spans="2:7" outlineLevel="1" collapsed="1" x14ac:dyDescent="0.35">
      <c r="B39" s="12" t="s">
        <v>52</v>
      </c>
      <c r="C39" s="17">
        <v>0</v>
      </c>
      <c r="D39" s="17">
        <v>0</v>
      </c>
      <c r="E39" s="17">
        <v>0</v>
      </c>
      <c r="G39" s="18">
        <v>0</v>
      </c>
    </row>
    <row r="40" spans="2:7" outlineLevel="1" collapsed="1" x14ac:dyDescent="0.35">
      <c r="B40" s="12" t="s">
        <v>53</v>
      </c>
      <c r="C40" s="17">
        <v>0</v>
      </c>
      <c r="D40" s="17">
        <v>0</v>
      </c>
      <c r="E40" s="17">
        <v>0</v>
      </c>
      <c r="G40" s="18">
        <v>0</v>
      </c>
    </row>
    <row r="41" spans="2:7" outlineLevel="1" collapsed="1" x14ac:dyDescent="0.35">
      <c r="B41" s="12" t="s">
        <v>54</v>
      </c>
      <c r="C41" s="17">
        <v>0</v>
      </c>
      <c r="D41" s="17">
        <v>0</v>
      </c>
      <c r="E41" s="17">
        <v>0</v>
      </c>
      <c r="G41" s="18">
        <v>0</v>
      </c>
    </row>
    <row r="42" spans="2:7" x14ac:dyDescent="0.35">
      <c r="B42" s="19" t="s">
        <v>55</v>
      </c>
      <c r="C42" s="20">
        <f>C38+C39+C40+C41</f>
        <v>131924.34</v>
      </c>
      <c r="D42" s="20">
        <f>D38+D39+D40+D41</f>
        <v>227723.02882352943</v>
      </c>
      <c r="E42" s="20">
        <f>IFERROR(D42-C42,0)</f>
        <v>95798.688823529432</v>
      </c>
      <c r="F42" s="21">
        <f>IFERROR(1-C42/D42,0)</f>
        <v>0.42068072481930319</v>
      </c>
    </row>
    <row r="44" spans="2:7" s="10" customFormat="1" x14ac:dyDescent="0.35">
      <c r="B44" s="10" t="s">
        <v>58</v>
      </c>
      <c r="D44" s="11" t="s">
        <v>41</v>
      </c>
    </row>
    <row r="45" spans="2:7" outlineLevel="1" collapsed="1" x14ac:dyDescent="0.35">
      <c r="B45" s="12" t="s">
        <v>45</v>
      </c>
      <c r="C45" s="13">
        <f>'LED Cost Sheet'!T7</f>
        <v>134265.29999999999</v>
      </c>
      <c r="D45" s="13">
        <f>'LED Cost Sheet'!V7</f>
        <v>259474.86</v>
      </c>
      <c r="E45" s="13">
        <f t="shared" ref="E45:E51" si="3">IFERROR(D45-C45,0)</f>
        <v>125209.56</v>
      </c>
      <c r="F45" s="14">
        <v>0.15</v>
      </c>
    </row>
    <row r="46" spans="2:7" outlineLevel="1" collapsed="1" x14ac:dyDescent="0.35">
      <c r="B46" s="12" t="s">
        <v>46</v>
      </c>
      <c r="C46" s="13">
        <f>'Underpass 4 - Install'!I26</f>
        <v>6907.5</v>
      </c>
      <c r="D46" s="13">
        <f>IFERROR(C46/(1-F46),0)</f>
        <v>8126.4705882352946</v>
      </c>
      <c r="E46" s="13">
        <f t="shared" si="3"/>
        <v>1218.9705882352946</v>
      </c>
      <c r="F46" s="14">
        <v>0.15</v>
      </c>
    </row>
    <row r="47" spans="2:7" outlineLevel="1" collapsed="1" x14ac:dyDescent="0.35">
      <c r="B47" s="12" t="s">
        <v>47</v>
      </c>
      <c r="C47" s="13">
        <f>'Underpass 4 - Install'!I35-'Underpass 4 - Install'!I34</f>
        <v>28781.25</v>
      </c>
      <c r="D47" s="13">
        <f>IFERROR(C47/(1-F47),0)</f>
        <v>33860.294117647063</v>
      </c>
      <c r="E47" s="13">
        <f t="shared" si="3"/>
        <v>5079.0441176470631</v>
      </c>
      <c r="F47" s="14">
        <v>0.15</v>
      </c>
    </row>
    <row r="48" spans="2:7" outlineLevel="1" collapsed="1" x14ac:dyDescent="0.35">
      <c r="B48" s="12" t="s">
        <v>48</v>
      </c>
      <c r="C48" s="13">
        <f>'Underpass 4 - Install'!I44</f>
        <v>28781.25</v>
      </c>
      <c r="D48" s="13">
        <f>IFERROR(C48/(1-F48),0)</f>
        <v>33860.294117647063</v>
      </c>
      <c r="E48" s="13">
        <f t="shared" si="3"/>
        <v>5079.0441176470631</v>
      </c>
      <c r="F48" s="14">
        <v>0.15</v>
      </c>
    </row>
    <row r="49" spans="2:7" outlineLevel="1" collapsed="1" x14ac:dyDescent="0.35">
      <c r="B49" s="12" t="s">
        <v>49</v>
      </c>
      <c r="C49" s="13">
        <f>'Underpass 4 - Install'!I34</f>
        <v>20882.349999999999</v>
      </c>
      <c r="D49" s="13">
        <f>IFERROR(C49/(1-F49),0)</f>
        <v>24567.470588235294</v>
      </c>
      <c r="E49" s="13">
        <f t="shared" si="3"/>
        <v>3685.1205882352951</v>
      </c>
      <c r="F49" s="14">
        <v>0.15</v>
      </c>
    </row>
    <row r="50" spans="2:7" outlineLevel="1" collapsed="1" x14ac:dyDescent="0.35">
      <c r="B50" s="12" t="s">
        <v>50</v>
      </c>
      <c r="C50" s="13">
        <f>'Underpass 4 - Install'!I52</f>
        <v>4705.88</v>
      </c>
      <c r="D50" s="13">
        <f>IFERROR(C50/(1-F50),0)</f>
        <v>5536.3294117647065</v>
      </c>
      <c r="E50" s="13">
        <f t="shared" si="3"/>
        <v>830.44941176470638</v>
      </c>
      <c r="F50" s="14">
        <v>0.15</v>
      </c>
    </row>
    <row r="51" spans="2:7" outlineLevel="1" collapsed="1" x14ac:dyDescent="0.35">
      <c r="B51" s="2" t="s">
        <v>51</v>
      </c>
      <c r="C51" s="15">
        <f>SUM(C45:C50)</f>
        <v>224323.53</v>
      </c>
      <c r="D51" s="15">
        <f>SUM(D45:D50)</f>
        <v>365425.71882352937</v>
      </c>
      <c r="E51" s="15">
        <f t="shared" si="3"/>
        <v>141102.18882352937</v>
      </c>
      <c r="F51" s="16">
        <f>IFERROR(1-C51/D51,0)</f>
        <v>0.38613097424505627</v>
      </c>
    </row>
    <row r="52" spans="2:7" outlineLevel="1" collapsed="1" x14ac:dyDescent="0.35">
      <c r="B52" s="12" t="s">
        <v>52</v>
      </c>
      <c r="C52" s="17">
        <v>0</v>
      </c>
      <c r="D52" s="17">
        <v>0</v>
      </c>
      <c r="E52" s="17">
        <v>0</v>
      </c>
      <c r="G52" s="18">
        <v>0</v>
      </c>
    </row>
    <row r="53" spans="2:7" outlineLevel="1" collapsed="1" x14ac:dyDescent="0.35">
      <c r="B53" s="12" t="s">
        <v>53</v>
      </c>
      <c r="C53" s="17">
        <v>0</v>
      </c>
      <c r="D53" s="17">
        <v>0</v>
      </c>
      <c r="E53" s="17">
        <v>0</v>
      </c>
      <c r="G53" s="18">
        <v>0</v>
      </c>
    </row>
    <row r="54" spans="2:7" outlineLevel="1" collapsed="1" x14ac:dyDescent="0.35">
      <c r="B54" s="12" t="s">
        <v>54</v>
      </c>
      <c r="C54" s="17">
        <v>0</v>
      </c>
      <c r="D54" s="17">
        <v>0</v>
      </c>
      <c r="E54" s="17">
        <v>0</v>
      </c>
      <c r="G54" s="18">
        <v>0</v>
      </c>
    </row>
    <row r="55" spans="2:7" x14ac:dyDescent="0.35">
      <c r="B55" s="19" t="s">
        <v>55</v>
      </c>
      <c r="C55" s="20">
        <f>C51+C52+C53+C54</f>
        <v>224323.53</v>
      </c>
      <c r="D55" s="20">
        <f>D51+D52+D53+D54</f>
        <v>365425.71882352937</v>
      </c>
      <c r="E55" s="20">
        <f>IFERROR(D55-C55,0)</f>
        <v>141102.18882352937</v>
      </c>
      <c r="F55" s="21">
        <f>IFERROR(1-C55/D55,0)</f>
        <v>0.38613097424505627</v>
      </c>
    </row>
    <row r="57" spans="2:7" s="10" customFormat="1" x14ac:dyDescent="0.35">
      <c r="B57" s="10" t="s">
        <v>59</v>
      </c>
      <c r="D57" s="11" t="s">
        <v>41</v>
      </c>
    </row>
    <row r="58" spans="2:7" outlineLevel="1" collapsed="1" x14ac:dyDescent="0.35">
      <c r="B58" s="12" t="s">
        <v>45</v>
      </c>
      <c r="C58" s="13">
        <f>'LED Cost Sheet'!T8</f>
        <v>845677.52</v>
      </c>
      <c r="D58" s="13">
        <f>'LED Cost Sheet'!V8</f>
        <v>1526801.71</v>
      </c>
      <c r="E58" s="13">
        <f t="shared" ref="E58:E64" si="4">IFERROR(D58-C58,0)</f>
        <v>681124.19</v>
      </c>
      <c r="F58" s="14">
        <v>0.15</v>
      </c>
    </row>
    <row r="59" spans="2:7" outlineLevel="1" collapsed="1" x14ac:dyDescent="0.35">
      <c r="B59" s="12" t="s">
        <v>46</v>
      </c>
      <c r="C59" s="13">
        <f>'Concourse - Install'!I26</f>
        <v>48536.25</v>
      </c>
      <c r="D59" s="13">
        <f>IFERROR(C59/(1-F59),0)</f>
        <v>57101.470588235294</v>
      </c>
      <c r="E59" s="13">
        <f t="shared" si="4"/>
        <v>8565.2205882352937</v>
      </c>
      <c r="F59" s="14">
        <v>0.15</v>
      </c>
    </row>
    <row r="60" spans="2:7" outlineLevel="1" collapsed="1" x14ac:dyDescent="0.35">
      <c r="B60" s="12" t="s">
        <v>47</v>
      </c>
      <c r="C60" s="13">
        <f>'Concourse - Install'!I35-'Concourse - Install'!I34</f>
        <v>202234.38</v>
      </c>
      <c r="D60" s="13">
        <f>IFERROR(C60/(1-F60),0)</f>
        <v>237922.80000000002</v>
      </c>
      <c r="E60" s="13">
        <f t="shared" si="4"/>
        <v>35688.420000000013</v>
      </c>
      <c r="F60" s="14">
        <v>0.15</v>
      </c>
    </row>
    <row r="61" spans="2:7" outlineLevel="1" collapsed="1" x14ac:dyDescent="0.35">
      <c r="B61" s="12" t="s">
        <v>48</v>
      </c>
      <c r="C61" s="13">
        <f>'Concourse - Install'!I44</f>
        <v>202234.38</v>
      </c>
      <c r="D61" s="13">
        <f>IFERROR(C61/(1-F61),0)</f>
        <v>237922.80000000002</v>
      </c>
      <c r="E61" s="13">
        <f t="shared" si="4"/>
        <v>35688.420000000013</v>
      </c>
      <c r="F61" s="14">
        <v>0.15</v>
      </c>
    </row>
    <row r="62" spans="2:7" outlineLevel="1" collapsed="1" x14ac:dyDescent="0.35">
      <c r="B62" s="12" t="s">
        <v>49</v>
      </c>
      <c r="C62" s="13">
        <f>'Concourse - Install'!I34</f>
        <v>20882.349999999999</v>
      </c>
      <c r="D62" s="13">
        <f>IFERROR(C62/(1-F62),0)</f>
        <v>24567.470588235294</v>
      </c>
      <c r="E62" s="13">
        <f t="shared" si="4"/>
        <v>3685.1205882352951</v>
      </c>
      <c r="F62" s="14">
        <v>0.15</v>
      </c>
    </row>
    <row r="63" spans="2:7" outlineLevel="1" collapsed="1" x14ac:dyDescent="0.35">
      <c r="B63" s="12" t="s">
        <v>50</v>
      </c>
      <c r="C63" s="13">
        <f>'Concourse - Install'!I52</f>
        <v>4705.88</v>
      </c>
      <c r="D63" s="13">
        <f>IFERROR(C63/(1-F63),0)</f>
        <v>5536.3294117647065</v>
      </c>
      <c r="E63" s="13">
        <f t="shared" si="4"/>
        <v>830.44941176470638</v>
      </c>
      <c r="F63" s="14">
        <v>0.15</v>
      </c>
    </row>
    <row r="64" spans="2:7" outlineLevel="1" collapsed="1" x14ac:dyDescent="0.35">
      <c r="B64" s="2" t="s">
        <v>51</v>
      </c>
      <c r="C64" s="15">
        <f>SUM(C58:C63)</f>
        <v>1324270.7599999998</v>
      </c>
      <c r="D64" s="15">
        <f>SUM(D58:D63)</f>
        <v>2089852.5805882351</v>
      </c>
      <c r="E64" s="15">
        <f t="shared" si="4"/>
        <v>765581.82058823528</v>
      </c>
      <c r="F64" s="16">
        <f>IFERROR(1-C64/D64,0)</f>
        <v>0.3663329307049713</v>
      </c>
    </row>
    <row r="65" spans="2:7" outlineLevel="1" collapsed="1" x14ac:dyDescent="0.35">
      <c r="B65" s="12" t="s">
        <v>52</v>
      </c>
      <c r="C65" s="17">
        <v>0</v>
      </c>
      <c r="D65" s="17">
        <v>0</v>
      </c>
      <c r="E65" s="17">
        <v>0</v>
      </c>
      <c r="G65" s="18">
        <v>0</v>
      </c>
    </row>
    <row r="66" spans="2:7" outlineLevel="1" collapsed="1" x14ac:dyDescent="0.35">
      <c r="B66" s="12" t="s">
        <v>53</v>
      </c>
      <c r="C66" s="17">
        <v>0</v>
      </c>
      <c r="D66" s="17">
        <v>0</v>
      </c>
      <c r="E66" s="17">
        <v>0</v>
      </c>
      <c r="G66" s="18">
        <v>0</v>
      </c>
    </row>
    <row r="67" spans="2:7" outlineLevel="1" collapsed="1" x14ac:dyDescent="0.35">
      <c r="B67" s="12" t="s">
        <v>54</v>
      </c>
      <c r="C67" s="17">
        <v>0</v>
      </c>
      <c r="D67" s="17">
        <v>0</v>
      </c>
      <c r="E67" s="17">
        <v>0</v>
      </c>
      <c r="G67" s="18">
        <v>0</v>
      </c>
    </row>
    <row r="68" spans="2:7" x14ac:dyDescent="0.35">
      <c r="B68" s="19" t="s">
        <v>55</v>
      </c>
      <c r="C68" s="20">
        <f>C64+C65+C66+C67</f>
        <v>1324270.7599999998</v>
      </c>
      <c r="D68" s="20">
        <f>D64+D65+D66+D67</f>
        <v>2089852.5805882351</v>
      </c>
      <c r="E68" s="20">
        <f>IFERROR(D68-C68,0)</f>
        <v>765581.82058823528</v>
      </c>
      <c r="F68" s="21">
        <f>IFERROR(1-C68/D68,0)</f>
        <v>0.3663329307049713</v>
      </c>
    </row>
    <row r="70" spans="2:7" s="10" customFormat="1" x14ac:dyDescent="0.35">
      <c r="B70" s="10" t="s">
        <v>60</v>
      </c>
      <c r="D70" s="11" t="s">
        <v>41</v>
      </c>
    </row>
    <row r="71" spans="2:7" outlineLevel="1" collapsed="1" x14ac:dyDescent="0.35">
      <c r="B71" s="12" t="s">
        <v>45</v>
      </c>
      <c r="C71" s="13">
        <f>'LED Cost Sheet'!T9</f>
        <v>82785.77</v>
      </c>
      <c r="D71" s="13">
        <f>'LED Cost Sheet'!V9</f>
        <v>179138.59</v>
      </c>
      <c r="E71" s="13">
        <f t="shared" ref="E71:E77" si="5">IFERROR(D71-C71,0)</f>
        <v>96352.819999999992</v>
      </c>
      <c r="F71" s="14">
        <v>0.15</v>
      </c>
    </row>
    <row r="72" spans="2:7" outlineLevel="1" collapsed="1" x14ac:dyDescent="0.35">
      <c r="B72" s="12" t="s">
        <v>46</v>
      </c>
      <c r="C72" s="13">
        <f>'T4-B1 (6-9) - Install'!I26</f>
        <v>4995</v>
      </c>
      <c r="D72" s="13">
        <f>IFERROR(C72/(1-F72),0)</f>
        <v>5876.4705882352946</v>
      </c>
      <c r="E72" s="13">
        <f t="shared" si="5"/>
        <v>881.4705882352946</v>
      </c>
      <c r="F72" s="14">
        <v>0.15</v>
      </c>
    </row>
    <row r="73" spans="2:7" outlineLevel="1" collapsed="1" x14ac:dyDescent="0.35">
      <c r="B73" s="12" t="s">
        <v>47</v>
      </c>
      <c r="C73" s="13">
        <f>'T4-B1 (6-9) - Install'!I35-'T4-B1 (6-9) - Install'!I34</f>
        <v>20812.5</v>
      </c>
      <c r="D73" s="13">
        <f>IFERROR(C73/(1-F73),0)</f>
        <v>24485.294117647059</v>
      </c>
      <c r="E73" s="13">
        <f t="shared" si="5"/>
        <v>3672.7941176470595</v>
      </c>
      <c r="F73" s="14">
        <v>0.15</v>
      </c>
    </row>
    <row r="74" spans="2:7" outlineLevel="1" collapsed="1" x14ac:dyDescent="0.35">
      <c r="B74" s="12" t="s">
        <v>48</v>
      </c>
      <c r="C74" s="13">
        <f>'T4-B1 (6-9) - Install'!I44</f>
        <v>20812.5</v>
      </c>
      <c r="D74" s="13">
        <f>IFERROR(C74/(1-F74),0)</f>
        <v>24485.294117647059</v>
      </c>
      <c r="E74" s="13">
        <f t="shared" si="5"/>
        <v>3672.7941176470595</v>
      </c>
      <c r="F74" s="14">
        <v>0.15</v>
      </c>
    </row>
    <row r="75" spans="2:7" outlineLevel="1" collapsed="1" x14ac:dyDescent="0.35">
      <c r="B75" s="12" t="s">
        <v>49</v>
      </c>
      <c r="C75" s="13">
        <f>'T4-B1 (6-9) - Install'!I34</f>
        <v>20882.349999999999</v>
      </c>
      <c r="D75" s="13">
        <f>IFERROR(C75/(1-F75),0)</f>
        <v>24567.470588235294</v>
      </c>
      <c r="E75" s="13">
        <f t="shared" si="5"/>
        <v>3685.1205882352951</v>
      </c>
      <c r="F75" s="14">
        <v>0.15</v>
      </c>
    </row>
    <row r="76" spans="2:7" outlineLevel="1" collapsed="1" x14ac:dyDescent="0.35">
      <c r="B76" s="12" t="s">
        <v>50</v>
      </c>
      <c r="C76" s="13">
        <f>'T4-B1 (6-9) - Install'!I52</f>
        <v>4705.88</v>
      </c>
      <c r="D76" s="13">
        <f>IFERROR(C76/(1-F76),0)</f>
        <v>5536.3294117647065</v>
      </c>
      <c r="E76" s="13">
        <f t="shared" si="5"/>
        <v>830.44941176470638</v>
      </c>
      <c r="F76" s="14">
        <v>0.15</v>
      </c>
    </row>
    <row r="77" spans="2:7" outlineLevel="1" collapsed="1" x14ac:dyDescent="0.35">
      <c r="B77" s="2" t="s">
        <v>51</v>
      </c>
      <c r="C77" s="15">
        <f>SUM(C71:C76)</f>
        <v>154994</v>
      </c>
      <c r="D77" s="15">
        <f>SUM(D71:D76)</f>
        <v>264089.44882352941</v>
      </c>
      <c r="E77" s="15">
        <f t="shared" si="5"/>
        <v>109095.44882352941</v>
      </c>
      <c r="F77" s="16">
        <f>IFERROR(1-C77/D77,0)</f>
        <v>0.41310036924810833</v>
      </c>
    </row>
    <row r="78" spans="2:7" outlineLevel="1" collapsed="1" x14ac:dyDescent="0.35">
      <c r="B78" s="12" t="s">
        <v>52</v>
      </c>
      <c r="C78" s="17">
        <v>0</v>
      </c>
      <c r="D78" s="17">
        <v>0</v>
      </c>
      <c r="E78" s="17">
        <v>0</v>
      </c>
      <c r="G78" s="18">
        <v>0</v>
      </c>
    </row>
    <row r="79" spans="2:7" outlineLevel="1" collapsed="1" x14ac:dyDescent="0.35">
      <c r="B79" s="12" t="s">
        <v>53</v>
      </c>
      <c r="C79" s="17">
        <v>0</v>
      </c>
      <c r="D79" s="17">
        <v>0</v>
      </c>
      <c r="E79" s="17">
        <v>0</v>
      </c>
      <c r="G79" s="18">
        <v>0</v>
      </c>
    </row>
    <row r="80" spans="2:7" outlineLevel="1" collapsed="1" x14ac:dyDescent="0.35">
      <c r="B80" s="12" t="s">
        <v>54</v>
      </c>
      <c r="C80" s="17">
        <v>0</v>
      </c>
      <c r="D80" s="17">
        <v>0</v>
      </c>
      <c r="E80" s="17">
        <v>0</v>
      </c>
      <c r="G80" s="18">
        <v>0</v>
      </c>
    </row>
    <row r="81" spans="2:7" x14ac:dyDescent="0.35">
      <c r="B81" s="19" t="s">
        <v>55</v>
      </c>
      <c r="C81" s="20">
        <f>C77+C78+C79+C80</f>
        <v>154994</v>
      </c>
      <c r="D81" s="20">
        <f>D77+D78+D79+D80</f>
        <v>264089.44882352941</v>
      </c>
      <c r="E81" s="20">
        <f>IFERROR(D81-C81,0)</f>
        <v>109095.44882352941</v>
      </c>
      <c r="F81" s="21">
        <f>IFERROR(1-C81/D81,0)</f>
        <v>0.41310036924810833</v>
      </c>
    </row>
    <row r="83" spans="2:7" s="10" customFormat="1" x14ac:dyDescent="0.35">
      <c r="B83" s="10" t="s">
        <v>61</v>
      </c>
      <c r="D83" s="11" t="s">
        <v>41</v>
      </c>
    </row>
    <row r="84" spans="2:7" outlineLevel="1" collapsed="1" x14ac:dyDescent="0.35">
      <c r="B84" s="12" t="s">
        <v>45</v>
      </c>
      <c r="C84" s="13">
        <f>'LED Cost Sheet'!T10</f>
        <v>205655.43</v>
      </c>
      <c r="D84" s="13">
        <f>'LED Cost Sheet'!V10</f>
        <v>388240.91</v>
      </c>
      <c r="E84" s="13">
        <f t="shared" ref="E84:E90" si="6">IFERROR(D84-C84,0)</f>
        <v>182585.47999999998</v>
      </c>
      <c r="F84" s="14">
        <v>0.15</v>
      </c>
    </row>
    <row r="85" spans="2:7" outlineLevel="1" collapsed="1" x14ac:dyDescent="0.35">
      <c r="B85" s="12" t="s">
        <v>46</v>
      </c>
      <c r="C85" s="13">
        <f>'T4-B2 (10-18) - Install'!I26</f>
        <v>11238.75</v>
      </c>
      <c r="D85" s="13">
        <f>IFERROR(C85/(1-F85),0)</f>
        <v>13222.058823529413</v>
      </c>
      <c r="E85" s="13">
        <f t="shared" si="6"/>
        <v>1983.3088235294126</v>
      </c>
      <c r="F85" s="14">
        <v>0.15</v>
      </c>
    </row>
    <row r="86" spans="2:7" outlineLevel="1" collapsed="1" x14ac:dyDescent="0.35">
      <c r="B86" s="12" t="s">
        <v>47</v>
      </c>
      <c r="C86" s="13">
        <f>'T4-B2 (10-18) - Install'!I35-'T4-B2 (10-18) - Install'!I34</f>
        <v>46828.13</v>
      </c>
      <c r="D86" s="13">
        <f>IFERROR(C86/(1-F86),0)</f>
        <v>55091.917647058821</v>
      </c>
      <c r="E86" s="13">
        <f t="shared" si="6"/>
        <v>8263.7876470588235</v>
      </c>
      <c r="F86" s="14">
        <v>0.15</v>
      </c>
    </row>
    <row r="87" spans="2:7" outlineLevel="1" collapsed="1" x14ac:dyDescent="0.35">
      <c r="B87" s="12" t="s">
        <v>48</v>
      </c>
      <c r="C87" s="13">
        <f>'T4-B2 (10-18) - Install'!I44</f>
        <v>46828.13</v>
      </c>
      <c r="D87" s="13">
        <f>IFERROR(C87/(1-F87),0)</f>
        <v>55091.917647058821</v>
      </c>
      <c r="E87" s="13">
        <f t="shared" si="6"/>
        <v>8263.7876470588235</v>
      </c>
      <c r="F87" s="14">
        <v>0.15</v>
      </c>
    </row>
    <row r="88" spans="2:7" outlineLevel="1" collapsed="1" x14ac:dyDescent="0.35">
      <c r="B88" s="12" t="s">
        <v>49</v>
      </c>
      <c r="C88" s="13">
        <f>'T4-B2 (10-18) - Install'!I34</f>
        <v>20882.349999999999</v>
      </c>
      <c r="D88" s="13">
        <f>IFERROR(C88/(1-F88),0)</f>
        <v>24567.470588235294</v>
      </c>
      <c r="E88" s="13">
        <f t="shared" si="6"/>
        <v>3685.1205882352951</v>
      </c>
      <c r="F88" s="14">
        <v>0.15</v>
      </c>
    </row>
    <row r="89" spans="2:7" outlineLevel="1" collapsed="1" x14ac:dyDescent="0.35">
      <c r="B89" s="12" t="s">
        <v>50</v>
      </c>
      <c r="C89" s="13">
        <f>'T4-B2 (10-18) - Install'!I52</f>
        <v>4705.88</v>
      </c>
      <c r="D89" s="13">
        <f>IFERROR(C89/(1-F89),0)</f>
        <v>5536.3294117647065</v>
      </c>
      <c r="E89" s="13">
        <f t="shared" si="6"/>
        <v>830.44941176470638</v>
      </c>
      <c r="F89" s="14">
        <v>0.15</v>
      </c>
    </row>
    <row r="90" spans="2:7" outlineLevel="1" collapsed="1" x14ac:dyDescent="0.35">
      <c r="B90" s="2" t="s">
        <v>51</v>
      </c>
      <c r="C90" s="15">
        <f>SUM(C84:C89)</f>
        <v>336138.67</v>
      </c>
      <c r="D90" s="15">
        <f>SUM(D84:D89)</f>
        <v>541750.60411764705</v>
      </c>
      <c r="E90" s="15">
        <f t="shared" si="6"/>
        <v>205611.93411764706</v>
      </c>
      <c r="F90" s="16">
        <f>IFERROR(1-C90/D90,0)</f>
        <v>0.37953245008841041</v>
      </c>
    </row>
    <row r="91" spans="2:7" outlineLevel="1" collapsed="1" x14ac:dyDescent="0.35">
      <c r="B91" s="12" t="s">
        <v>52</v>
      </c>
      <c r="C91" s="17">
        <v>0</v>
      </c>
      <c r="D91" s="17">
        <v>0</v>
      </c>
      <c r="E91" s="17">
        <v>0</v>
      </c>
      <c r="G91" s="18">
        <v>0</v>
      </c>
    </row>
    <row r="92" spans="2:7" outlineLevel="1" collapsed="1" x14ac:dyDescent="0.35">
      <c r="B92" s="12" t="s">
        <v>53</v>
      </c>
      <c r="C92" s="17">
        <v>0</v>
      </c>
      <c r="D92" s="17">
        <v>0</v>
      </c>
      <c r="E92" s="17">
        <v>0</v>
      </c>
      <c r="G92" s="18">
        <v>0</v>
      </c>
    </row>
    <row r="93" spans="2:7" outlineLevel="1" collapsed="1" x14ac:dyDescent="0.35">
      <c r="B93" s="12" t="s">
        <v>54</v>
      </c>
      <c r="C93" s="17">
        <v>0</v>
      </c>
      <c r="D93" s="17">
        <v>0</v>
      </c>
      <c r="E93" s="17">
        <v>0</v>
      </c>
      <c r="G93" s="18">
        <v>0</v>
      </c>
    </row>
    <row r="94" spans="2:7" x14ac:dyDescent="0.35">
      <c r="B94" s="19" t="s">
        <v>55</v>
      </c>
      <c r="C94" s="20">
        <f>C90+C91+C92+C93</f>
        <v>336138.67</v>
      </c>
      <c r="D94" s="20">
        <f>D90+D91+D92+D93</f>
        <v>541750.60411764705</v>
      </c>
      <c r="E94" s="20">
        <f>IFERROR(D94-C94,0)</f>
        <v>205611.93411764706</v>
      </c>
      <c r="F94" s="21">
        <f>IFERROR(1-C94/D94,0)</f>
        <v>0.37953245008841041</v>
      </c>
    </row>
    <row r="96" spans="2:7" s="10" customFormat="1" x14ac:dyDescent="0.35">
      <c r="B96" s="10" t="s">
        <v>62</v>
      </c>
      <c r="D96" s="11" t="s">
        <v>41</v>
      </c>
    </row>
    <row r="97" spans="2:7" outlineLevel="1" collapsed="1" x14ac:dyDescent="0.35">
      <c r="B97" s="12" t="s">
        <v>45</v>
      </c>
      <c r="C97" s="13">
        <f>'LED Cost Sheet'!T11</f>
        <v>139342.57</v>
      </c>
      <c r="D97" s="13">
        <f>'LED Cost Sheet'!V11</f>
        <v>268709.18</v>
      </c>
      <c r="E97" s="13">
        <f t="shared" ref="E97:E103" si="7">IFERROR(D97-C97,0)</f>
        <v>129366.60999999999</v>
      </c>
      <c r="F97" s="14">
        <v>0.15</v>
      </c>
    </row>
    <row r="98" spans="2:7" outlineLevel="1" collapsed="1" x14ac:dyDescent="0.35">
      <c r="B98" s="12" t="s">
        <v>46</v>
      </c>
      <c r="C98" s="13">
        <f>'T4 Lobby Elevator - Install'!I26</f>
        <v>7222.5</v>
      </c>
      <c r="D98" s="13">
        <f>IFERROR(C98/(1-F98),0)</f>
        <v>8497.0588235294126</v>
      </c>
      <c r="E98" s="13">
        <f t="shared" si="7"/>
        <v>1274.5588235294126</v>
      </c>
      <c r="F98" s="14">
        <v>0.15</v>
      </c>
    </row>
    <row r="99" spans="2:7" outlineLevel="1" collapsed="1" x14ac:dyDescent="0.35">
      <c r="B99" s="12" t="s">
        <v>47</v>
      </c>
      <c r="C99" s="13">
        <f>'T4 Lobby Elevator - Install'!I35-'T4 Lobby Elevator - Install'!I34</f>
        <v>30093.75</v>
      </c>
      <c r="D99" s="13">
        <f>IFERROR(C99/(1-F99),0)</f>
        <v>35404.411764705881</v>
      </c>
      <c r="E99" s="13">
        <f t="shared" si="7"/>
        <v>5310.6617647058811</v>
      </c>
      <c r="F99" s="14">
        <v>0.15</v>
      </c>
    </row>
    <row r="100" spans="2:7" outlineLevel="1" collapsed="1" x14ac:dyDescent="0.35">
      <c r="B100" s="12" t="s">
        <v>48</v>
      </c>
      <c r="C100" s="13">
        <f>'T4 Lobby Elevator - Install'!I44</f>
        <v>30093.75</v>
      </c>
      <c r="D100" s="13">
        <f>IFERROR(C100/(1-F100),0)</f>
        <v>35404.411764705881</v>
      </c>
      <c r="E100" s="13">
        <f t="shared" si="7"/>
        <v>5310.6617647058811</v>
      </c>
      <c r="F100" s="14">
        <v>0.15</v>
      </c>
    </row>
    <row r="101" spans="2:7" outlineLevel="1" collapsed="1" x14ac:dyDescent="0.35">
      <c r="B101" s="12" t="s">
        <v>49</v>
      </c>
      <c r="C101" s="13">
        <f>'T4 Lobby Elevator - Install'!I34</f>
        <v>20882.349999999999</v>
      </c>
      <c r="D101" s="13">
        <f>IFERROR(C101/(1-F101),0)</f>
        <v>24567.470588235294</v>
      </c>
      <c r="E101" s="13">
        <f t="shared" si="7"/>
        <v>3685.1205882352951</v>
      </c>
      <c r="F101" s="14">
        <v>0.15</v>
      </c>
    </row>
    <row r="102" spans="2:7" outlineLevel="1" collapsed="1" x14ac:dyDescent="0.35">
      <c r="B102" s="12" t="s">
        <v>50</v>
      </c>
      <c r="C102" s="13">
        <f>'T4 Lobby Elevator - Install'!I52</f>
        <v>4705.88</v>
      </c>
      <c r="D102" s="13">
        <f>IFERROR(C102/(1-F102),0)</f>
        <v>5536.3294117647065</v>
      </c>
      <c r="E102" s="13">
        <f t="shared" si="7"/>
        <v>830.44941176470638</v>
      </c>
      <c r="F102" s="14">
        <v>0.15</v>
      </c>
    </row>
    <row r="103" spans="2:7" outlineLevel="1" collapsed="1" x14ac:dyDescent="0.35">
      <c r="B103" s="2" t="s">
        <v>51</v>
      </c>
      <c r="C103" s="15">
        <f>SUM(C97:C102)</f>
        <v>232340.80000000002</v>
      </c>
      <c r="D103" s="15">
        <f>SUM(D97:D102)</f>
        <v>378118.86235294119</v>
      </c>
      <c r="E103" s="15">
        <f t="shared" si="7"/>
        <v>145778.06235294117</v>
      </c>
      <c r="F103" s="16">
        <f>IFERROR(1-C103/D103,0)</f>
        <v>0.38553501786660405</v>
      </c>
    </row>
    <row r="104" spans="2:7" outlineLevel="1" collapsed="1" x14ac:dyDescent="0.35">
      <c r="B104" s="12" t="s">
        <v>52</v>
      </c>
      <c r="C104" s="17">
        <v>0</v>
      </c>
      <c r="D104" s="17">
        <v>0</v>
      </c>
      <c r="E104" s="17">
        <v>0</v>
      </c>
      <c r="G104" s="18">
        <v>0</v>
      </c>
    </row>
    <row r="105" spans="2:7" outlineLevel="1" collapsed="1" x14ac:dyDescent="0.35">
      <c r="B105" s="12" t="s">
        <v>53</v>
      </c>
      <c r="C105" s="17">
        <v>0</v>
      </c>
      <c r="D105" s="17">
        <v>0</v>
      </c>
      <c r="E105" s="17">
        <v>0</v>
      </c>
      <c r="G105" s="18">
        <v>0</v>
      </c>
    </row>
    <row r="106" spans="2:7" outlineLevel="1" collapsed="1" x14ac:dyDescent="0.35">
      <c r="B106" s="12" t="s">
        <v>54</v>
      </c>
      <c r="C106" s="17">
        <v>0</v>
      </c>
      <c r="D106" s="17">
        <v>0</v>
      </c>
      <c r="E106" s="17">
        <v>0</v>
      </c>
      <c r="G106" s="18">
        <v>0</v>
      </c>
    </row>
    <row r="107" spans="2:7" x14ac:dyDescent="0.35">
      <c r="B107" s="19" t="s">
        <v>55</v>
      </c>
      <c r="C107" s="20">
        <f>C103+C104+C105+C106</f>
        <v>232340.80000000002</v>
      </c>
      <c r="D107" s="20">
        <f>D103+D104+D105+D106</f>
        <v>378118.86235294119</v>
      </c>
      <c r="E107" s="20">
        <f>IFERROR(D107-C107,0)</f>
        <v>145778.06235294117</v>
      </c>
      <c r="F107" s="21">
        <f>IFERROR(1-C107/D107,0)</f>
        <v>0.38553501786660405</v>
      </c>
    </row>
    <row r="109" spans="2:7" s="10" customFormat="1" x14ac:dyDescent="0.35">
      <c r="B109" s="10" t="s">
        <v>63</v>
      </c>
      <c r="D109" s="11" t="s">
        <v>41</v>
      </c>
    </row>
    <row r="110" spans="2:7" outlineLevel="1" collapsed="1" x14ac:dyDescent="0.35">
      <c r="B110" s="12" t="s">
        <v>45</v>
      </c>
      <c r="C110" s="13">
        <f>'LED Cost Sheet'!T12</f>
        <v>39872</v>
      </c>
      <c r="D110" s="13">
        <f>'LED Cost Sheet'!V12</f>
        <v>101747.09</v>
      </c>
      <c r="E110" s="13">
        <f t="shared" ref="E110:E116" si="8">IFERROR(D110-C110,0)</f>
        <v>61875.09</v>
      </c>
      <c r="F110" s="14">
        <v>0.15</v>
      </c>
    </row>
    <row r="111" spans="2:7" outlineLevel="1" collapsed="1" x14ac:dyDescent="0.35">
      <c r="B111" s="12" t="s">
        <v>46</v>
      </c>
      <c r="C111" s="13">
        <f>'T2-B1M Screen 20 - Install'!I26</f>
        <v>2392.5</v>
      </c>
      <c r="D111" s="13">
        <f>IFERROR(C111/(1-F111),0)</f>
        <v>2814.7058823529414</v>
      </c>
      <c r="E111" s="13">
        <f t="shared" si="8"/>
        <v>422.20588235294144</v>
      </c>
      <c r="F111" s="14">
        <v>0.15</v>
      </c>
    </row>
    <row r="112" spans="2:7" outlineLevel="1" collapsed="1" x14ac:dyDescent="0.35">
      <c r="B112" s="12" t="s">
        <v>47</v>
      </c>
      <c r="C112" s="13">
        <f>'T2-B1M Screen 20 - Install'!I35-'T2-B1M Screen 20 - Install'!I34</f>
        <v>9968.75</v>
      </c>
      <c r="D112" s="13">
        <f>IFERROR(C112/(1-F112),0)</f>
        <v>11727.941176470589</v>
      </c>
      <c r="E112" s="13">
        <f t="shared" si="8"/>
        <v>1759.1911764705892</v>
      </c>
      <c r="F112" s="14">
        <v>0.15</v>
      </c>
    </row>
    <row r="113" spans="2:7" outlineLevel="1" collapsed="1" x14ac:dyDescent="0.35">
      <c r="B113" s="12" t="s">
        <v>48</v>
      </c>
      <c r="C113" s="13">
        <f>'T2-B1M Screen 20 - Install'!I44</f>
        <v>9968.75</v>
      </c>
      <c r="D113" s="13">
        <f>IFERROR(C113/(1-F113),0)</f>
        <v>11727.941176470589</v>
      </c>
      <c r="E113" s="13">
        <f t="shared" si="8"/>
        <v>1759.1911764705892</v>
      </c>
      <c r="F113" s="14">
        <v>0.15</v>
      </c>
    </row>
    <row r="114" spans="2:7" outlineLevel="1" collapsed="1" x14ac:dyDescent="0.35">
      <c r="B114" s="12" t="s">
        <v>49</v>
      </c>
      <c r="C114" s="13">
        <f>'T2-B1M Screen 20 - Install'!I34</f>
        <v>20882.349999999999</v>
      </c>
      <c r="D114" s="13">
        <f>IFERROR(C114/(1-F114),0)</f>
        <v>24567.470588235294</v>
      </c>
      <c r="E114" s="13">
        <f t="shared" si="8"/>
        <v>3685.1205882352951</v>
      </c>
      <c r="F114" s="14">
        <v>0.15</v>
      </c>
    </row>
    <row r="115" spans="2:7" outlineLevel="1" collapsed="1" x14ac:dyDescent="0.35">
      <c r="B115" s="12" t="s">
        <v>50</v>
      </c>
      <c r="C115" s="13">
        <f>'T2-B1M Screen 20 - Install'!I52</f>
        <v>4705.88</v>
      </c>
      <c r="D115" s="13">
        <f>IFERROR(C115/(1-F115),0)</f>
        <v>5536.3294117647065</v>
      </c>
      <c r="E115" s="13">
        <f t="shared" si="8"/>
        <v>830.44941176470638</v>
      </c>
      <c r="F115" s="14">
        <v>0.15</v>
      </c>
    </row>
    <row r="116" spans="2:7" outlineLevel="1" collapsed="1" x14ac:dyDescent="0.35">
      <c r="B116" s="2" t="s">
        <v>51</v>
      </c>
      <c r="C116" s="15">
        <f>SUM(C110:C115)</f>
        <v>87790.23000000001</v>
      </c>
      <c r="D116" s="15">
        <f>SUM(D110:D115)</f>
        <v>158121.47823529411</v>
      </c>
      <c r="E116" s="15">
        <f t="shared" si="8"/>
        <v>70331.248235294101</v>
      </c>
      <c r="F116" s="16">
        <f>IFERROR(1-C116/D116,0)</f>
        <v>0.44479250396734238</v>
      </c>
    </row>
    <row r="117" spans="2:7" outlineLevel="1" collapsed="1" x14ac:dyDescent="0.35">
      <c r="B117" s="12" t="s">
        <v>52</v>
      </c>
      <c r="C117" s="17">
        <v>0</v>
      </c>
      <c r="D117" s="17">
        <v>0</v>
      </c>
      <c r="E117" s="17">
        <v>0</v>
      </c>
      <c r="G117" s="18">
        <v>0</v>
      </c>
    </row>
    <row r="118" spans="2:7" outlineLevel="1" collapsed="1" x14ac:dyDescent="0.35">
      <c r="B118" s="12" t="s">
        <v>53</v>
      </c>
      <c r="C118" s="17">
        <v>0</v>
      </c>
      <c r="D118" s="17">
        <v>0</v>
      </c>
      <c r="E118" s="17">
        <v>0</v>
      </c>
      <c r="G118" s="18">
        <v>0</v>
      </c>
    </row>
    <row r="119" spans="2:7" outlineLevel="1" collapsed="1" x14ac:dyDescent="0.35">
      <c r="B119" s="12" t="s">
        <v>54</v>
      </c>
      <c r="C119" s="17">
        <v>0</v>
      </c>
      <c r="D119" s="17">
        <v>0</v>
      </c>
      <c r="E119" s="17">
        <v>0</v>
      </c>
      <c r="G119" s="18">
        <v>0</v>
      </c>
    </row>
    <row r="120" spans="2:7" x14ac:dyDescent="0.35">
      <c r="B120" s="19" t="s">
        <v>55</v>
      </c>
      <c r="C120" s="20">
        <f>C116+C117+C118+C119</f>
        <v>87790.23000000001</v>
      </c>
      <c r="D120" s="20">
        <f>D116+D117+D118+D119</f>
        <v>158121.47823529411</v>
      </c>
      <c r="E120" s="20">
        <f>IFERROR(D120-C120,0)</f>
        <v>70331.248235294101</v>
      </c>
      <c r="F120" s="21">
        <f>IFERROR(1-C120/D120,0)</f>
        <v>0.44479250396734238</v>
      </c>
    </row>
    <row r="122" spans="2:7" s="10" customFormat="1" x14ac:dyDescent="0.35">
      <c r="B122" s="10" t="s">
        <v>64</v>
      </c>
      <c r="D122" s="11" t="s">
        <v>41</v>
      </c>
    </row>
    <row r="123" spans="2:7" outlineLevel="1" collapsed="1" x14ac:dyDescent="0.35">
      <c r="B123" s="12" t="s">
        <v>45</v>
      </c>
      <c r="C123" s="13">
        <f>'LED Cost Sheet'!T13</f>
        <v>28714.71</v>
      </c>
      <c r="D123" s="13">
        <f>'LED Cost Sheet'!V13</f>
        <v>81602.53</v>
      </c>
      <c r="E123" s="13">
        <f t="shared" ref="E123:E129" si="9">IFERROR(D123-C123,0)</f>
        <v>52887.82</v>
      </c>
      <c r="F123" s="14">
        <v>0.15</v>
      </c>
    </row>
    <row r="124" spans="2:7" outlineLevel="1" collapsed="1" x14ac:dyDescent="0.35">
      <c r="B124" s="12" t="s">
        <v>46</v>
      </c>
      <c r="C124" s="13">
        <f>'T2-B1M Screen 21 - Install'!I26</f>
        <v>1713.75</v>
      </c>
      <c r="D124" s="13">
        <f>IFERROR(C124/(1-F124),0)</f>
        <v>2016.1764705882354</v>
      </c>
      <c r="E124" s="13">
        <f t="shared" si="9"/>
        <v>302.42647058823536</v>
      </c>
      <c r="F124" s="14">
        <v>0.15</v>
      </c>
    </row>
    <row r="125" spans="2:7" outlineLevel="1" collapsed="1" x14ac:dyDescent="0.35">
      <c r="B125" s="12" t="s">
        <v>47</v>
      </c>
      <c r="C125" s="13">
        <f>'T2-B1M Screen 21 - Install'!I35-'T2-B1M Screen 21 - Install'!I34</f>
        <v>7140.630000000001</v>
      </c>
      <c r="D125" s="13">
        <f>IFERROR(C125/(1-F125),0)</f>
        <v>8400.7411764705903</v>
      </c>
      <c r="E125" s="13">
        <f t="shared" si="9"/>
        <v>1260.1111764705893</v>
      </c>
      <c r="F125" s="14">
        <v>0.15</v>
      </c>
    </row>
    <row r="126" spans="2:7" outlineLevel="1" collapsed="1" x14ac:dyDescent="0.35">
      <c r="B126" s="12" t="s">
        <v>48</v>
      </c>
      <c r="C126" s="13">
        <f>'T2-B1M Screen 21 - Install'!I44</f>
        <v>7140.63</v>
      </c>
      <c r="D126" s="13">
        <f>IFERROR(C126/(1-F126),0)</f>
        <v>8400.7411764705885</v>
      </c>
      <c r="E126" s="13">
        <f t="shared" si="9"/>
        <v>1260.1111764705884</v>
      </c>
      <c r="F126" s="14">
        <v>0.15</v>
      </c>
    </row>
    <row r="127" spans="2:7" outlineLevel="1" collapsed="1" x14ac:dyDescent="0.35">
      <c r="B127" s="12" t="s">
        <v>49</v>
      </c>
      <c r="C127" s="13">
        <f>'T2-B1M Screen 21 - Install'!I34</f>
        <v>20882.349999999999</v>
      </c>
      <c r="D127" s="13">
        <f>IFERROR(C127/(1-F127),0)</f>
        <v>24567.470588235294</v>
      </c>
      <c r="E127" s="13">
        <f t="shared" si="9"/>
        <v>3685.1205882352951</v>
      </c>
      <c r="F127" s="14">
        <v>0.15</v>
      </c>
    </row>
    <row r="128" spans="2:7" outlineLevel="1" collapsed="1" x14ac:dyDescent="0.35">
      <c r="B128" s="12" t="s">
        <v>50</v>
      </c>
      <c r="C128" s="13">
        <f>'T2-B1M Screen 21 - Install'!I52</f>
        <v>4705.88</v>
      </c>
      <c r="D128" s="13">
        <f>IFERROR(C128/(1-F128),0)</f>
        <v>5536.3294117647065</v>
      </c>
      <c r="E128" s="13">
        <f t="shared" si="9"/>
        <v>830.44941176470638</v>
      </c>
      <c r="F128" s="14">
        <v>0.15</v>
      </c>
    </row>
    <row r="129" spans="2:7" outlineLevel="1" collapsed="1" x14ac:dyDescent="0.35">
      <c r="B129" s="2" t="s">
        <v>51</v>
      </c>
      <c r="C129" s="15">
        <f>SUM(C123:C128)</f>
        <v>70297.95</v>
      </c>
      <c r="D129" s="15">
        <f>SUM(D123:D128)</f>
        <v>130523.98882352941</v>
      </c>
      <c r="E129" s="15">
        <f t="shared" si="9"/>
        <v>60226.038823529409</v>
      </c>
      <c r="F129" s="16">
        <f>IFERROR(1-C129/D129,0)</f>
        <v>0.46141739435312545</v>
      </c>
    </row>
    <row r="130" spans="2:7" outlineLevel="1" collapsed="1" x14ac:dyDescent="0.35">
      <c r="B130" s="12" t="s">
        <v>52</v>
      </c>
      <c r="C130" s="17">
        <v>0</v>
      </c>
      <c r="D130" s="17">
        <v>0</v>
      </c>
      <c r="E130" s="17">
        <v>0</v>
      </c>
      <c r="G130" s="18">
        <v>0</v>
      </c>
    </row>
    <row r="131" spans="2:7" outlineLevel="1" collapsed="1" x14ac:dyDescent="0.35">
      <c r="B131" s="12" t="s">
        <v>53</v>
      </c>
      <c r="C131" s="17">
        <v>0</v>
      </c>
      <c r="D131" s="17">
        <v>0</v>
      </c>
      <c r="E131" s="17">
        <v>0</v>
      </c>
      <c r="G131" s="18">
        <v>0</v>
      </c>
    </row>
    <row r="132" spans="2:7" outlineLevel="1" collapsed="1" x14ac:dyDescent="0.35">
      <c r="B132" s="12" t="s">
        <v>54</v>
      </c>
      <c r="C132" s="17">
        <v>0</v>
      </c>
      <c r="D132" s="17">
        <v>0</v>
      </c>
      <c r="E132" s="17">
        <v>0</v>
      </c>
      <c r="G132" s="18">
        <v>0</v>
      </c>
    </row>
    <row r="133" spans="2:7" x14ac:dyDescent="0.35">
      <c r="B133" s="19" t="s">
        <v>55</v>
      </c>
      <c r="C133" s="20">
        <f>C129+C130+C131+C132</f>
        <v>70297.95</v>
      </c>
      <c r="D133" s="20">
        <f>D129+D130+D131+D132</f>
        <v>130523.98882352941</v>
      </c>
      <c r="E133" s="20">
        <f>IFERROR(D133-C133,0)</f>
        <v>60226.038823529409</v>
      </c>
      <c r="F133" s="21">
        <f>IFERROR(1-C133/D133,0)</f>
        <v>0.46141739435312545</v>
      </c>
    </row>
    <row r="135" spans="2:7" s="10" customFormat="1" x14ac:dyDescent="0.35">
      <c r="B135" s="10" t="s">
        <v>65</v>
      </c>
      <c r="D135" s="11" t="s">
        <v>41</v>
      </c>
    </row>
    <row r="136" spans="2:7" outlineLevel="1" collapsed="1" x14ac:dyDescent="0.35">
      <c r="B136" s="12" t="s">
        <v>45</v>
      </c>
      <c r="C136" s="13">
        <f>'LED Cost Sheet'!T14</f>
        <v>19348.52</v>
      </c>
      <c r="D136" s="13">
        <f>'LED Cost Sheet'!V14</f>
        <v>64730.65</v>
      </c>
      <c r="E136" s="13">
        <f t="shared" ref="E136:E142" si="10">IFERROR(D136-C136,0)</f>
        <v>45382.130000000005</v>
      </c>
      <c r="F136" s="14">
        <v>0.15</v>
      </c>
    </row>
    <row r="137" spans="2:7" outlineLevel="1" collapsed="1" x14ac:dyDescent="0.35">
      <c r="B137" s="12" t="s">
        <v>46</v>
      </c>
      <c r="C137" s="13">
        <f>'T2-B1M Screen 22 - Install'!I26</f>
        <v>1147.5</v>
      </c>
      <c r="D137" s="13">
        <f>IFERROR(C137/(1-F137),0)</f>
        <v>1350</v>
      </c>
      <c r="E137" s="13">
        <f t="shared" si="10"/>
        <v>202.5</v>
      </c>
      <c r="F137" s="14">
        <v>0.15</v>
      </c>
    </row>
    <row r="138" spans="2:7" outlineLevel="1" collapsed="1" x14ac:dyDescent="0.35">
      <c r="B138" s="12" t="s">
        <v>47</v>
      </c>
      <c r="C138" s="13">
        <f>'T2-B1M Screen 22 - Install'!I35-'T2-B1M Screen 22 - Install'!I34</f>
        <v>4781.25</v>
      </c>
      <c r="D138" s="13">
        <f>IFERROR(C138/(1-F138),0)</f>
        <v>5625</v>
      </c>
      <c r="E138" s="13">
        <f t="shared" si="10"/>
        <v>843.75</v>
      </c>
      <c r="F138" s="14">
        <v>0.15</v>
      </c>
    </row>
    <row r="139" spans="2:7" outlineLevel="1" collapsed="1" x14ac:dyDescent="0.35">
      <c r="B139" s="12" t="s">
        <v>48</v>
      </c>
      <c r="C139" s="13">
        <f>'T2-B1M Screen 22 - Install'!I44</f>
        <v>4781.25</v>
      </c>
      <c r="D139" s="13">
        <f>IFERROR(C139/(1-F139),0)</f>
        <v>5625</v>
      </c>
      <c r="E139" s="13">
        <f t="shared" si="10"/>
        <v>843.75</v>
      </c>
      <c r="F139" s="14">
        <v>0.15</v>
      </c>
    </row>
    <row r="140" spans="2:7" outlineLevel="1" collapsed="1" x14ac:dyDescent="0.35">
      <c r="B140" s="12" t="s">
        <v>49</v>
      </c>
      <c r="C140" s="13">
        <f>'T2-B1M Screen 22 - Install'!I34</f>
        <v>20882.349999999999</v>
      </c>
      <c r="D140" s="13">
        <f>IFERROR(C140/(1-F140),0)</f>
        <v>24567.470588235294</v>
      </c>
      <c r="E140" s="13">
        <f t="shared" si="10"/>
        <v>3685.1205882352951</v>
      </c>
      <c r="F140" s="14">
        <v>0.15</v>
      </c>
    </row>
    <row r="141" spans="2:7" outlineLevel="1" collapsed="1" x14ac:dyDescent="0.35">
      <c r="B141" s="12" t="s">
        <v>50</v>
      </c>
      <c r="C141" s="13">
        <f>'T2-B1M Screen 22 - Install'!I52</f>
        <v>4705.88</v>
      </c>
      <c r="D141" s="13">
        <f>IFERROR(C141/(1-F141),0)</f>
        <v>5536.3294117647065</v>
      </c>
      <c r="E141" s="13">
        <f t="shared" si="10"/>
        <v>830.44941176470638</v>
      </c>
      <c r="F141" s="14">
        <v>0.15</v>
      </c>
    </row>
    <row r="142" spans="2:7" outlineLevel="1" collapsed="1" x14ac:dyDescent="0.35">
      <c r="B142" s="2" t="s">
        <v>51</v>
      </c>
      <c r="C142" s="15">
        <f>SUM(C136:C141)</f>
        <v>55646.749999999993</v>
      </c>
      <c r="D142" s="15">
        <f>SUM(D136:D141)</f>
        <v>107434.45</v>
      </c>
      <c r="E142" s="15">
        <f t="shared" si="10"/>
        <v>51787.700000000004</v>
      </c>
      <c r="F142" s="16">
        <f>IFERROR(1-C142/D142,0)</f>
        <v>0.48203997879637306</v>
      </c>
    </row>
    <row r="143" spans="2:7" outlineLevel="1" collapsed="1" x14ac:dyDescent="0.35">
      <c r="B143" s="12" t="s">
        <v>52</v>
      </c>
      <c r="C143" s="17">
        <v>0</v>
      </c>
      <c r="D143" s="17">
        <v>0</v>
      </c>
      <c r="E143" s="17">
        <v>0</v>
      </c>
      <c r="G143" s="18">
        <v>0</v>
      </c>
    </row>
    <row r="144" spans="2:7" outlineLevel="1" collapsed="1" x14ac:dyDescent="0.35">
      <c r="B144" s="12" t="s">
        <v>53</v>
      </c>
      <c r="C144" s="17">
        <v>0</v>
      </c>
      <c r="D144" s="17">
        <v>0</v>
      </c>
      <c r="E144" s="17">
        <v>0</v>
      </c>
      <c r="G144" s="18">
        <v>0</v>
      </c>
    </row>
    <row r="145" spans="1:7" outlineLevel="1" collapsed="1" x14ac:dyDescent="0.35">
      <c r="B145" s="12" t="s">
        <v>54</v>
      </c>
      <c r="C145" s="17">
        <v>0</v>
      </c>
      <c r="D145" s="17">
        <v>0</v>
      </c>
      <c r="E145" s="17">
        <v>0</v>
      </c>
      <c r="G145" s="18">
        <v>0</v>
      </c>
    </row>
    <row r="146" spans="1:7" x14ac:dyDescent="0.35">
      <c r="B146" s="19" t="s">
        <v>55</v>
      </c>
      <c r="C146" s="20">
        <f>C142+C143+C144+C145</f>
        <v>55646.749999999993</v>
      </c>
      <c r="D146" s="20">
        <f>D142+D143+D144+D145</f>
        <v>107434.45</v>
      </c>
      <c r="E146" s="20">
        <f>IFERROR(D146-C146,0)</f>
        <v>51787.700000000004</v>
      </c>
      <c r="F146" s="21">
        <f>IFERROR(1-C146/D146,0)</f>
        <v>0.48203997879637306</v>
      </c>
    </row>
    <row r="149" spans="1:7" ht="16" customHeight="1" x14ac:dyDescent="0.35">
      <c r="B149" s="22" t="s">
        <v>66</v>
      </c>
      <c r="C149" s="22"/>
      <c r="D149" s="22"/>
      <c r="E149" s="22"/>
      <c r="F149" s="22"/>
    </row>
    <row r="150" spans="1:7" x14ac:dyDescent="0.35">
      <c r="B150" s="23" t="s">
        <v>67</v>
      </c>
      <c r="C150" s="17">
        <f>SUM(CMS!F26:F26)</f>
        <v>0</v>
      </c>
      <c r="D150" s="17">
        <f>SUM(CMS!H26:H26)</f>
        <v>0</v>
      </c>
      <c r="E150" s="17">
        <f>SUM(CMS!I26:I26)</f>
        <v>0</v>
      </c>
      <c r="F150" s="18">
        <v>0.15</v>
      </c>
    </row>
    <row r="151" spans="1:7" x14ac:dyDescent="0.35">
      <c r="B151" s="23" t="s">
        <v>68</v>
      </c>
      <c r="C151" s="17">
        <f>SUM(Scoring!F27:F27)</f>
        <v>0</v>
      </c>
      <c r="D151" s="17">
        <f>SUM(Scoring!H27:H27)</f>
        <v>0</v>
      </c>
      <c r="E151" s="17">
        <f>SUM(Scoring!I27:I27)</f>
        <v>0</v>
      </c>
      <c r="F151" s="18">
        <v>0.15</v>
      </c>
    </row>
    <row r="152" spans="1:7" x14ac:dyDescent="0.35">
      <c r="B152" s="23" t="s">
        <v>69</v>
      </c>
      <c r="C152" s="17">
        <f>SUM('Venue Services'!B17:B17)</f>
        <v>0</v>
      </c>
      <c r="D152" s="17">
        <f>SUM('Venue Services'!C17:C17)</f>
        <v>0</v>
      </c>
      <c r="E152" s="17">
        <f>SUM('Venue Services'!D17:D17)</f>
        <v>0</v>
      </c>
      <c r="F152" s="24">
        <v>0.15</v>
      </c>
    </row>
    <row r="153" spans="1:7" x14ac:dyDescent="0.35">
      <c r="B153" s="23" t="s">
        <v>70</v>
      </c>
      <c r="C153" s="17">
        <f>SUM('Additional Items'!F5:F5)</f>
        <v>0</v>
      </c>
      <c r="D153" s="17">
        <f>SUM('Additional Items'!H5:H5)</f>
        <v>0</v>
      </c>
      <c r="E153" s="17">
        <f>SUM('Additional Items'!I5:I5)</f>
        <v>0</v>
      </c>
      <c r="F153" s="24">
        <f>SUM('Additional Items'!G5:G5)</f>
        <v>0.15</v>
      </c>
    </row>
    <row r="154" spans="1:7" x14ac:dyDescent="0.35">
      <c r="B154" s="23" t="s">
        <v>71</v>
      </c>
      <c r="C154" s="17">
        <f>SUM('Additional Items'!F6:F6)</f>
        <v>0</v>
      </c>
      <c r="D154" s="17">
        <f>SUM('Additional Items'!H6:H6)</f>
        <v>0</v>
      </c>
      <c r="E154" s="17">
        <f>SUM('Additional Items'!I6:I6)</f>
        <v>0</v>
      </c>
      <c r="F154" s="24">
        <f>SUM('Additional Items'!G6:G6)</f>
        <v>0.15</v>
      </c>
    </row>
    <row r="155" spans="1:7" x14ac:dyDescent="0.35">
      <c r="B155" s="23" t="s">
        <v>72</v>
      </c>
      <c r="C155" s="17">
        <f>SUM('Additional Items'!F7:F7)</f>
        <v>0</v>
      </c>
      <c r="D155" s="17">
        <f>SUM('Additional Items'!H7:H7)</f>
        <v>0</v>
      </c>
      <c r="E155" s="17">
        <f>SUM('Additional Items'!I7:I7)</f>
        <v>0</v>
      </c>
      <c r="F155" s="24">
        <f>SUM('Additional Items'!G7:G7)</f>
        <v>0.15</v>
      </c>
    </row>
    <row r="156" spans="1:7" x14ac:dyDescent="0.35">
      <c r="B156" s="23" t="s">
        <v>73</v>
      </c>
      <c r="C156" s="17">
        <f>SUM('Additional Items'!F8:F8)</f>
        <v>0</v>
      </c>
      <c r="D156" s="17">
        <f>SUM('Additional Items'!H8:H8)</f>
        <v>0</v>
      </c>
      <c r="E156" s="17">
        <f>SUM('Additional Items'!I8:I8)</f>
        <v>0</v>
      </c>
      <c r="F156" s="24">
        <f>SUM('Additional Items'!G8:G8)</f>
        <v>0.15</v>
      </c>
    </row>
    <row r="158" spans="1:7" ht="15.5" outlineLevel="1" collapsed="1" x14ac:dyDescent="0.35">
      <c r="A158" s="25"/>
      <c r="B158" s="26" t="s">
        <v>74</v>
      </c>
      <c r="C158" s="27">
        <f>SUM(C16,C29,C42,C55,C68,C81,C94,C107,C120,C133,C146,C150,C151,C152,C153,C154,C155,C156)</f>
        <v>2829644.1199999996</v>
      </c>
      <c r="D158" s="27">
        <f>SUM(D16,D29,D42,D55,D68,D81,D94,D107,D120,D133,D146,D150,D151,D152,D153,D154,D155,D156)</f>
        <v>4636569.1852941168</v>
      </c>
      <c r="E158" s="27">
        <f>IFERROR(D158-C158,0)</f>
        <v>1806925.0652941172</v>
      </c>
      <c r="F158" s="28">
        <f>IFERROR(1-C158/D158,0)</f>
        <v>0.38971165814265674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8A745"/>
  </sheetPr>
  <dimension ref="A1:G22"/>
  <sheetViews>
    <sheetView workbookViewId="0"/>
  </sheetViews>
  <sheetFormatPr defaultRowHeight="14.5" x14ac:dyDescent="0.3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spans="1:7" ht="24" customHeight="1" x14ac:dyDescent="0.35">
      <c r="A1" s="88" t="s">
        <v>75</v>
      </c>
      <c r="B1" s="88"/>
      <c r="C1" s="88"/>
      <c r="D1" s="88"/>
      <c r="E1" s="88"/>
      <c r="F1" s="88"/>
      <c r="G1" s="88"/>
    </row>
    <row r="2" spans="1:7" x14ac:dyDescent="0.35">
      <c r="A2" s="89" t="s">
        <v>76</v>
      </c>
      <c r="B2" s="89"/>
      <c r="C2" s="89"/>
      <c r="D2" s="89"/>
      <c r="E2" s="89"/>
      <c r="F2" s="89"/>
      <c r="G2" s="89"/>
    </row>
    <row r="4" spans="1:7" ht="18.649999999999999" customHeight="1" x14ac:dyDescent="0.35">
      <c r="A4" s="29" t="s">
        <v>38</v>
      </c>
      <c r="B4" s="29" t="s">
        <v>77</v>
      </c>
      <c r="C4" s="29" t="s">
        <v>40</v>
      </c>
      <c r="D4" s="29" t="s">
        <v>41</v>
      </c>
      <c r="E4" s="29" t="s">
        <v>42</v>
      </c>
      <c r="F4" s="29" t="s">
        <v>43</v>
      </c>
      <c r="G4" s="29" t="s">
        <v>78</v>
      </c>
    </row>
    <row r="5" spans="1:7" x14ac:dyDescent="0.35">
      <c r="B5" s="3" t="s">
        <v>79</v>
      </c>
      <c r="C5" s="17">
        <f>SUM('LED Cost Sheet'!Q4:Q14)</f>
        <v>1502080.2100000002</v>
      </c>
      <c r="D5" s="17">
        <f>SUM('LED Cost Sheet'!S4:S14)</f>
        <v>51540.899999999994</v>
      </c>
      <c r="E5" s="17">
        <f t="shared" ref="E5:E17" si="0">IFERROR(D5-C5,0)</f>
        <v>-1450539.3100000003</v>
      </c>
      <c r="F5" s="24">
        <v>0.15</v>
      </c>
      <c r="G5" s="17">
        <f>IFERROR(C5/5154.09,0)</f>
        <v>291.43461018336899</v>
      </c>
    </row>
    <row r="6" spans="1:7" x14ac:dyDescent="0.35">
      <c r="A6" s="30"/>
      <c r="B6" s="5" t="s">
        <v>80</v>
      </c>
      <c r="C6" s="31">
        <f>SUM('Underpass 1 - Install'!I26:I26)+SUM('Underpass 2 - Install'!I26:I26)+SUM('Underpass 3 - Install'!I26:I26)+SUM('Underpass 4 - Install'!I26:I26)+SUM('Concourse - Install'!I26:I26)+SUM('T4-B1 (6-9) - Install'!I26:I26)+SUM('T4-B2 (10-18) - Install'!I26:I26)+SUM('T4 Lobby Elevator - Install'!I26:I26)+SUM('T2-B1M Screen 20 - Install'!I26:I26)+SUM('T2-B1M Screen 21 - Install'!I26:I26)+SUM('T2-B1M Screen 22 - Install'!I26:I26)</f>
        <v>94447.5</v>
      </c>
      <c r="D6" s="31">
        <f>SUM('Underpass 1 - Install'!K26:K26)+SUM('Underpass 2 - Install'!K26:K26)+SUM('Underpass 3 - Install'!K26:K26)+SUM('Underpass 4 - Install'!K26:K26)+SUM('Concourse - Install'!K26:K26)+SUM('T4-B1 (6-9) - Install'!K26:K26)+SUM('T4-B2 (10-18) - Install'!K26:K26)+SUM('T4 Lobby Elevator - Install'!K26:K26)+SUM('T2-B1M Screen 20 - Install'!K26:K26)+SUM('T2-B1M Screen 21 - Install'!K26:K26)+SUM('T2-B1M Screen 22 - Install'!K26:K26)</f>
        <v>111114.70588235295</v>
      </c>
      <c r="E6" s="31">
        <f t="shared" si="0"/>
        <v>16667.205882352951</v>
      </c>
      <c r="F6" s="32">
        <v>0.15</v>
      </c>
      <c r="G6" s="31">
        <f>IFERROR(C6/5154.09,0)</f>
        <v>18.324767320710347</v>
      </c>
    </row>
    <row r="7" spans="1:7" x14ac:dyDescent="0.35">
      <c r="B7" s="3" t="s">
        <v>81</v>
      </c>
      <c r="C7" s="17">
        <f>(SUM('Underpass 1 - Install'!I35:I35)-SUM('Underpass 1 - Install'!I34:I34))+(SUM('Underpass 2 - Install'!I35:I35)-SUM('Underpass 2 - Install'!I34:I34))+(SUM('Underpass 3 - Install'!I35:I35)-SUM('Underpass 3 - Install'!I34:I34))+(SUM('Underpass 4 - Install'!I35:I35)-SUM('Underpass 4 - Install'!I34:I34))+(SUM('Concourse - Install'!I35:I35)-SUM('Concourse - Install'!I34:I34))+(SUM('T4-B1 (6-9) - Install'!I35:I35)-SUM('T4-B1 (6-9) - Install'!I34:I34))+(SUM('T4-B2 (10-18) - Install'!I35:I35)-SUM('T4-B2 (10-18) - Install'!I34:I34))+(SUM('T4 Lobby Elevator - Install'!I35:I35)-SUM('T4 Lobby Elevator - Install'!I34:I34))+(SUM('T2-B1M Screen 20 - Install'!I35:I35)-SUM('T2-B1M Screen 20 - Install'!I34:I34))+(SUM('T2-B1M Screen 21 - Install'!I35:I35)-SUM('T2-B1M Screen 21 - Install'!I34:I34))+(SUM('T2-B1M Screen 22 - Install'!I35:I35)-SUM('T2-B1M Screen 22 - Install'!I34:I34))</f>
        <v>393531.27</v>
      </c>
      <c r="D7" s="17">
        <f>(SUM('Underpass 1 - Install'!K35:K35)-SUM('Underpass 1 - Install'!K34:K34))+(SUM('Underpass 2 - Install'!K35:K35)-SUM('Underpass 2 - Install'!K34:K34))+(SUM('Underpass 3 - Install'!K35:K35)-SUM('Underpass 3 - Install'!K34:K34))+(SUM('Underpass 4 - Install'!K35:K35)-SUM('Underpass 4 - Install'!K34:K34))+(SUM('Concourse - Install'!K35:K35)-SUM('Concourse - Install'!K34:K34))+(SUM('T4-B1 (6-9) - Install'!K35:K35)-SUM('T4-B1 (6-9) - Install'!K34:K34))+(SUM('T4-B2 (10-18) - Install'!K35:K35)-SUM('T4-B2 (10-18) - Install'!K34:K34))+(SUM('T4 Lobby Elevator - Install'!K35:K35)-SUM('T4 Lobby Elevator - Install'!K34:K34))+(SUM('T2-B1M Screen 20 - Install'!K35:K35)-SUM('T2-B1M Screen 20 - Install'!K34:K34))+(SUM('T2-B1M Screen 21 - Install'!K35:K35)-SUM('T2-B1M Screen 21 - Install'!K34:K34))+(SUM('T2-B1M Screen 22 - Install'!K35:K35)-SUM('T2-B1M Screen 22 - Install'!K34:K34))</f>
        <v>462977.96470588236</v>
      </c>
      <c r="E7" s="17">
        <f t="shared" si="0"/>
        <v>69446.694705882343</v>
      </c>
      <c r="F7" s="24">
        <v>0.15</v>
      </c>
      <c r="G7" s="17">
        <f>IFERROR(C7/5154.09,0)</f>
        <v>76.353201050039871</v>
      </c>
    </row>
    <row r="8" spans="1:7" x14ac:dyDescent="0.35">
      <c r="A8" s="30"/>
      <c r="B8" s="5" t="s">
        <v>82</v>
      </c>
      <c r="C8" s="31">
        <f>SUM('Underpass 1 - Install'!I44:I44)+SUM('Underpass 2 - Install'!I44:I44)+SUM('Underpass 3 - Install'!I44:I44)+SUM('Underpass 4 - Install'!I44:I44)+SUM('Concourse - Install'!I44:I44)+SUM('T4-B1 (6-9) - Install'!I44:I44)+SUM('T4-B2 (10-18) - Install'!I44:I44)+SUM('T4 Lobby Elevator - Install'!I44:I44)+SUM('T2-B1M Screen 20 - Install'!I44:I44)+SUM('T2-B1M Screen 21 - Install'!I44:I44)+SUM('T2-B1M Screen 22 - Install'!I44:I44)</f>
        <v>393531.27</v>
      </c>
      <c r="D8" s="31">
        <f>SUM('Underpass 1 - Install'!K44:K44)+SUM('Underpass 2 - Install'!K44:K44)+SUM('Underpass 3 - Install'!K44:K44)+SUM('Underpass 4 - Install'!K44:K44)+SUM('Concourse - Install'!K44:K44)+SUM('T4-B1 (6-9) - Install'!K44:K44)+SUM('T4-B2 (10-18) - Install'!K44:K44)+SUM('T4 Lobby Elevator - Install'!K44:K44)+SUM('T2-B1M Screen 20 - Install'!K44:K44)+SUM('T2-B1M Screen 21 - Install'!K44:K44)+SUM('T2-B1M Screen 22 - Install'!K44:K44)</f>
        <v>462977.96470588242</v>
      </c>
      <c r="E8" s="31">
        <f t="shared" si="0"/>
        <v>69446.694705882401</v>
      </c>
      <c r="F8" s="32">
        <v>0.15</v>
      </c>
      <c r="G8" s="31">
        <f>IFERROR(C8/5154.09,0)</f>
        <v>76.353201050039871</v>
      </c>
    </row>
    <row r="9" spans="1:7" x14ac:dyDescent="0.35">
      <c r="B9" s="3" t="s">
        <v>83</v>
      </c>
      <c r="C9" s="17">
        <f>SUM('Underpass 1 - Install'!I34:I34)+SUM('Underpass 2 - Install'!I34:I34)+SUM('Underpass 3 - Install'!I34:I34)+SUM('Underpass 4 - Install'!I34:I34)+SUM('Concourse - Install'!I34:I34)+SUM('T4-B1 (6-9) - Install'!I34:I34)+SUM('T4-B2 (10-18) - Install'!I34:I34)+SUM('T4 Lobby Elevator - Install'!I34:I34)+SUM('T2-B1M Screen 20 - Install'!I34:I34)+SUM('T2-B1M Screen 21 - Install'!I34:I34)+SUM('T2-B1M Screen 22 - Install'!I34:I34)</f>
        <v>229705.85000000003</v>
      </c>
      <c r="D9" s="17">
        <f>SUM('Underpass 1 - Install'!K34:K34)+SUM('Underpass 2 - Install'!K34:K34)+SUM('Underpass 3 - Install'!K34:K34)+SUM('Underpass 4 - Install'!K34:K34)+SUM('Concourse - Install'!K34:K34)+SUM('T4-B1 (6-9) - Install'!K34:K34)+SUM('T4-B2 (10-18) - Install'!K34:K34)+SUM('T4 Lobby Elevator - Install'!K34:K34)+SUM('T2-B1M Screen 20 - Install'!K34:K34)+SUM('T2-B1M Screen 21 - Install'!K34:K34)+SUM('T2-B1M Screen 22 - Install'!K34:K34)</f>
        <v>270242.17647058825</v>
      </c>
      <c r="E9" s="17">
        <f t="shared" si="0"/>
        <v>40536.326470588217</v>
      </c>
      <c r="F9" s="24">
        <v>0.15</v>
      </c>
      <c r="G9" s="17" t="s">
        <v>38</v>
      </c>
    </row>
    <row r="10" spans="1:7" x14ac:dyDescent="0.35">
      <c r="A10" s="30"/>
      <c r="B10" s="5" t="s">
        <v>84</v>
      </c>
      <c r="C10" s="31">
        <f>SUM('Underpass 1 - Install'!I52:I52)+SUM('Underpass 2 - Install'!I52:I52)+SUM('Underpass 3 - Install'!I52:I52)+SUM('Underpass 4 - Install'!I52:I52)+SUM('Concourse - Install'!I52:I52)+SUM('T4-B1 (6-9) - Install'!I52:I52)+SUM('T4-B2 (10-18) - Install'!I52:I52)+SUM('T4 Lobby Elevator - Install'!I52:I52)+SUM('T2-B1M Screen 20 - Install'!I52:I52)+SUM('T2-B1M Screen 21 - Install'!I52:I52)+SUM('T2-B1M Screen 22 - Install'!I52:I52)</f>
        <v>51764.679999999993</v>
      </c>
      <c r="D10" s="31">
        <f>SUM('Underpass 1 - Install'!K52:K52)+SUM('Underpass 2 - Install'!K52:K52)+SUM('Underpass 3 - Install'!K52:K52)+SUM('Underpass 4 - Install'!K52:K52)+SUM('Concourse - Install'!K52:K52)+SUM('T4-B1 (6-9) - Install'!K52:K52)+SUM('T4-B2 (10-18) - Install'!K52:K52)+SUM('T4 Lobby Elevator - Install'!K52:K52)+SUM('T2-B1M Screen 20 - Install'!K52:K52)+SUM('T2-B1M Screen 21 - Install'!K52:K52)+SUM('T2-B1M Screen 22 - Install'!K52:K52)</f>
        <v>60899.623529411787</v>
      </c>
      <c r="E10" s="31">
        <f t="shared" si="0"/>
        <v>9134.9435294117939</v>
      </c>
      <c r="F10" s="32">
        <v>0.15</v>
      </c>
      <c r="G10" s="31" t="s">
        <v>38</v>
      </c>
    </row>
    <row r="11" spans="1:7" x14ac:dyDescent="0.35">
      <c r="B11" s="3" t="s">
        <v>67</v>
      </c>
      <c r="C11" s="17">
        <f>SUM(CMS!F26:F26)</f>
        <v>0</v>
      </c>
      <c r="D11" s="17">
        <f>SUM(CMS!H26:H26)</f>
        <v>0</v>
      </c>
      <c r="E11" s="17">
        <f t="shared" si="0"/>
        <v>0</v>
      </c>
      <c r="F11" s="24">
        <v>0.15</v>
      </c>
      <c r="G11" s="17" t="s">
        <v>38</v>
      </c>
    </row>
    <row r="12" spans="1:7" x14ac:dyDescent="0.35">
      <c r="A12" s="30"/>
      <c r="B12" s="5" t="s">
        <v>68</v>
      </c>
      <c r="C12" s="31">
        <f>SUM(Scoring!F27:F27)</f>
        <v>0</v>
      </c>
      <c r="D12" s="31">
        <f>SUM(Scoring!H27:H27)</f>
        <v>0</v>
      </c>
      <c r="E12" s="31">
        <f t="shared" si="0"/>
        <v>0</v>
      </c>
      <c r="F12" s="32">
        <v>0.15</v>
      </c>
      <c r="G12" s="31" t="s">
        <v>38</v>
      </c>
    </row>
    <row r="13" spans="1:7" x14ac:dyDescent="0.35">
      <c r="B13" s="3" t="s">
        <v>69</v>
      </c>
      <c r="C13" s="17">
        <f>SUM('Venue Services'!B17:B17)</f>
        <v>0</v>
      </c>
      <c r="D13" s="17">
        <f>SUM('Venue Services'!C17:C17)</f>
        <v>0</v>
      </c>
      <c r="E13" s="17">
        <f t="shared" si="0"/>
        <v>0</v>
      </c>
      <c r="F13" s="24">
        <v>0.15</v>
      </c>
      <c r="G13" s="17" t="s">
        <v>38</v>
      </c>
    </row>
    <row r="14" spans="1:7" x14ac:dyDescent="0.35">
      <c r="A14" s="30"/>
      <c r="B14" s="5" t="s">
        <v>70</v>
      </c>
      <c r="C14" s="31">
        <f>SUM('Additional Items'!F5:F5)</f>
        <v>0</v>
      </c>
      <c r="D14" s="31">
        <f>SUM('Additional Items'!H5:H5)</f>
        <v>0</v>
      </c>
      <c r="E14" s="31">
        <f t="shared" si="0"/>
        <v>0</v>
      </c>
      <c r="F14" s="32">
        <v>0.15</v>
      </c>
      <c r="G14" s="31" t="s">
        <v>38</v>
      </c>
    </row>
    <row r="15" spans="1:7" x14ac:dyDescent="0.35">
      <c r="B15" s="3" t="s">
        <v>71</v>
      </c>
      <c r="C15" s="17">
        <f>SUM('Additional Items'!F6:F6)</f>
        <v>0</v>
      </c>
      <c r="D15" s="17">
        <f>SUM('Additional Items'!H6:H6)</f>
        <v>0</v>
      </c>
      <c r="E15" s="17">
        <f t="shared" si="0"/>
        <v>0</v>
      </c>
      <c r="F15" s="24">
        <v>0.15</v>
      </c>
      <c r="G15" s="17" t="s">
        <v>38</v>
      </c>
    </row>
    <row r="16" spans="1:7" x14ac:dyDescent="0.35">
      <c r="A16" s="30"/>
      <c r="B16" s="5" t="s">
        <v>72</v>
      </c>
      <c r="C16" s="31">
        <f>SUM('Additional Items'!F7:F7)</f>
        <v>0</v>
      </c>
      <c r="D16" s="31">
        <f>SUM('Additional Items'!H7:H7)</f>
        <v>0</v>
      </c>
      <c r="E16" s="31">
        <f t="shared" si="0"/>
        <v>0</v>
      </c>
      <c r="F16" s="32">
        <v>0.15</v>
      </c>
      <c r="G16" s="31" t="s">
        <v>38</v>
      </c>
    </row>
    <row r="17" spans="1:7" x14ac:dyDescent="0.35">
      <c r="B17" s="3" t="s">
        <v>73</v>
      </c>
      <c r="C17" s="17">
        <f>SUM('Additional Items'!F8:F8)</f>
        <v>0</v>
      </c>
      <c r="D17" s="17">
        <f>SUM('Additional Items'!H8:H8)</f>
        <v>0</v>
      </c>
      <c r="E17" s="17">
        <f t="shared" si="0"/>
        <v>0</v>
      </c>
      <c r="F17" s="24">
        <v>0.15</v>
      </c>
      <c r="G17" s="17" t="s">
        <v>38</v>
      </c>
    </row>
    <row r="19" spans="1:7" x14ac:dyDescent="0.35">
      <c r="A19" s="33"/>
      <c r="B19" s="33" t="s">
        <v>85</v>
      </c>
      <c r="C19" s="34">
        <f>SUM(C5:C17)</f>
        <v>2665060.7800000003</v>
      </c>
      <c r="D19" s="34">
        <f>SUM(D5:D17)</f>
        <v>1419753.3352941177</v>
      </c>
      <c r="E19" s="34">
        <f>IFERROR(D19-C19,0)</f>
        <v>-1245307.4447058826</v>
      </c>
      <c r="F19" s="35">
        <f>IFERROR(1-C19/D19,0)</f>
        <v>-0.87712943773286023</v>
      </c>
      <c r="G19" s="34">
        <f>IFERROR(C19/5154.09,0)</f>
        <v>517.07688069086885</v>
      </c>
    </row>
    <row r="20" spans="1:7" x14ac:dyDescent="0.35">
      <c r="A20" s="30"/>
      <c r="B20" s="30" t="s">
        <v>86</v>
      </c>
      <c r="C20" s="31">
        <v>0</v>
      </c>
      <c r="D20" s="31">
        <v>0</v>
      </c>
      <c r="E20" s="31">
        <v>0</v>
      </c>
      <c r="F20" s="32">
        <v>0</v>
      </c>
      <c r="G20" s="30"/>
    </row>
    <row r="21" spans="1:7" x14ac:dyDescent="0.35">
      <c r="B21" t="s">
        <v>87</v>
      </c>
      <c r="C21" s="17">
        <v>0</v>
      </c>
      <c r="D21" s="17">
        <v>0</v>
      </c>
      <c r="E21" s="17">
        <v>0</v>
      </c>
      <c r="F21" s="24">
        <v>0</v>
      </c>
    </row>
    <row r="22" spans="1:7" ht="15.5" x14ac:dyDescent="0.35">
      <c r="A22" s="25"/>
      <c r="B22" s="26" t="s">
        <v>88</v>
      </c>
      <c r="C22" s="27">
        <f>C19+C20+C21</f>
        <v>2665060.7800000003</v>
      </c>
      <c r="D22" s="27">
        <f>D19+D20+D21</f>
        <v>1419753.3352941177</v>
      </c>
      <c r="E22" s="27">
        <f>IFERROR(D22-C22,0)</f>
        <v>-1245307.4447058826</v>
      </c>
      <c r="F22" s="28">
        <f>IFERROR(1-C22/D22,0)</f>
        <v>-0.87712943773286023</v>
      </c>
      <c r="G22" s="27">
        <f>IFERROR(C22/5154.09,0)</f>
        <v>517.07688069086885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8A745"/>
  </sheetPr>
  <dimension ref="A1:Z16"/>
  <sheetViews>
    <sheetView tabSelected="1" topLeftCell="N1" workbookViewId="0">
      <selection activeCell="V4" sqref="V4"/>
    </sheetView>
  </sheetViews>
  <sheetFormatPr defaultRowHeight="14.5" x14ac:dyDescent="0.3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spans="1:26" ht="24" customHeight="1" x14ac:dyDescent="0.35">
      <c r="A1" s="88" t="s">
        <v>89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</row>
    <row r="2" spans="1:26" ht="15.5" x14ac:dyDescent="0.35">
      <c r="U2" s="36" t="s">
        <v>90</v>
      </c>
      <c r="V2" s="37">
        <v>0.15</v>
      </c>
    </row>
    <row r="3" spans="1:26" ht="18.649999999999999" customHeight="1" x14ac:dyDescent="0.35">
      <c r="A3" s="22" t="s">
        <v>91</v>
      </c>
      <c r="B3" s="22" t="s">
        <v>92</v>
      </c>
      <c r="C3" s="22" t="s">
        <v>93</v>
      </c>
      <c r="D3" s="22" t="s">
        <v>94</v>
      </c>
      <c r="E3" s="22" t="s">
        <v>95</v>
      </c>
      <c r="F3" s="22" t="s">
        <v>96</v>
      </c>
      <c r="G3" s="22" t="s">
        <v>97</v>
      </c>
      <c r="H3" s="22" t="s">
        <v>98</v>
      </c>
      <c r="I3" s="22" t="s">
        <v>99</v>
      </c>
      <c r="J3" s="22" t="s">
        <v>100</v>
      </c>
      <c r="K3" s="22" t="s">
        <v>101</v>
      </c>
      <c r="L3" s="22" t="s">
        <v>102</v>
      </c>
      <c r="M3" s="22" t="s">
        <v>103</v>
      </c>
      <c r="N3" s="22" t="s">
        <v>104</v>
      </c>
      <c r="O3" s="22" t="s">
        <v>105</v>
      </c>
      <c r="P3" s="22" t="s">
        <v>106</v>
      </c>
      <c r="Q3" s="22" t="s">
        <v>107</v>
      </c>
      <c r="R3" s="22" t="s">
        <v>108</v>
      </c>
      <c r="S3" s="22" t="s">
        <v>109</v>
      </c>
      <c r="T3" s="22" t="s">
        <v>32</v>
      </c>
      <c r="U3" s="22" t="s">
        <v>43</v>
      </c>
      <c r="V3" s="22" t="s">
        <v>41</v>
      </c>
      <c r="W3" s="22" t="s">
        <v>110</v>
      </c>
      <c r="X3" s="22" t="s">
        <v>111</v>
      </c>
      <c r="Y3" s="22" t="s">
        <v>112</v>
      </c>
      <c r="Z3" s="22" t="s">
        <v>113</v>
      </c>
    </row>
    <row r="4" spans="1:26" x14ac:dyDescent="0.35">
      <c r="A4" s="38" t="s">
        <v>44</v>
      </c>
      <c r="B4" s="39">
        <v>6.3</v>
      </c>
      <c r="C4" s="39">
        <v>18.11</v>
      </c>
      <c r="D4" s="30" t="s">
        <v>38</v>
      </c>
      <c r="E4" s="30" t="s">
        <v>114</v>
      </c>
      <c r="F4" s="30" t="s">
        <v>115</v>
      </c>
      <c r="G4" s="40" t="s">
        <v>116</v>
      </c>
      <c r="H4" s="39">
        <v>6.3</v>
      </c>
      <c r="I4" s="39">
        <v>18.11</v>
      </c>
      <c r="J4" s="41">
        <v>768</v>
      </c>
      <c r="K4" s="41">
        <v>2208</v>
      </c>
      <c r="L4" s="42">
        <v>1</v>
      </c>
      <c r="M4" s="43">
        <f t="shared" ref="M4:M14" si="0">H4*I4*L4</f>
        <v>114.09299999999999</v>
      </c>
      <c r="N4" s="40">
        <v>2000</v>
      </c>
      <c r="O4" s="40" t="s">
        <v>117</v>
      </c>
      <c r="P4" s="31">
        <v>291.44</v>
      </c>
      <c r="Q4" s="31">
        <v>33250.160000000003</v>
      </c>
      <c r="R4" s="31">
        <f>SUM('Bundle Equipment'!E10:E10)</f>
        <v>518.45000000000005</v>
      </c>
      <c r="S4" s="31">
        <v>1140.9000000000001</v>
      </c>
      <c r="T4" s="44">
        <v>34909.51</v>
      </c>
      <c r="U4" s="32">
        <f t="shared" ref="U4:U14" si="1">V$2</f>
        <v>0.15</v>
      </c>
      <c r="V4" s="44">
        <v>92766.89</v>
      </c>
      <c r="W4" s="31">
        <v>12774.14</v>
      </c>
      <c r="X4" s="43">
        <v>558</v>
      </c>
      <c r="Y4" s="43">
        <v>4140</v>
      </c>
      <c r="Z4" s="43">
        <f t="shared" ref="Z4:Z14" si="2">Y4*3.412</f>
        <v>14125.68</v>
      </c>
    </row>
    <row r="5" spans="1:26" x14ac:dyDescent="0.35">
      <c r="A5" s="23" t="s">
        <v>56</v>
      </c>
      <c r="B5" s="45">
        <v>7.48</v>
      </c>
      <c r="C5" s="45">
        <v>29.92</v>
      </c>
      <c r="D5" t="s">
        <v>38</v>
      </c>
      <c r="E5" t="s">
        <v>114</v>
      </c>
      <c r="F5" t="s">
        <v>115</v>
      </c>
      <c r="G5" s="46" t="s">
        <v>116</v>
      </c>
      <c r="H5" s="45">
        <v>7.48</v>
      </c>
      <c r="I5" s="45">
        <v>29.92</v>
      </c>
      <c r="J5" s="47">
        <v>912</v>
      </c>
      <c r="K5" s="47">
        <v>3648</v>
      </c>
      <c r="L5" s="48">
        <v>1</v>
      </c>
      <c r="M5" s="49">
        <f t="shared" si="0"/>
        <v>223.80160000000004</v>
      </c>
      <c r="N5" s="46">
        <v>2000</v>
      </c>
      <c r="O5" s="46" t="s">
        <v>117</v>
      </c>
      <c r="P5" s="17">
        <v>291.44</v>
      </c>
      <c r="Q5" s="17">
        <v>65223.83</v>
      </c>
      <c r="R5" s="17">
        <f>SUM('Bundle Equipment'!E15:E15)</f>
        <v>584.28</v>
      </c>
      <c r="S5" s="17">
        <v>2238</v>
      </c>
      <c r="T5" s="50">
        <v>68046.11</v>
      </c>
      <c r="U5" s="24">
        <f t="shared" si="1"/>
        <v>0.15</v>
      </c>
      <c r="V5" s="50">
        <v>152572.17000000001</v>
      </c>
      <c r="W5" s="17">
        <v>20647.830000000002</v>
      </c>
      <c r="X5" s="49">
        <v>1094</v>
      </c>
      <c r="Y5" s="49">
        <v>8121</v>
      </c>
      <c r="Z5" s="49">
        <f t="shared" si="2"/>
        <v>27708.851999999999</v>
      </c>
    </row>
    <row r="6" spans="1:26" x14ac:dyDescent="0.35">
      <c r="A6" s="38" t="s">
        <v>57</v>
      </c>
      <c r="B6" s="39">
        <v>7.48</v>
      </c>
      <c r="C6" s="39">
        <v>29.92</v>
      </c>
      <c r="D6" s="30" t="s">
        <v>38</v>
      </c>
      <c r="E6" s="30" t="s">
        <v>114</v>
      </c>
      <c r="F6" s="30" t="s">
        <v>115</v>
      </c>
      <c r="G6" s="40" t="s">
        <v>116</v>
      </c>
      <c r="H6" s="39">
        <v>7.48</v>
      </c>
      <c r="I6" s="39">
        <v>29.92</v>
      </c>
      <c r="J6" s="41">
        <v>912</v>
      </c>
      <c r="K6" s="41">
        <v>3648</v>
      </c>
      <c r="L6" s="42">
        <v>1</v>
      </c>
      <c r="M6" s="43">
        <f t="shared" si="0"/>
        <v>223.80160000000004</v>
      </c>
      <c r="N6" s="40">
        <v>2000</v>
      </c>
      <c r="O6" s="40" t="s">
        <v>117</v>
      </c>
      <c r="P6" s="31">
        <v>291.44</v>
      </c>
      <c r="Q6" s="31">
        <v>65223.83</v>
      </c>
      <c r="R6" s="31">
        <f>SUM('Bundle Equipment'!E20:E20)</f>
        <v>584.28</v>
      </c>
      <c r="S6" s="31">
        <v>2238</v>
      </c>
      <c r="T6" s="44">
        <v>68046.11</v>
      </c>
      <c r="U6" s="32">
        <f t="shared" si="1"/>
        <v>0.15</v>
      </c>
      <c r="V6" s="44">
        <v>152572.17000000001</v>
      </c>
      <c r="W6" s="31">
        <v>20647.830000000002</v>
      </c>
      <c r="X6" s="43">
        <v>1094</v>
      </c>
      <c r="Y6" s="43">
        <v>8121</v>
      </c>
      <c r="Z6" s="43">
        <f t="shared" si="2"/>
        <v>27708.851999999999</v>
      </c>
    </row>
    <row r="7" spans="1:26" x14ac:dyDescent="0.35">
      <c r="A7" s="23" t="s">
        <v>58</v>
      </c>
      <c r="B7" s="45">
        <v>12.6</v>
      </c>
      <c r="C7" s="45">
        <v>29.92</v>
      </c>
      <c r="D7" t="s">
        <v>38</v>
      </c>
      <c r="E7" t="s">
        <v>114</v>
      </c>
      <c r="F7" t="s">
        <v>115</v>
      </c>
      <c r="G7" s="46" t="s">
        <v>116</v>
      </c>
      <c r="H7" s="45">
        <v>12.6</v>
      </c>
      <c r="I7" s="45">
        <v>29.92</v>
      </c>
      <c r="J7" s="47">
        <v>1536</v>
      </c>
      <c r="K7" s="47">
        <v>3648</v>
      </c>
      <c r="L7" s="48">
        <v>1</v>
      </c>
      <c r="M7" s="49">
        <f t="shared" si="0"/>
        <v>376.99200000000002</v>
      </c>
      <c r="N7" s="46">
        <v>2000</v>
      </c>
      <c r="O7" s="46" t="s">
        <v>117</v>
      </c>
      <c r="P7" s="17">
        <v>291.44</v>
      </c>
      <c r="Q7" s="17">
        <v>109869.21</v>
      </c>
      <c r="R7" s="17">
        <f>SUM('Bundle Equipment'!E26:E26)</f>
        <v>20626.190000000002</v>
      </c>
      <c r="S7" s="17">
        <v>3769.9</v>
      </c>
      <c r="T7" s="50">
        <v>134265.29999999999</v>
      </c>
      <c r="U7" s="24">
        <f t="shared" si="1"/>
        <v>0.15</v>
      </c>
      <c r="V7" s="50">
        <v>259474.86</v>
      </c>
      <c r="W7" s="17">
        <v>35151.33</v>
      </c>
      <c r="X7" s="49">
        <v>1842</v>
      </c>
      <c r="Y7" s="49">
        <v>13680</v>
      </c>
      <c r="Z7" s="49">
        <f t="shared" si="2"/>
        <v>46676.159999999996</v>
      </c>
    </row>
    <row r="8" spans="1:26" x14ac:dyDescent="0.35">
      <c r="A8" s="38" t="s">
        <v>59</v>
      </c>
      <c r="B8" s="39">
        <v>9.4499999999999993</v>
      </c>
      <c r="C8" s="39">
        <v>280.31</v>
      </c>
      <c r="D8" s="30" t="s">
        <v>38</v>
      </c>
      <c r="E8" s="30" t="s">
        <v>114</v>
      </c>
      <c r="F8" s="30" t="s">
        <v>115</v>
      </c>
      <c r="G8" s="40" t="s">
        <v>116</v>
      </c>
      <c r="H8" s="39">
        <v>9.4499999999999993</v>
      </c>
      <c r="I8" s="39">
        <v>280.31</v>
      </c>
      <c r="J8" s="41">
        <v>1152</v>
      </c>
      <c r="K8" s="41">
        <v>34175</v>
      </c>
      <c r="L8" s="42">
        <v>1</v>
      </c>
      <c r="M8" s="43">
        <f t="shared" si="0"/>
        <v>2648.9294999999997</v>
      </c>
      <c r="N8" s="40">
        <v>2000</v>
      </c>
      <c r="O8" s="40" t="s">
        <v>117</v>
      </c>
      <c r="P8" s="31">
        <v>291.44</v>
      </c>
      <c r="Q8" s="31">
        <v>771998.86</v>
      </c>
      <c r="R8" s="31">
        <f>SUM('Bundle Equipment'!E32:E32)</f>
        <v>47189.36</v>
      </c>
      <c r="S8" s="31">
        <v>26489.3</v>
      </c>
      <c r="T8" s="44">
        <v>845677.52</v>
      </c>
      <c r="U8" s="32">
        <f t="shared" si="1"/>
        <v>0.15</v>
      </c>
      <c r="V8" s="44">
        <v>1526801.71</v>
      </c>
      <c r="W8" s="31">
        <v>202530.95</v>
      </c>
      <c r="X8" s="43">
        <v>12945</v>
      </c>
      <c r="Y8" s="43">
        <v>96124</v>
      </c>
      <c r="Z8" s="43">
        <f t="shared" si="2"/>
        <v>327975.08799999999</v>
      </c>
    </row>
    <row r="9" spans="1:26" x14ac:dyDescent="0.35">
      <c r="A9" s="23" t="s">
        <v>60</v>
      </c>
      <c r="B9" s="45">
        <v>7.87</v>
      </c>
      <c r="C9" s="45">
        <v>8.66</v>
      </c>
      <c r="D9" t="s">
        <v>38</v>
      </c>
      <c r="E9" t="s">
        <v>114</v>
      </c>
      <c r="F9" t="s">
        <v>115</v>
      </c>
      <c r="G9" s="46" t="s">
        <v>116</v>
      </c>
      <c r="H9" s="45">
        <v>7.87</v>
      </c>
      <c r="I9" s="45">
        <v>8.66</v>
      </c>
      <c r="J9" s="47">
        <v>960</v>
      </c>
      <c r="K9" s="47">
        <v>1056</v>
      </c>
      <c r="L9" s="48">
        <v>4</v>
      </c>
      <c r="M9" s="49">
        <f t="shared" si="0"/>
        <v>272.61680000000001</v>
      </c>
      <c r="N9" s="46">
        <v>2000</v>
      </c>
      <c r="O9" s="46" t="s">
        <v>117</v>
      </c>
      <c r="P9" s="17">
        <v>291.42</v>
      </c>
      <c r="Q9" s="17">
        <v>79446</v>
      </c>
      <c r="R9" s="17">
        <f>SUM('Bundle Equipment'!E37:E37)</f>
        <v>613.56999999999994</v>
      </c>
      <c r="S9" s="17">
        <v>2726.2</v>
      </c>
      <c r="T9" s="50">
        <v>82785.77</v>
      </c>
      <c r="U9" s="24">
        <f t="shared" si="1"/>
        <v>0.15</v>
      </c>
      <c r="V9" s="50">
        <v>179138.59</v>
      </c>
      <c r="W9" s="17">
        <v>24144.59</v>
      </c>
      <c r="X9" s="49">
        <v>1332</v>
      </c>
      <c r="Y9" s="49">
        <v>9893</v>
      </c>
      <c r="Z9" s="49">
        <f t="shared" si="2"/>
        <v>33754.915999999997</v>
      </c>
    </row>
    <row r="10" spans="1:26" x14ac:dyDescent="0.35">
      <c r="A10" s="38" t="s">
        <v>61</v>
      </c>
      <c r="B10" s="39">
        <v>7.87</v>
      </c>
      <c r="C10" s="39">
        <v>8.66</v>
      </c>
      <c r="D10" s="30" t="s">
        <v>38</v>
      </c>
      <c r="E10" s="30" t="s">
        <v>114</v>
      </c>
      <c r="F10" s="30" t="s">
        <v>115</v>
      </c>
      <c r="G10" s="40" t="s">
        <v>116</v>
      </c>
      <c r="H10" s="39">
        <v>7.87</v>
      </c>
      <c r="I10" s="39">
        <v>8.66</v>
      </c>
      <c r="J10" s="41">
        <v>960</v>
      </c>
      <c r="K10" s="41">
        <v>1056</v>
      </c>
      <c r="L10" s="42">
        <v>9</v>
      </c>
      <c r="M10" s="43">
        <f t="shared" si="0"/>
        <v>613.38779999999997</v>
      </c>
      <c r="N10" s="40">
        <v>2000</v>
      </c>
      <c r="O10" s="40" t="s">
        <v>117</v>
      </c>
      <c r="P10" s="31">
        <v>291.42</v>
      </c>
      <c r="Q10" s="31">
        <v>178753.5</v>
      </c>
      <c r="R10" s="31">
        <f>SUM('Bundle Equipment'!E43:E43)</f>
        <v>20768.03</v>
      </c>
      <c r="S10" s="31">
        <v>6133.9</v>
      </c>
      <c r="T10" s="44">
        <v>205655.43</v>
      </c>
      <c r="U10" s="32">
        <f t="shared" si="1"/>
        <v>0.15</v>
      </c>
      <c r="V10" s="44">
        <v>388240.91</v>
      </c>
      <c r="W10" s="31">
        <v>52102.239999999998</v>
      </c>
      <c r="X10" s="43">
        <v>2997</v>
      </c>
      <c r="Y10" s="43">
        <v>22259</v>
      </c>
      <c r="Z10" s="43">
        <f t="shared" si="2"/>
        <v>75947.707999999999</v>
      </c>
    </row>
    <row r="11" spans="1:26" x14ac:dyDescent="0.35">
      <c r="A11" s="23" t="s">
        <v>62</v>
      </c>
      <c r="B11" s="45">
        <v>71.599999999999994</v>
      </c>
      <c r="C11" s="45">
        <v>5.5</v>
      </c>
      <c r="D11" t="s">
        <v>38</v>
      </c>
      <c r="E11" t="s">
        <v>114</v>
      </c>
      <c r="F11" t="s">
        <v>115</v>
      </c>
      <c r="G11" s="46" t="s">
        <v>116</v>
      </c>
      <c r="H11" s="45">
        <v>71.599999999999994</v>
      </c>
      <c r="I11" s="45">
        <v>5.5</v>
      </c>
      <c r="J11" s="47">
        <v>8729</v>
      </c>
      <c r="K11" s="47">
        <v>671</v>
      </c>
      <c r="L11" s="48">
        <v>1</v>
      </c>
      <c r="M11" s="49">
        <f t="shared" si="0"/>
        <v>393.79999999999995</v>
      </c>
      <c r="N11" s="46">
        <v>2000</v>
      </c>
      <c r="O11" s="46" t="s">
        <v>117</v>
      </c>
      <c r="P11" s="17">
        <v>291.44</v>
      </c>
      <c r="Q11" s="17">
        <v>114768.29</v>
      </c>
      <c r="R11" s="17">
        <f>SUM('Bundle Equipment'!E49:E49)</f>
        <v>20636.28</v>
      </c>
      <c r="S11" s="17">
        <v>3938</v>
      </c>
      <c r="T11" s="50">
        <v>139342.57</v>
      </c>
      <c r="U11" s="24">
        <f t="shared" si="1"/>
        <v>0.15</v>
      </c>
      <c r="V11" s="50">
        <v>268709.18</v>
      </c>
      <c r="W11" s="17">
        <v>36368.379999999997</v>
      </c>
      <c r="X11" s="49">
        <v>1924</v>
      </c>
      <c r="Y11" s="49">
        <v>14290</v>
      </c>
      <c r="Z11" s="49">
        <f t="shared" si="2"/>
        <v>48757.479999999996</v>
      </c>
    </row>
    <row r="12" spans="1:26" x14ac:dyDescent="0.35">
      <c r="A12" s="38" t="s">
        <v>63</v>
      </c>
      <c r="B12" s="39">
        <v>7.91</v>
      </c>
      <c r="C12" s="39">
        <v>16.5</v>
      </c>
      <c r="D12" s="30" t="s">
        <v>38</v>
      </c>
      <c r="E12" s="30" t="s">
        <v>114</v>
      </c>
      <c r="F12" s="30" t="s">
        <v>115</v>
      </c>
      <c r="G12" s="40" t="s">
        <v>116</v>
      </c>
      <c r="H12" s="39">
        <v>7.91</v>
      </c>
      <c r="I12" s="39">
        <v>16.5</v>
      </c>
      <c r="J12" s="41">
        <v>964</v>
      </c>
      <c r="K12" s="41">
        <v>2012</v>
      </c>
      <c r="L12" s="42">
        <v>1</v>
      </c>
      <c r="M12" s="43">
        <f t="shared" si="0"/>
        <v>130.51500000000001</v>
      </c>
      <c r="N12" s="40">
        <v>2000</v>
      </c>
      <c r="O12" s="40" t="s">
        <v>117</v>
      </c>
      <c r="P12" s="31">
        <v>291.44</v>
      </c>
      <c r="Q12" s="31">
        <v>38038.49</v>
      </c>
      <c r="R12" s="31">
        <f>SUM('Bundle Equipment'!E54:E54)</f>
        <v>528.30999999999995</v>
      </c>
      <c r="S12" s="31">
        <v>1305.2</v>
      </c>
      <c r="T12" s="44">
        <v>39872</v>
      </c>
      <c r="U12" s="32">
        <f t="shared" si="1"/>
        <v>0.15</v>
      </c>
      <c r="V12" s="44">
        <v>101747.09</v>
      </c>
      <c r="W12" s="31">
        <v>13956.86</v>
      </c>
      <c r="X12" s="43">
        <v>638</v>
      </c>
      <c r="Y12" s="43">
        <v>4736</v>
      </c>
      <c r="Z12" s="43">
        <f t="shared" si="2"/>
        <v>16159.232</v>
      </c>
    </row>
    <row r="13" spans="1:26" x14ac:dyDescent="0.35">
      <c r="A13" s="23" t="s">
        <v>64</v>
      </c>
      <c r="B13" s="45">
        <v>7.91</v>
      </c>
      <c r="C13" s="45">
        <v>11.83</v>
      </c>
      <c r="D13" t="s">
        <v>38</v>
      </c>
      <c r="E13" t="s">
        <v>114</v>
      </c>
      <c r="F13" t="s">
        <v>115</v>
      </c>
      <c r="G13" s="46" t="s">
        <v>116</v>
      </c>
      <c r="H13" s="45">
        <v>7.91</v>
      </c>
      <c r="I13" s="45">
        <v>11.83</v>
      </c>
      <c r="J13" s="47">
        <v>964</v>
      </c>
      <c r="K13" s="47">
        <v>1442</v>
      </c>
      <c r="L13" s="48">
        <v>1</v>
      </c>
      <c r="M13" s="49">
        <f t="shared" si="0"/>
        <v>93.575299999999999</v>
      </c>
      <c r="N13" s="46">
        <v>2000</v>
      </c>
      <c r="O13" s="46" t="s">
        <v>117</v>
      </c>
      <c r="P13" s="17">
        <v>291.44</v>
      </c>
      <c r="Q13" s="17">
        <v>27272.76</v>
      </c>
      <c r="R13" s="17">
        <f>SUM('Bundle Equipment'!E59:E59)</f>
        <v>506.15</v>
      </c>
      <c r="S13" s="17">
        <v>935.8</v>
      </c>
      <c r="T13" s="50">
        <v>28714.71</v>
      </c>
      <c r="U13" s="24">
        <f t="shared" si="1"/>
        <v>0.15</v>
      </c>
      <c r="V13" s="50">
        <v>81602.53</v>
      </c>
      <c r="W13" s="17">
        <v>11304.58</v>
      </c>
      <c r="X13" s="49">
        <v>457</v>
      </c>
      <c r="Y13" s="49">
        <v>3396</v>
      </c>
      <c r="Z13" s="49">
        <f t="shared" si="2"/>
        <v>11587.152</v>
      </c>
    </row>
    <row r="14" spans="1:26" x14ac:dyDescent="0.35">
      <c r="A14" s="38" t="s">
        <v>65</v>
      </c>
      <c r="B14" s="39">
        <v>7.91</v>
      </c>
      <c r="C14" s="39">
        <v>7.91</v>
      </c>
      <c r="D14" s="30" t="s">
        <v>38</v>
      </c>
      <c r="E14" s="30" t="s">
        <v>114</v>
      </c>
      <c r="F14" s="30" t="s">
        <v>115</v>
      </c>
      <c r="G14" s="40" t="s">
        <v>116</v>
      </c>
      <c r="H14" s="39">
        <v>7.91</v>
      </c>
      <c r="I14" s="39">
        <v>7.91</v>
      </c>
      <c r="J14" s="41">
        <v>964</v>
      </c>
      <c r="K14" s="41">
        <v>964</v>
      </c>
      <c r="L14" s="42">
        <v>1</v>
      </c>
      <c r="M14" s="43">
        <f t="shared" si="0"/>
        <v>62.568100000000001</v>
      </c>
      <c r="N14" s="40">
        <v>2000</v>
      </c>
      <c r="O14" s="40" t="s">
        <v>117</v>
      </c>
      <c r="P14" s="31">
        <v>291.44</v>
      </c>
      <c r="Q14" s="31">
        <v>18235.28</v>
      </c>
      <c r="R14" s="31">
        <f>SUM('Bundle Equipment'!E64:E64)</f>
        <v>487.54</v>
      </c>
      <c r="S14" s="31">
        <v>625.70000000000005</v>
      </c>
      <c r="T14" s="44">
        <v>19348.52</v>
      </c>
      <c r="U14" s="32">
        <f t="shared" si="1"/>
        <v>0.15</v>
      </c>
      <c r="V14" s="44">
        <v>64730.65</v>
      </c>
      <c r="W14" s="31">
        <v>9083.9</v>
      </c>
      <c r="X14" s="43">
        <v>306</v>
      </c>
      <c r="Y14" s="43">
        <v>2271</v>
      </c>
      <c r="Z14" s="43">
        <f t="shared" si="2"/>
        <v>7748.652</v>
      </c>
    </row>
    <row r="16" spans="1:26" x14ac:dyDescent="0.35">
      <c r="A16" s="51" t="s">
        <v>118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2">
        <f>M4+M5+M6+M7+M8+M9+M10+M11+M12+M13+M14</f>
        <v>5154.0807000000004</v>
      </c>
      <c r="N16" s="51"/>
      <c r="O16" s="51"/>
      <c r="P16" s="51"/>
      <c r="Q16" s="53">
        <f>Q4+Q5+Q6+Q7+Q8+Q9+Q10+Q11+Q12+Q13+Q14</f>
        <v>1502080.2100000002</v>
      </c>
      <c r="R16" s="53">
        <f>R4+R5+R6+R7+R8+R9+R10+R11+R12+R13+R14</f>
        <v>113042.43999999999</v>
      </c>
      <c r="S16" s="53">
        <f>S4+S5+S6+S7+S8+S9+S10+S11+S12+S13+S14</f>
        <v>51540.899999999994</v>
      </c>
      <c r="T16" s="53">
        <f>T4+T5+T6+T7+T8+T9+T10+T11+T12+T13+T14</f>
        <v>1666663.55</v>
      </c>
      <c r="U16" s="54">
        <f>IFERROR(1-T16/V16,0)</f>
        <v>0.49006070099293775</v>
      </c>
      <c r="V16" s="53">
        <f>V4+V5+V6+V7+V8+V9+V10+V11+V12+V13+V14</f>
        <v>3268356.7499999995</v>
      </c>
      <c r="W16" s="53">
        <f>W4+W5+W6+W7+W8+W9+W10+W11+W12+W13+W14</f>
        <v>438712.63000000006</v>
      </c>
      <c r="X16" s="52">
        <f>X4+X5+X6+X7+X8+X9+X10+X11+X12+X13+X14</f>
        <v>25187</v>
      </c>
      <c r="Y16" s="52">
        <f>Y4+Y5+Y6+Y7+Y8+Y9+Y10+Y11+Y12+Y13+Y14</f>
        <v>187031</v>
      </c>
      <c r="Z16" s="52">
        <f>Z4+Z5+Z6+Z7+Z8+Z9+Z10+Z11+Z12+Z13+Z14</f>
        <v>638149.77199999988</v>
      </c>
    </row>
  </sheetData>
  <mergeCells count="1">
    <mergeCell ref="A1:W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EE2E6"/>
  </sheetPr>
  <dimension ref="A1:O15"/>
  <sheetViews>
    <sheetView workbookViewId="0"/>
  </sheetViews>
  <sheetFormatPr defaultRowHeight="14.5" x14ac:dyDescent="0.3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spans="1:15" ht="24" customHeight="1" x14ac:dyDescent="0.35">
      <c r="A1" s="88" t="s">
        <v>119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 x14ac:dyDescent="0.35">
      <c r="A2" s="89" t="s">
        <v>120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</row>
    <row r="4" spans="1:15" ht="18.649999999999999" customHeight="1" x14ac:dyDescent="0.35">
      <c r="A4" s="55" t="s">
        <v>121</v>
      </c>
      <c r="B4" s="55" t="s">
        <v>102</v>
      </c>
      <c r="C4" s="55" t="s">
        <v>122</v>
      </c>
      <c r="D4" s="55" t="s">
        <v>123</v>
      </c>
      <c r="E4" s="55" t="s">
        <v>124</v>
      </c>
      <c r="F4" s="55" t="s">
        <v>125</v>
      </c>
      <c r="G4" s="55" t="s">
        <v>126</v>
      </c>
      <c r="H4" s="55" t="s">
        <v>127</v>
      </c>
      <c r="I4" s="55" t="s">
        <v>128</v>
      </c>
      <c r="J4" s="55" t="s">
        <v>105</v>
      </c>
      <c r="K4" s="55" t="s">
        <v>13</v>
      </c>
      <c r="L4" s="55" t="s">
        <v>111</v>
      </c>
      <c r="M4" s="55" t="s">
        <v>112</v>
      </c>
      <c r="N4" s="55" t="s">
        <v>129</v>
      </c>
      <c r="O4" s="55" t="s">
        <v>113</v>
      </c>
    </row>
    <row r="5" spans="1:15" x14ac:dyDescent="0.35">
      <c r="A5" s="30" t="str">
        <f>'LED Cost Sheet'!A4</f>
        <v>Underpass 1 — 9A Underpass 1-4</v>
      </c>
      <c r="B5" s="30">
        <f>'LED Cost Sheet'!I4</f>
        <v>18.11</v>
      </c>
      <c r="C5" s="30" t="str">
        <f>'LED Cost Sheet'!D4</f>
        <v/>
      </c>
      <c r="D5" s="30" t="str">
        <f>'LED Cost Sheet'!E4</f>
        <v>LG/Yaham</v>
      </c>
      <c r="E5" s="30" t="str">
        <f>'LED Cost Sheet'!F4</f>
        <v>C2.5-MIP 2.5mm Indoor (Alt)</v>
      </c>
      <c r="F5" s="30" t="str">
        <f>'LED Cost Sheet'!G4</f>
        <v>2.5mm</v>
      </c>
      <c r="G5" s="30">
        <f>'LED Cost Sheet'!H4</f>
        <v>6.3</v>
      </c>
      <c r="H5" s="43" t="e">
        <f t="shared" ref="H5:H15" si="0">D5*E5*B5</f>
        <v>#VALUE!</v>
      </c>
      <c r="I5" s="30">
        <f>'LED Cost Sheet'!K4</f>
        <v>2208</v>
      </c>
      <c r="J5" s="30">
        <f>'LED Cost Sheet'!L4</f>
        <v>1</v>
      </c>
      <c r="K5" s="30" t="s">
        <v>130</v>
      </c>
      <c r="L5" s="43">
        <f>'LED Cost Sheet'!U4</f>
        <v>0.15</v>
      </c>
      <c r="M5" s="43">
        <f>'LED Cost Sheet'!V4</f>
        <v>92766.89</v>
      </c>
      <c r="N5" s="56">
        <f t="shared" ref="N5:N15" si="1">IFERROR((F5*G5*B5)/400000,0)</f>
        <v>0</v>
      </c>
      <c r="O5" s="43">
        <f>'LED Cost Sheet'!W4</f>
        <v>12774.14</v>
      </c>
    </row>
    <row r="6" spans="1:15" x14ac:dyDescent="0.35">
      <c r="A6" t="str">
        <f>'LED Cost Sheet'!A5</f>
        <v>Underpass 2 — 9A Underpass 1-4</v>
      </c>
      <c r="B6">
        <f>'LED Cost Sheet'!I5</f>
        <v>29.92</v>
      </c>
      <c r="C6" t="str">
        <f>'LED Cost Sheet'!D5</f>
        <v/>
      </c>
      <c r="D6" t="str">
        <f>'LED Cost Sheet'!E5</f>
        <v>LG/Yaham</v>
      </c>
      <c r="E6" t="str">
        <f>'LED Cost Sheet'!F5</f>
        <v>C2.5-MIP 2.5mm Indoor (Alt)</v>
      </c>
      <c r="F6" t="str">
        <f>'LED Cost Sheet'!G5</f>
        <v>2.5mm</v>
      </c>
      <c r="G6">
        <f>'LED Cost Sheet'!H5</f>
        <v>7.48</v>
      </c>
      <c r="H6" s="49" t="e">
        <f t="shared" si="0"/>
        <v>#VALUE!</v>
      </c>
      <c r="I6">
        <f>'LED Cost Sheet'!K5</f>
        <v>3648</v>
      </c>
      <c r="J6">
        <f>'LED Cost Sheet'!L5</f>
        <v>1</v>
      </c>
      <c r="K6" t="s">
        <v>130</v>
      </c>
      <c r="L6" s="49">
        <f>'LED Cost Sheet'!U5</f>
        <v>0.15</v>
      </c>
      <c r="M6" s="49">
        <f>'LED Cost Sheet'!V5</f>
        <v>152572.17000000001</v>
      </c>
      <c r="N6" s="57">
        <f t="shared" si="1"/>
        <v>0</v>
      </c>
      <c r="O6" s="49">
        <f>'LED Cost Sheet'!W5</f>
        <v>20647.830000000002</v>
      </c>
    </row>
    <row r="7" spans="1:15" x14ac:dyDescent="0.35">
      <c r="A7" s="30" t="str">
        <f>'LED Cost Sheet'!A6</f>
        <v>Underpass 3 — 9A Underpass 1-4</v>
      </c>
      <c r="B7" s="30">
        <f>'LED Cost Sheet'!I6</f>
        <v>29.92</v>
      </c>
      <c r="C7" s="30" t="str">
        <f>'LED Cost Sheet'!D6</f>
        <v/>
      </c>
      <c r="D7" s="30" t="str">
        <f>'LED Cost Sheet'!E6</f>
        <v>LG/Yaham</v>
      </c>
      <c r="E7" s="30" t="str">
        <f>'LED Cost Sheet'!F6</f>
        <v>C2.5-MIP 2.5mm Indoor (Alt)</v>
      </c>
      <c r="F7" s="30" t="str">
        <f>'LED Cost Sheet'!G6</f>
        <v>2.5mm</v>
      </c>
      <c r="G7" s="30">
        <f>'LED Cost Sheet'!H6</f>
        <v>7.48</v>
      </c>
      <c r="H7" s="43" t="e">
        <f t="shared" si="0"/>
        <v>#VALUE!</v>
      </c>
      <c r="I7" s="30">
        <f>'LED Cost Sheet'!K6</f>
        <v>3648</v>
      </c>
      <c r="J7" s="30">
        <f>'LED Cost Sheet'!L6</f>
        <v>1</v>
      </c>
      <c r="K7" s="30" t="s">
        <v>130</v>
      </c>
      <c r="L7" s="43">
        <f>'LED Cost Sheet'!U6</f>
        <v>0.15</v>
      </c>
      <c r="M7" s="43">
        <f>'LED Cost Sheet'!V6</f>
        <v>152572.17000000001</v>
      </c>
      <c r="N7" s="56">
        <f t="shared" si="1"/>
        <v>0</v>
      </c>
      <c r="O7" s="43">
        <f>'LED Cost Sheet'!W6</f>
        <v>20647.830000000002</v>
      </c>
    </row>
    <row r="8" spans="1:15" x14ac:dyDescent="0.35">
      <c r="A8" t="str">
        <f>'LED Cost Sheet'!A7</f>
        <v>Underpass 4 — 9A Underpass 1-4</v>
      </c>
      <c r="B8">
        <f>'LED Cost Sheet'!I7</f>
        <v>29.92</v>
      </c>
      <c r="C8" t="str">
        <f>'LED Cost Sheet'!D7</f>
        <v/>
      </c>
      <c r="D8" t="str">
        <f>'LED Cost Sheet'!E7</f>
        <v>LG/Yaham</v>
      </c>
      <c r="E8" t="str">
        <f>'LED Cost Sheet'!F7</f>
        <v>C2.5-MIP 2.5mm Indoor (Alt)</v>
      </c>
      <c r="F8" t="str">
        <f>'LED Cost Sheet'!G7</f>
        <v>2.5mm</v>
      </c>
      <c r="G8">
        <f>'LED Cost Sheet'!H7</f>
        <v>12.6</v>
      </c>
      <c r="H8" s="49" t="e">
        <f t="shared" si="0"/>
        <v>#VALUE!</v>
      </c>
      <c r="I8">
        <f>'LED Cost Sheet'!K7</f>
        <v>3648</v>
      </c>
      <c r="J8">
        <f>'LED Cost Sheet'!L7</f>
        <v>1</v>
      </c>
      <c r="K8" t="s">
        <v>130</v>
      </c>
      <c r="L8" s="49">
        <f>'LED Cost Sheet'!U7</f>
        <v>0.15</v>
      </c>
      <c r="M8" s="49">
        <f>'LED Cost Sheet'!V7</f>
        <v>259474.86</v>
      </c>
      <c r="N8" s="57">
        <f t="shared" si="1"/>
        <v>0</v>
      </c>
      <c r="O8" s="49">
        <f>'LED Cost Sheet'!W7</f>
        <v>35151.33</v>
      </c>
    </row>
    <row r="9" spans="1:15" x14ac:dyDescent="0.35">
      <c r="A9" s="30" t="str">
        <f>'LED Cost Sheet'!A8</f>
        <v>Concourse — Concourse</v>
      </c>
      <c r="B9" s="30">
        <f>'LED Cost Sheet'!I8</f>
        <v>280.31</v>
      </c>
      <c r="C9" s="30" t="str">
        <f>'LED Cost Sheet'!D8</f>
        <v/>
      </c>
      <c r="D9" s="30" t="str">
        <f>'LED Cost Sheet'!E8</f>
        <v>LG/Yaham</v>
      </c>
      <c r="E9" s="30" t="str">
        <f>'LED Cost Sheet'!F8</f>
        <v>C2.5-MIP 2.5mm Indoor (Alt)</v>
      </c>
      <c r="F9" s="30" t="str">
        <f>'LED Cost Sheet'!G8</f>
        <v>2.5mm</v>
      </c>
      <c r="G9" s="30">
        <f>'LED Cost Sheet'!H8</f>
        <v>9.4499999999999993</v>
      </c>
      <c r="H9" s="43" t="e">
        <f t="shared" si="0"/>
        <v>#VALUE!</v>
      </c>
      <c r="I9" s="30">
        <f>'LED Cost Sheet'!K8</f>
        <v>34175</v>
      </c>
      <c r="J9" s="30">
        <f>'LED Cost Sheet'!L8</f>
        <v>1</v>
      </c>
      <c r="K9" s="30" t="s">
        <v>130</v>
      </c>
      <c r="L9" s="43">
        <f>'LED Cost Sheet'!U8</f>
        <v>0.15</v>
      </c>
      <c r="M9" s="43">
        <f>'LED Cost Sheet'!V8</f>
        <v>1526801.71</v>
      </c>
      <c r="N9" s="56">
        <f t="shared" si="1"/>
        <v>0</v>
      </c>
      <c r="O9" s="43">
        <f>'LED Cost Sheet'!W8</f>
        <v>202530.95</v>
      </c>
    </row>
    <row r="10" spans="1:15" x14ac:dyDescent="0.35">
      <c r="A10" t="str">
        <f>'LED Cost Sheet'!A9</f>
        <v>T4-B1 (6-9) — T4-B1</v>
      </c>
      <c r="B10">
        <f>'LED Cost Sheet'!I9</f>
        <v>8.66</v>
      </c>
      <c r="C10" t="str">
        <f>'LED Cost Sheet'!D9</f>
        <v/>
      </c>
      <c r="D10" t="str">
        <f>'LED Cost Sheet'!E9</f>
        <v>LG/Yaham</v>
      </c>
      <c r="E10" t="str">
        <f>'LED Cost Sheet'!F9</f>
        <v>C2.5-MIP 2.5mm Indoor (Alt)</v>
      </c>
      <c r="F10" t="str">
        <f>'LED Cost Sheet'!G9</f>
        <v>2.5mm</v>
      </c>
      <c r="G10">
        <f>'LED Cost Sheet'!H9</f>
        <v>7.87</v>
      </c>
      <c r="H10" s="49" t="e">
        <f t="shared" si="0"/>
        <v>#VALUE!</v>
      </c>
      <c r="I10">
        <f>'LED Cost Sheet'!K9</f>
        <v>1056</v>
      </c>
      <c r="J10">
        <f>'LED Cost Sheet'!L9</f>
        <v>4</v>
      </c>
      <c r="K10" t="s">
        <v>130</v>
      </c>
      <c r="L10" s="49">
        <f>'LED Cost Sheet'!U9</f>
        <v>0.15</v>
      </c>
      <c r="M10" s="49">
        <f>'LED Cost Sheet'!V9</f>
        <v>179138.59</v>
      </c>
      <c r="N10" s="57">
        <f t="shared" si="1"/>
        <v>0</v>
      </c>
      <c r="O10" s="49">
        <f>'LED Cost Sheet'!W9</f>
        <v>24144.59</v>
      </c>
    </row>
    <row r="11" spans="1:15" x14ac:dyDescent="0.35">
      <c r="A11" s="30" t="str">
        <f>'LED Cost Sheet'!A10</f>
        <v>T4-B2 (10-18) — T4-B2</v>
      </c>
      <c r="B11" s="30">
        <f>'LED Cost Sheet'!I10</f>
        <v>8.66</v>
      </c>
      <c r="C11" s="30" t="str">
        <f>'LED Cost Sheet'!D10</f>
        <v/>
      </c>
      <c r="D11" s="30" t="str">
        <f>'LED Cost Sheet'!E10</f>
        <v>LG/Yaham</v>
      </c>
      <c r="E11" s="30" t="str">
        <f>'LED Cost Sheet'!F10</f>
        <v>C2.5-MIP 2.5mm Indoor (Alt)</v>
      </c>
      <c r="F11" s="30" t="str">
        <f>'LED Cost Sheet'!G10</f>
        <v>2.5mm</v>
      </c>
      <c r="G11" s="30">
        <f>'LED Cost Sheet'!H10</f>
        <v>7.87</v>
      </c>
      <c r="H11" s="43" t="e">
        <f t="shared" si="0"/>
        <v>#VALUE!</v>
      </c>
      <c r="I11" s="30">
        <f>'LED Cost Sheet'!K10</f>
        <v>1056</v>
      </c>
      <c r="J11" s="30">
        <f>'LED Cost Sheet'!L10</f>
        <v>9</v>
      </c>
      <c r="K11" s="30" t="s">
        <v>130</v>
      </c>
      <c r="L11" s="43">
        <f>'LED Cost Sheet'!U10</f>
        <v>0.15</v>
      </c>
      <c r="M11" s="43">
        <f>'LED Cost Sheet'!V10</f>
        <v>388240.91</v>
      </c>
      <c r="N11" s="56">
        <f t="shared" si="1"/>
        <v>0</v>
      </c>
      <c r="O11" s="43">
        <f>'LED Cost Sheet'!W10</f>
        <v>52102.239999999998</v>
      </c>
    </row>
    <row r="12" spans="1:15" x14ac:dyDescent="0.35">
      <c r="A12" t="str">
        <f>'LED Cost Sheet'!A11</f>
        <v>T4 Lobby Elevator — T4 Lobby Elevator</v>
      </c>
      <c r="B12">
        <f>'LED Cost Sheet'!I11</f>
        <v>5.5</v>
      </c>
      <c r="C12" t="str">
        <f>'LED Cost Sheet'!D11</f>
        <v/>
      </c>
      <c r="D12" t="str">
        <f>'LED Cost Sheet'!E11</f>
        <v>LG/Yaham</v>
      </c>
      <c r="E12" t="str">
        <f>'LED Cost Sheet'!F11</f>
        <v>C2.5-MIP 2.5mm Indoor (Alt)</v>
      </c>
      <c r="F12" t="str">
        <f>'LED Cost Sheet'!G11</f>
        <v>2.5mm</v>
      </c>
      <c r="G12">
        <f>'LED Cost Sheet'!H11</f>
        <v>71.599999999999994</v>
      </c>
      <c r="H12" s="49" t="e">
        <f t="shared" si="0"/>
        <v>#VALUE!</v>
      </c>
      <c r="I12">
        <f>'LED Cost Sheet'!K11</f>
        <v>671</v>
      </c>
      <c r="J12">
        <f>'LED Cost Sheet'!L11</f>
        <v>1</v>
      </c>
      <c r="K12" t="s">
        <v>130</v>
      </c>
      <c r="L12" s="49">
        <f>'LED Cost Sheet'!U11</f>
        <v>0.15</v>
      </c>
      <c r="M12" s="49">
        <f>'LED Cost Sheet'!V11</f>
        <v>268709.18</v>
      </c>
      <c r="N12" s="57">
        <f t="shared" si="1"/>
        <v>0</v>
      </c>
      <c r="O12" s="49">
        <f>'LED Cost Sheet'!W11</f>
        <v>36368.379999999997</v>
      </c>
    </row>
    <row r="13" spans="1:15" x14ac:dyDescent="0.35">
      <c r="A13" s="30" t="str">
        <f>'LED Cost Sheet'!A12</f>
        <v>T2-B1M Screen 20 — T2-B1M</v>
      </c>
      <c r="B13" s="30">
        <f>'LED Cost Sheet'!I12</f>
        <v>16.5</v>
      </c>
      <c r="C13" s="30" t="str">
        <f>'LED Cost Sheet'!D12</f>
        <v/>
      </c>
      <c r="D13" s="30" t="str">
        <f>'LED Cost Sheet'!E12</f>
        <v>LG/Yaham</v>
      </c>
      <c r="E13" s="30" t="str">
        <f>'LED Cost Sheet'!F12</f>
        <v>C2.5-MIP 2.5mm Indoor (Alt)</v>
      </c>
      <c r="F13" s="30" t="str">
        <f>'LED Cost Sheet'!G12</f>
        <v>2.5mm</v>
      </c>
      <c r="G13" s="30">
        <f>'LED Cost Sheet'!H12</f>
        <v>7.91</v>
      </c>
      <c r="H13" s="43" t="e">
        <f t="shared" si="0"/>
        <v>#VALUE!</v>
      </c>
      <c r="I13" s="30">
        <f>'LED Cost Sheet'!K12</f>
        <v>2012</v>
      </c>
      <c r="J13" s="30">
        <f>'LED Cost Sheet'!L12</f>
        <v>1</v>
      </c>
      <c r="K13" s="30" t="s">
        <v>130</v>
      </c>
      <c r="L13" s="43">
        <f>'LED Cost Sheet'!U12</f>
        <v>0.15</v>
      </c>
      <c r="M13" s="43">
        <f>'LED Cost Sheet'!V12</f>
        <v>101747.09</v>
      </c>
      <c r="N13" s="56">
        <f t="shared" si="1"/>
        <v>0</v>
      </c>
      <c r="O13" s="43">
        <f>'LED Cost Sheet'!W12</f>
        <v>13956.86</v>
      </c>
    </row>
    <row r="14" spans="1:15" x14ac:dyDescent="0.35">
      <c r="A14" t="str">
        <f>'LED Cost Sheet'!A13</f>
        <v>T2-B1M Screen 21 — T2-B1M</v>
      </c>
      <c r="B14">
        <f>'LED Cost Sheet'!I13</f>
        <v>11.83</v>
      </c>
      <c r="C14" t="str">
        <f>'LED Cost Sheet'!D13</f>
        <v/>
      </c>
      <c r="D14" t="str">
        <f>'LED Cost Sheet'!E13</f>
        <v>LG/Yaham</v>
      </c>
      <c r="E14" t="str">
        <f>'LED Cost Sheet'!F13</f>
        <v>C2.5-MIP 2.5mm Indoor (Alt)</v>
      </c>
      <c r="F14" t="str">
        <f>'LED Cost Sheet'!G13</f>
        <v>2.5mm</v>
      </c>
      <c r="G14">
        <f>'LED Cost Sheet'!H13</f>
        <v>7.91</v>
      </c>
      <c r="H14" s="49" t="e">
        <f t="shared" si="0"/>
        <v>#VALUE!</v>
      </c>
      <c r="I14">
        <f>'LED Cost Sheet'!K13</f>
        <v>1442</v>
      </c>
      <c r="J14">
        <f>'LED Cost Sheet'!L13</f>
        <v>1</v>
      </c>
      <c r="K14" t="s">
        <v>130</v>
      </c>
      <c r="L14" s="49">
        <f>'LED Cost Sheet'!U13</f>
        <v>0.15</v>
      </c>
      <c r="M14" s="49">
        <f>'LED Cost Sheet'!V13</f>
        <v>81602.53</v>
      </c>
      <c r="N14" s="57">
        <f t="shared" si="1"/>
        <v>0</v>
      </c>
      <c r="O14" s="49">
        <f>'LED Cost Sheet'!W13</f>
        <v>11304.58</v>
      </c>
    </row>
    <row r="15" spans="1:15" x14ac:dyDescent="0.35">
      <c r="A15" s="30" t="str">
        <f>'LED Cost Sheet'!A14</f>
        <v>T2-B1M Screen 22 — T2-B1M</v>
      </c>
      <c r="B15" s="30">
        <f>'LED Cost Sheet'!I14</f>
        <v>7.91</v>
      </c>
      <c r="C15" s="30" t="str">
        <f>'LED Cost Sheet'!D14</f>
        <v/>
      </c>
      <c r="D15" s="30" t="str">
        <f>'LED Cost Sheet'!E14</f>
        <v>LG/Yaham</v>
      </c>
      <c r="E15" s="30" t="str">
        <f>'LED Cost Sheet'!F14</f>
        <v>C2.5-MIP 2.5mm Indoor (Alt)</v>
      </c>
      <c r="F15" s="30" t="str">
        <f>'LED Cost Sheet'!G14</f>
        <v>2.5mm</v>
      </c>
      <c r="G15" s="30">
        <f>'LED Cost Sheet'!H14</f>
        <v>7.91</v>
      </c>
      <c r="H15" s="43" t="e">
        <f t="shared" si="0"/>
        <v>#VALUE!</v>
      </c>
      <c r="I15" s="30">
        <f>'LED Cost Sheet'!K14</f>
        <v>964</v>
      </c>
      <c r="J15" s="30">
        <f>'LED Cost Sheet'!L14</f>
        <v>1</v>
      </c>
      <c r="K15" s="30" t="s">
        <v>130</v>
      </c>
      <c r="L15" s="43">
        <f>'LED Cost Sheet'!U14</f>
        <v>0.15</v>
      </c>
      <c r="M15" s="43">
        <f>'LED Cost Sheet'!V14</f>
        <v>64730.65</v>
      </c>
      <c r="N15" s="56">
        <f t="shared" si="1"/>
        <v>0</v>
      </c>
      <c r="O15" s="43">
        <f>'LED Cost Sheet'!W14</f>
        <v>9083.9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8A745"/>
  </sheetPr>
  <dimension ref="A3:K54"/>
  <sheetViews>
    <sheetView workbookViewId="0"/>
  </sheetViews>
  <sheetFormatPr defaultRowHeight="14.5" x14ac:dyDescent="0.3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5" x14ac:dyDescent="0.35">
      <c r="A3" s="58" t="s">
        <v>131</v>
      </c>
    </row>
    <row r="4" spans="1:5" x14ac:dyDescent="0.35">
      <c r="A4" s="12" t="s">
        <v>10</v>
      </c>
    </row>
    <row r="5" spans="1:5" x14ac:dyDescent="0.35">
      <c r="A5" s="12" t="s">
        <v>132</v>
      </c>
    </row>
    <row r="7" spans="1:5" x14ac:dyDescent="0.35">
      <c r="C7" s="23" t="s">
        <v>133</v>
      </c>
    </row>
    <row r="8" spans="1:5" x14ac:dyDescent="0.35">
      <c r="C8" t="s">
        <v>134</v>
      </c>
      <c r="D8" s="18">
        <v>0.15</v>
      </c>
    </row>
    <row r="9" spans="1:5" x14ac:dyDescent="0.35">
      <c r="C9" t="s">
        <v>135</v>
      </c>
      <c r="D9" s="18">
        <v>0.15</v>
      </c>
    </row>
    <row r="10" spans="1:5" x14ac:dyDescent="0.35">
      <c r="C10" t="s">
        <v>110</v>
      </c>
      <c r="D10" s="18">
        <v>0.15</v>
      </c>
    </row>
    <row r="11" spans="1:5" x14ac:dyDescent="0.35">
      <c r="C11" t="s">
        <v>136</v>
      </c>
      <c r="D11" s="18">
        <v>0.15</v>
      </c>
    </row>
    <row r="15" spans="1:5" ht="15.5" x14ac:dyDescent="0.35">
      <c r="B15" s="59" t="s">
        <v>137</v>
      </c>
    </row>
    <row r="16" spans="1:5" x14ac:dyDescent="0.35">
      <c r="B16" s="2" t="s">
        <v>138</v>
      </c>
      <c r="C16" s="2" t="s">
        <v>139</v>
      </c>
      <c r="D16" s="2" t="s">
        <v>140</v>
      </c>
      <c r="E16" s="2" t="s">
        <v>141</v>
      </c>
    </row>
    <row r="17" spans="1:11" x14ac:dyDescent="0.35">
      <c r="B17" s="45">
        <v>6.3</v>
      </c>
      <c r="C17" s="45">
        <v>18.11</v>
      </c>
      <c r="D17" s="60">
        <v>114.09</v>
      </c>
      <c r="E17">
        <v>1</v>
      </c>
    </row>
    <row r="19" spans="1:11" ht="16" customHeight="1" x14ac:dyDescent="0.35">
      <c r="A19" s="22" t="s">
        <v>38</v>
      </c>
      <c r="B19" s="22" t="s">
        <v>142</v>
      </c>
      <c r="C19" s="22" t="s">
        <v>143</v>
      </c>
      <c r="D19" s="22" t="s">
        <v>144</v>
      </c>
      <c r="E19" s="22" t="s">
        <v>145</v>
      </c>
      <c r="F19" s="22" t="s">
        <v>146</v>
      </c>
      <c r="G19" s="22" t="s">
        <v>147</v>
      </c>
      <c r="H19" s="22" t="s">
        <v>38</v>
      </c>
      <c r="I19" s="22" t="s">
        <v>32</v>
      </c>
      <c r="J19" s="22" t="s">
        <v>134</v>
      </c>
      <c r="K19" s="22" t="s">
        <v>41</v>
      </c>
    </row>
    <row r="20" spans="1:11" x14ac:dyDescent="0.35">
      <c r="A20" s="30"/>
      <c r="B20" s="30" t="s">
        <v>148</v>
      </c>
      <c r="C20" s="61">
        <v>0</v>
      </c>
      <c r="D20" s="61">
        <v>0</v>
      </c>
      <c r="E20" s="61">
        <v>0</v>
      </c>
      <c r="F20" s="31">
        <v>0</v>
      </c>
      <c r="G20" s="61">
        <v>0</v>
      </c>
      <c r="H20" s="30"/>
      <c r="I20" s="31">
        <f t="shared" ref="I20:I25" si="0">SUM(C20:G20)</f>
        <v>0</v>
      </c>
      <c r="J20" s="32">
        <f t="shared" ref="J20:J25" si="1">$D$8</f>
        <v>0.15</v>
      </c>
      <c r="K20" s="31">
        <f t="shared" ref="K20:K25" si="2">I20/(1-J20)</f>
        <v>0</v>
      </c>
    </row>
    <row r="21" spans="1:11" x14ac:dyDescent="0.35">
      <c r="B21" t="s">
        <v>149</v>
      </c>
      <c r="C21" s="62">
        <v>0</v>
      </c>
      <c r="D21" s="62">
        <v>0</v>
      </c>
      <c r="E21" s="62">
        <v>0</v>
      </c>
      <c r="F21" s="17">
        <v>0</v>
      </c>
      <c r="G21" s="62">
        <v>0</v>
      </c>
      <c r="I21" s="17">
        <f t="shared" si="0"/>
        <v>0</v>
      </c>
      <c r="J21" s="24">
        <f t="shared" si="1"/>
        <v>0.15</v>
      </c>
      <c r="K21" s="17">
        <f t="shared" si="2"/>
        <v>0</v>
      </c>
    </row>
    <row r="22" spans="1:11" x14ac:dyDescent="0.35">
      <c r="A22" s="30"/>
      <c r="B22" s="30" t="s">
        <v>150</v>
      </c>
      <c r="C22" s="61">
        <v>2088.75</v>
      </c>
      <c r="D22" s="61">
        <v>0</v>
      </c>
      <c r="E22" s="61">
        <v>0</v>
      </c>
      <c r="F22" s="31">
        <v>0</v>
      </c>
      <c r="G22" s="61">
        <v>0</v>
      </c>
      <c r="H22" s="30"/>
      <c r="I22" s="31">
        <f t="shared" si="0"/>
        <v>2088.75</v>
      </c>
      <c r="J22" s="32">
        <f t="shared" si="1"/>
        <v>0.15</v>
      </c>
      <c r="K22" s="31">
        <f t="shared" si="2"/>
        <v>2457.3529411764707</v>
      </c>
    </row>
    <row r="23" spans="1:11" x14ac:dyDescent="0.35">
      <c r="B23" t="s">
        <v>151</v>
      </c>
      <c r="C23" s="62">
        <v>0</v>
      </c>
      <c r="D23" s="62">
        <v>0</v>
      </c>
      <c r="E23" s="62">
        <v>0</v>
      </c>
      <c r="F23" s="17">
        <v>0</v>
      </c>
      <c r="G23" s="62">
        <v>0</v>
      </c>
      <c r="I23" s="17">
        <f t="shared" si="0"/>
        <v>0</v>
      </c>
      <c r="J23" s="24">
        <f t="shared" si="1"/>
        <v>0.15</v>
      </c>
      <c r="K23" s="17">
        <f t="shared" si="2"/>
        <v>0</v>
      </c>
    </row>
    <row r="24" spans="1:11" x14ac:dyDescent="0.35">
      <c r="A24" s="30"/>
      <c r="B24" s="30" t="s">
        <v>152</v>
      </c>
      <c r="C24" s="61">
        <v>0</v>
      </c>
      <c r="D24" s="61">
        <v>0</v>
      </c>
      <c r="E24" s="61">
        <v>0</v>
      </c>
      <c r="F24" s="31">
        <v>0</v>
      </c>
      <c r="G24" s="61">
        <v>0</v>
      </c>
      <c r="H24" s="30"/>
      <c r="I24" s="31">
        <f t="shared" si="0"/>
        <v>0</v>
      </c>
      <c r="J24" s="32">
        <f t="shared" si="1"/>
        <v>0.15</v>
      </c>
      <c r="K24" s="31">
        <f t="shared" si="2"/>
        <v>0</v>
      </c>
    </row>
    <row r="25" spans="1:11" x14ac:dyDescent="0.35">
      <c r="B25" t="s">
        <v>152</v>
      </c>
      <c r="C25" s="62">
        <v>0</v>
      </c>
      <c r="D25" s="62">
        <v>0</v>
      </c>
      <c r="E25" s="62">
        <v>0</v>
      </c>
      <c r="F25" s="17">
        <v>0</v>
      </c>
      <c r="G25" s="62">
        <v>0</v>
      </c>
      <c r="I25" s="17">
        <f t="shared" si="0"/>
        <v>0</v>
      </c>
      <c r="J25" s="24">
        <f t="shared" si="1"/>
        <v>0.15</v>
      </c>
      <c r="K25" s="17">
        <f t="shared" si="2"/>
        <v>0</v>
      </c>
    </row>
    <row r="26" spans="1:11" x14ac:dyDescent="0.35">
      <c r="A26" s="63"/>
      <c r="B26" s="63" t="s">
        <v>85</v>
      </c>
      <c r="C26" s="63"/>
      <c r="D26" s="63"/>
      <c r="E26" s="63"/>
      <c r="F26" s="63"/>
      <c r="G26" s="63"/>
      <c r="H26" s="63"/>
      <c r="I26" s="64">
        <f>SUM(I20:I25)</f>
        <v>2088.75</v>
      </c>
      <c r="J26" s="63"/>
      <c r="K26" s="64">
        <f>SUM(K20:K25)</f>
        <v>2457.3529411764707</v>
      </c>
    </row>
    <row r="28" spans="1:11" ht="16" customHeight="1" x14ac:dyDescent="0.35">
      <c r="A28" s="22" t="s">
        <v>38</v>
      </c>
      <c r="B28" s="22" t="s">
        <v>153</v>
      </c>
      <c r="C28" s="22" t="s">
        <v>143</v>
      </c>
      <c r="D28" s="22" t="s">
        <v>144</v>
      </c>
      <c r="E28" s="22" t="s">
        <v>145</v>
      </c>
      <c r="F28" s="22" t="s">
        <v>146</v>
      </c>
      <c r="G28" s="22" t="s">
        <v>147</v>
      </c>
      <c r="H28" s="22" t="s">
        <v>38</v>
      </c>
      <c r="I28" s="22" t="s">
        <v>32</v>
      </c>
      <c r="J28" s="22" t="s">
        <v>134</v>
      </c>
      <c r="K28" s="22" t="s">
        <v>41</v>
      </c>
    </row>
    <row r="29" spans="1:11" x14ac:dyDescent="0.35">
      <c r="A29" s="30"/>
      <c r="B29" s="30" t="s">
        <v>154</v>
      </c>
      <c r="C29" s="61">
        <v>0</v>
      </c>
      <c r="D29" s="61">
        <v>0</v>
      </c>
      <c r="E29" s="61">
        <v>0</v>
      </c>
      <c r="F29" s="31">
        <v>0</v>
      </c>
      <c r="G29" s="61">
        <v>0</v>
      </c>
      <c r="H29" s="30"/>
      <c r="I29" s="31">
        <f t="shared" ref="I29:I34" si="3">SUM(C29:G29)</f>
        <v>0</v>
      </c>
      <c r="J29" s="32">
        <f t="shared" ref="J29:J34" si="4">$D$8</f>
        <v>0.15</v>
      </c>
      <c r="K29" s="31">
        <f t="shared" ref="K29:K34" si="5">I29/(1-J29)</f>
        <v>0</v>
      </c>
    </row>
    <row r="30" spans="1:11" x14ac:dyDescent="0.35">
      <c r="B30" t="s">
        <v>155</v>
      </c>
      <c r="C30" s="62">
        <v>0</v>
      </c>
      <c r="D30" s="62">
        <v>0</v>
      </c>
      <c r="E30" s="62">
        <v>0</v>
      </c>
      <c r="F30" s="17">
        <v>0</v>
      </c>
      <c r="G30" s="62">
        <v>0</v>
      </c>
      <c r="I30" s="17">
        <f t="shared" si="3"/>
        <v>0</v>
      </c>
      <c r="J30" s="24">
        <f t="shared" si="4"/>
        <v>0.15</v>
      </c>
      <c r="K30" s="17">
        <f t="shared" si="5"/>
        <v>0</v>
      </c>
    </row>
    <row r="31" spans="1:11" x14ac:dyDescent="0.35">
      <c r="A31" s="30"/>
      <c r="B31" s="30" t="s">
        <v>156</v>
      </c>
      <c r="C31" s="61">
        <v>8703.1299999999992</v>
      </c>
      <c r="D31" s="61">
        <v>0</v>
      </c>
      <c r="E31" s="61">
        <v>0</v>
      </c>
      <c r="F31" s="31">
        <v>0</v>
      </c>
      <c r="G31" s="61">
        <v>0</v>
      </c>
      <c r="H31" s="30"/>
      <c r="I31" s="31">
        <f t="shared" si="3"/>
        <v>8703.1299999999992</v>
      </c>
      <c r="J31" s="32">
        <f t="shared" si="4"/>
        <v>0.15</v>
      </c>
      <c r="K31" s="31">
        <f t="shared" si="5"/>
        <v>10238.976470588235</v>
      </c>
    </row>
    <row r="32" spans="1:11" x14ac:dyDescent="0.35">
      <c r="B32" t="s">
        <v>157</v>
      </c>
      <c r="C32" s="62">
        <v>0</v>
      </c>
      <c r="D32" s="62">
        <v>0</v>
      </c>
      <c r="E32" s="62">
        <v>0</v>
      </c>
      <c r="F32" s="17">
        <v>0</v>
      </c>
      <c r="G32" s="62">
        <v>0</v>
      </c>
      <c r="I32" s="17">
        <f t="shared" si="3"/>
        <v>0</v>
      </c>
      <c r="J32" s="24">
        <f t="shared" si="4"/>
        <v>0.15</v>
      </c>
      <c r="K32" s="17">
        <f t="shared" si="5"/>
        <v>0</v>
      </c>
    </row>
    <row r="33" spans="1:11" x14ac:dyDescent="0.35">
      <c r="A33" s="30"/>
      <c r="B33" s="30" t="s">
        <v>158</v>
      </c>
      <c r="C33" s="61">
        <v>0</v>
      </c>
      <c r="D33" s="61">
        <v>0</v>
      </c>
      <c r="E33" s="61">
        <v>0</v>
      </c>
      <c r="F33" s="31">
        <v>0</v>
      </c>
      <c r="G33" s="61">
        <v>0</v>
      </c>
      <c r="H33" s="30"/>
      <c r="I33" s="31">
        <f t="shared" si="3"/>
        <v>0</v>
      </c>
      <c r="J33" s="32">
        <f t="shared" si="4"/>
        <v>0.15</v>
      </c>
      <c r="K33" s="31">
        <f t="shared" si="5"/>
        <v>0</v>
      </c>
    </row>
    <row r="34" spans="1:11" x14ac:dyDescent="0.35">
      <c r="B34" t="s">
        <v>159</v>
      </c>
      <c r="C34" s="62">
        <v>20882.349999999999</v>
      </c>
      <c r="D34" s="62">
        <v>0</v>
      </c>
      <c r="E34" s="62">
        <v>0</v>
      </c>
      <c r="F34" s="17">
        <v>0</v>
      </c>
      <c r="G34" s="62">
        <v>0</v>
      </c>
      <c r="I34" s="17">
        <f t="shared" si="3"/>
        <v>20882.349999999999</v>
      </c>
      <c r="J34" s="24">
        <f t="shared" si="4"/>
        <v>0.15</v>
      </c>
      <c r="K34" s="17">
        <f t="shared" si="5"/>
        <v>24567.470588235294</v>
      </c>
    </row>
    <row r="35" spans="1:11" x14ac:dyDescent="0.35">
      <c r="A35" s="63"/>
      <c r="B35" s="63" t="s">
        <v>85</v>
      </c>
      <c r="C35" s="63"/>
      <c r="D35" s="63"/>
      <c r="E35" s="63"/>
      <c r="F35" s="63"/>
      <c r="G35" s="63"/>
      <c r="H35" s="63"/>
      <c r="I35" s="64">
        <f>SUM(I29:I34)</f>
        <v>29585.479999999996</v>
      </c>
      <c r="J35" s="63"/>
      <c r="K35" s="64">
        <f>SUM(K29:K34)</f>
        <v>34806.447058823527</v>
      </c>
    </row>
    <row r="37" spans="1:11" ht="16" customHeight="1" x14ac:dyDescent="0.35">
      <c r="A37" s="22" t="s">
        <v>38</v>
      </c>
      <c r="B37" s="22" t="s">
        <v>160</v>
      </c>
      <c r="C37" s="22" t="s">
        <v>143</v>
      </c>
      <c r="D37" s="22" t="s">
        <v>144</v>
      </c>
      <c r="E37" s="22" t="s">
        <v>145</v>
      </c>
      <c r="F37" s="22" t="s">
        <v>146</v>
      </c>
      <c r="G37" s="22" t="s">
        <v>147</v>
      </c>
      <c r="H37" s="22" t="s">
        <v>38</v>
      </c>
      <c r="I37" s="22" t="s">
        <v>32</v>
      </c>
      <c r="J37" s="22" t="s">
        <v>134</v>
      </c>
      <c r="K37" s="22" t="s">
        <v>41</v>
      </c>
    </row>
    <row r="38" spans="1:11" x14ac:dyDescent="0.35">
      <c r="A38" s="30"/>
      <c r="B38" s="30" t="s">
        <v>161</v>
      </c>
      <c r="C38" s="61">
        <v>8703.1299999999992</v>
      </c>
      <c r="D38" s="61">
        <v>0</v>
      </c>
      <c r="E38" s="61">
        <v>0</v>
      </c>
      <c r="F38" s="31">
        <v>0</v>
      </c>
      <c r="G38" s="61">
        <v>0</v>
      </c>
      <c r="H38" s="30"/>
      <c r="I38" s="31">
        <f t="shared" ref="I38:I43" si="6">SUM(C38:G38)</f>
        <v>8703.1299999999992</v>
      </c>
      <c r="J38" s="32">
        <f t="shared" ref="J38:J43" si="7">$D$9</f>
        <v>0.15</v>
      </c>
      <c r="K38" s="31">
        <f t="shared" ref="K38:K43" si="8">I38/(1-J38)</f>
        <v>10238.976470588235</v>
      </c>
    </row>
    <row r="39" spans="1:11" x14ac:dyDescent="0.35">
      <c r="B39" t="s">
        <v>162</v>
      </c>
      <c r="C39" s="62">
        <v>0</v>
      </c>
      <c r="D39" s="62">
        <v>0</v>
      </c>
      <c r="E39" s="62">
        <v>0</v>
      </c>
      <c r="F39" s="17">
        <v>0</v>
      </c>
      <c r="G39" s="62">
        <v>0</v>
      </c>
      <c r="I39" s="17">
        <f t="shared" si="6"/>
        <v>0</v>
      </c>
      <c r="J39" s="24">
        <f t="shared" si="7"/>
        <v>0.15</v>
      </c>
      <c r="K39" s="17">
        <f t="shared" si="8"/>
        <v>0</v>
      </c>
    </row>
    <row r="40" spans="1:11" x14ac:dyDescent="0.35">
      <c r="A40" s="30"/>
      <c r="B40" s="30" t="s">
        <v>163</v>
      </c>
      <c r="C40" s="61">
        <v>0</v>
      </c>
      <c r="D40" s="61">
        <v>0</v>
      </c>
      <c r="E40" s="61">
        <v>0</v>
      </c>
      <c r="F40" s="31">
        <v>0</v>
      </c>
      <c r="G40" s="61">
        <v>0</v>
      </c>
      <c r="H40" s="30"/>
      <c r="I40" s="31">
        <f t="shared" si="6"/>
        <v>0</v>
      </c>
      <c r="J40" s="32">
        <f t="shared" si="7"/>
        <v>0.15</v>
      </c>
      <c r="K40" s="31">
        <f t="shared" si="8"/>
        <v>0</v>
      </c>
    </row>
    <row r="41" spans="1:11" x14ac:dyDescent="0.35">
      <c r="B41" t="s">
        <v>164</v>
      </c>
      <c r="C41" s="62">
        <v>0</v>
      </c>
      <c r="D41" s="62">
        <v>0</v>
      </c>
      <c r="E41" s="62">
        <v>0</v>
      </c>
      <c r="F41" s="17">
        <v>0</v>
      </c>
      <c r="G41" s="62">
        <v>0</v>
      </c>
      <c r="I41" s="17">
        <f t="shared" si="6"/>
        <v>0</v>
      </c>
      <c r="J41" s="24">
        <f t="shared" si="7"/>
        <v>0.15</v>
      </c>
      <c r="K41" s="17">
        <f t="shared" si="8"/>
        <v>0</v>
      </c>
    </row>
    <row r="42" spans="1:11" x14ac:dyDescent="0.35">
      <c r="A42" s="30"/>
      <c r="B42" s="30" t="s">
        <v>165</v>
      </c>
      <c r="C42" s="61">
        <v>0</v>
      </c>
      <c r="D42" s="61">
        <v>0</v>
      </c>
      <c r="E42" s="61">
        <v>0</v>
      </c>
      <c r="F42" s="31">
        <v>0</v>
      </c>
      <c r="G42" s="61">
        <v>0</v>
      </c>
      <c r="H42" s="30"/>
      <c r="I42" s="31">
        <f t="shared" si="6"/>
        <v>0</v>
      </c>
      <c r="J42" s="32">
        <f t="shared" si="7"/>
        <v>0.15</v>
      </c>
      <c r="K42" s="31">
        <f t="shared" si="8"/>
        <v>0</v>
      </c>
    </row>
    <row r="43" spans="1:11" x14ac:dyDescent="0.35">
      <c r="B43" t="s">
        <v>166</v>
      </c>
      <c r="C43" s="62">
        <v>0</v>
      </c>
      <c r="D43" s="62">
        <v>0</v>
      </c>
      <c r="E43" s="62">
        <v>0</v>
      </c>
      <c r="F43" s="17">
        <v>0</v>
      </c>
      <c r="G43" s="62">
        <v>0</v>
      </c>
      <c r="I43" s="17">
        <f t="shared" si="6"/>
        <v>0</v>
      </c>
      <c r="J43" s="24">
        <f t="shared" si="7"/>
        <v>0.15</v>
      </c>
      <c r="K43" s="17">
        <f t="shared" si="8"/>
        <v>0</v>
      </c>
    </row>
    <row r="44" spans="1:11" x14ac:dyDescent="0.35">
      <c r="A44" s="63"/>
      <c r="B44" s="63" t="s">
        <v>85</v>
      </c>
      <c r="C44" s="63"/>
      <c r="D44" s="63"/>
      <c r="E44" s="63"/>
      <c r="F44" s="63"/>
      <c r="G44" s="63"/>
      <c r="H44" s="63"/>
      <c r="I44" s="64">
        <f>SUM(I38:I43)</f>
        <v>8703.1299999999992</v>
      </c>
      <c r="J44" s="63"/>
      <c r="K44" s="64">
        <f>SUM(K38:K43)</f>
        <v>10238.976470588235</v>
      </c>
    </row>
    <row r="46" spans="1:11" ht="16" customHeight="1" x14ac:dyDescent="0.35">
      <c r="A46" s="22" t="s">
        <v>38</v>
      </c>
      <c r="B46" s="22" t="s">
        <v>167</v>
      </c>
      <c r="C46" s="22" t="s">
        <v>143</v>
      </c>
      <c r="D46" s="22" t="s">
        <v>144</v>
      </c>
      <c r="E46" s="22" t="s">
        <v>145</v>
      </c>
      <c r="F46" s="22" t="s">
        <v>146</v>
      </c>
      <c r="G46" s="22" t="s">
        <v>147</v>
      </c>
      <c r="H46" s="22" t="s">
        <v>38</v>
      </c>
      <c r="I46" s="22" t="s">
        <v>32</v>
      </c>
      <c r="J46" s="22" t="s">
        <v>134</v>
      </c>
      <c r="K46" s="22" t="s">
        <v>41</v>
      </c>
    </row>
    <row r="47" spans="1:11" x14ac:dyDescent="0.35">
      <c r="A47" s="30"/>
      <c r="B47" s="30" t="s">
        <v>168</v>
      </c>
      <c r="C47" s="61">
        <v>4705.88</v>
      </c>
      <c r="D47" s="61">
        <v>0</v>
      </c>
      <c r="E47" s="61">
        <v>0</v>
      </c>
      <c r="F47" s="31">
        <v>0</v>
      </c>
      <c r="G47" s="61">
        <v>0</v>
      </c>
      <c r="H47" s="30"/>
      <c r="I47" s="31">
        <f>SUM(C47:G47)</f>
        <v>4705.88</v>
      </c>
      <c r="J47" s="32">
        <f>$D$11</f>
        <v>0.15</v>
      </c>
      <c r="K47" s="31">
        <f>I47/(1-J47)</f>
        <v>5536.3294117647065</v>
      </c>
    </row>
    <row r="48" spans="1:11" x14ac:dyDescent="0.35">
      <c r="B48" t="s">
        <v>169</v>
      </c>
      <c r="C48" s="62">
        <v>0</v>
      </c>
      <c r="D48" s="62">
        <v>0</v>
      </c>
      <c r="E48" s="62">
        <v>0</v>
      </c>
      <c r="F48" s="17">
        <v>0</v>
      </c>
      <c r="G48" s="62">
        <v>0</v>
      </c>
      <c r="I48" s="17">
        <f>SUM(C48:G48)</f>
        <v>0</v>
      </c>
      <c r="J48" s="24">
        <f>$D$11</f>
        <v>0.15</v>
      </c>
      <c r="K48" s="17">
        <f>I48/(1-J48)</f>
        <v>0</v>
      </c>
    </row>
    <row r="49" spans="1:11" x14ac:dyDescent="0.35">
      <c r="A49" s="30"/>
      <c r="B49" s="30" t="s">
        <v>170</v>
      </c>
      <c r="C49" s="61">
        <v>0</v>
      </c>
      <c r="D49" s="61">
        <v>0</v>
      </c>
      <c r="E49" s="61">
        <v>0</v>
      </c>
      <c r="F49" s="31">
        <v>0</v>
      </c>
      <c r="G49" s="61">
        <v>0</v>
      </c>
      <c r="H49" s="30"/>
      <c r="I49" s="31">
        <f>SUM(C49:G49)</f>
        <v>0</v>
      </c>
      <c r="J49" s="32">
        <f>$D$11</f>
        <v>0.15</v>
      </c>
      <c r="K49" s="31">
        <f>I49/(1-J49)</f>
        <v>0</v>
      </c>
    </row>
    <row r="50" spans="1:11" x14ac:dyDescent="0.35">
      <c r="B50" t="s">
        <v>171</v>
      </c>
      <c r="C50" s="62">
        <v>0</v>
      </c>
      <c r="D50" s="62">
        <v>0</v>
      </c>
      <c r="E50" s="62">
        <v>0</v>
      </c>
      <c r="F50" s="17">
        <v>0</v>
      </c>
      <c r="G50" s="62">
        <v>0</v>
      </c>
      <c r="I50" s="17">
        <f>SUM(C50:G50)</f>
        <v>0</v>
      </c>
      <c r="J50" s="24">
        <f>$D$11</f>
        <v>0.15</v>
      </c>
      <c r="K50" s="17">
        <f>I50/(1-J50)</f>
        <v>0</v>
      </c>
    </row>
    <row r="51" spans="1:11" x14ac:dyDescent="0.35">
      <c r="A51" s="30"/>
      <c r="B51" s="30" t="s">
        <v>172</v>
      </c>
      <c r="C51" s="61">
        <v>0</v>
      </c>
      <c r="D51" s="61">
        <v>0</v>
      </c>
      <c r="E51" s="61">
        <v>0</v>
      </c>
      <c r="F51" s="31">
        <v>0</v>
      </c>
      <c r="G51" s="61">
        <v>0</v>
      </c>
      <c r="H51" s="30"/>
      <c r="I51" s="31">
        <f>SUM(C51:G51)</f>
        <v>0</v>
      </c>
      <c r="J51" s="32">
        <f>$D$11</f>
        <v>0.15</v>
      </c>
      <c r="K51" s="31">
        <f>I51/(1-J51)</f>
        <v>0</v>
      </c>
    </row>
    <row r="52" spans="1:11" x14ac:dyDescent="0.35">
      <c r="A52" s="63"/>
      <c r="B52" s="63" t="s">
        <v>85</v>
      </c>
      <c r="C52" s="63"/>
      <c r="D52" s="63"/>
      <c r="E52" s="63"/>
      <c r="F52" s="63"/>
      <c r="G52" s="63"/>
      <c r="H52" s="63"/>
      <c r="I52" s="64">
        <f>SUM(I47:I51)</f>
        <v>4705.88</v>
      </c>
      <c r="J52" s="63"/>
      <c r="K52" s="64">
        <f>SUM(K47:K51)</f>
        <v>5536.3294117647065</v>
      </c>
    </row>
    <row r="54" spans="1:11" ht="15.5" x14ac:dyDescent="0.35">
      <c r="A54" s="25"/>
      <c r="B54" s="26" t="s">
        <v>173</v>
      </c>
      <c r="C54" s="25"/>
      <c r="D54" s="25"/>
      <c r="E54" s="25"/>
      <c r="F54" s="25"/>
      <c r="G54" s="25"/>
      <c r="H54" s="25"/>
      <c r="I54" s="27">
        <f>I26+I35+I44+I52</f>
        <v>45083.239999999991</v>
      </c>
      <c r="J54" s="25"/>
      <c r="K54" s="27">
        <f>K26+K35+K44+K52</f>
        <v>53039.105882352938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8A745"/>
  </sheetPr>
  <dimension ref="A3:K54"/>
  <sheetViews>
    <sheetView workbookViewId="0"/>
  </sheetViews>
  <sheetFormatPr defaultRowHeight="14.5" x14ac:dyDescent="0.3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5" x14ac:dyDescent="0.35">
      <c r="A3" s="58" t="s">
        <v>131</v>
      </c>
    </row>
    <row r="4" spans="1:5" x14ac:dyDescent="0.35">
      <c r="A4" s="12" t="s">
        <v>10</v>
      </c>
    </row>
    <row r="5" spans="1:5" x14ac:dyDescent="0.35">
      <c r="A5" s="12" t="s">
        <v>132</v>
      </c>
    </row>
    <row r="7" spans="1:5" x14ac:dyDescent="0.35">
      <c r="C7" s="23" t="s">
        <v>133</v>
      </c>
    </row>
    <row r="8" spans="1:5" x14ac:dyDescent="0.35">
      <c r="C8" t="s">
        <v>134</v>
      </c>
      <c r="D8" s="18">
        <v>0.15</v>
      </c>
    </row>
    <row r="9" spans="1:5" x14ac:dyDescent="0.35">
      <c r="C9" t="s">
        <v>135</v>
      </c>
      <c r="D9" s="18">
        <v>0.15</v>
      </c>
    </row>
    <row r="10" spans="1:5" x14ac:dyDescent="0.35">
      <c r="C10" t="s">
        <v>110</v>
      </c>
      <c r="D10" s="18">
        <v>0.15</v>
      </c>
    </row>
    <row r="11" spans="1:5" x14ac:dyDescent="0.35">
      <c r="C11" t="s">
        <v>136</v>
      </c>
      <c r="D11" s="18">
        <v>0.15</v>
      </c>
    </row>
    <row r="15" spans="1:5" ht="15.5" x14ac:dyDescent="0.35">
      <c r="B15" s="59" t="s">
        <v>174</v>
      </c>
    </row>
    <row r="16" spans="1:5" x14ac:dyDescent="0.35">
      <c r="B16" s="2" t="s">
        <v>138</v>
      </c>
      <c r="C16" s="2" t="s">
        <v>139</v>
      </c>
      <c r="D16" s="2" t="s">
        <v>140</v>
      </c>
      <c r="E16" s="2" t="s">
        <v>141</v>
      </c>
    </row>
    <row r="17" spans="1:11" x14ac:dyDescent="0.35">
      <c r="B17" s="45">
        <v>7.48</v>
      </c>
      <c r="C17" s="45">
        <v>29.92</v>
      </c>
      <c r="D17" s="60">
        <v>223.8</v>
      </c>
      <c r="E17">
        <v>1</v>
      </c>
    </row>
    <row r="19" spans="1:11" ht="16" customHeight="1" x14ac:dyDescent="0.35">
      <c r="A19" s="22" t="s">
        <v>38</v>
      </c>
      <c r="B19" s="22" t="s">
        <v>142</v>
      </c>
      <c r="C19" s="22" t="s">
        <v>143</v>
      </c>
      <c r="D19" s="22" t="s">
        <v>144</v>
      </c>
      <c r="E19" s="22" t="s">
        <v>145</v>
      </c>
      <c r="F19" s="22" t="s">
        <v>146</v>
      </c>
      <c r="G19" s="22" t="s">
        <v>147</v>
      </c>
      <c r="H19" s="22" t="s">
        <v>38</v>
      </c>
      <c r="I19" s="22" t="s">
        <v>32</v>
      </c>
      <c r="J19" s="22" t="s">
        <v>134</v>
      </c>
      <c r="K19" s="22" t="s">
        <v>41</v>
      </c>
    </row>
    <row r="20" spans="1:11" x14ac:dyDescent="0.35">
      <c r="A20" s="30"/>
      <c r="B20" s="30" t="s">
        <v>148</v>
      </c>
      <c r="C20" s="61">
        <v>0</v>
      </c>
      <c r="D20" s="61">
        <v>0</v>
      </c>
      <c r="E20" s="61">
        <v>0</v>
      </c>
      <c r="F20" s="31">
        <v>0</v>
      </c>
      <c r="G20" s="61">
        <v>0</v>
      </c>
      <c r="H20" s="30"/>
      <c r="I20" s="31">
        <f t="shared" ref="I20:I25" si="0">SUM(C20:G20)</f>
        <v>0</v>
      </c>
      <c r="J20" s="32">
        <f t="shared" ref="J20:J25" si="1">$D$8</f>
        <v>0.15</v>
      </c>
      <c r="K20" s="31">
        <f t="shared" ref="K20:K25" si="2">I20/(1-J20)</f>
        <v>0</v>
      </c>
    </row>
    <row r="21" spans="1:11" x14ac:dyDescent="0.35">
      <c r="B21" t="s">
        <v>149</v>
      </c>
      <c r="C21" s="62">
        <v>0</v>
      </c>
      <c r="D21" s="62">
        <v>0</v>
      </c>
      <c r="E21" s="62">
        <v>0</v>
      </c>
      <c r="F21" s="17">
        <v>0</v>
      </c>
      <c r="G21" s="62">
        <v>0</v>
      </c>
      <c r="I21" s="17">
        <f t="shared" si="0"/>
        <v>0</v>
      </c>
      <c r="J21" s="24">
        <f t="shared" si="1"/>
        <v>0.15</v>
      </c>
      <c r="K21" s="17">
        <f t="shared" si="2"/>
        <v>0</v>
      </c>
    </row>
    <row r="22" spans="1:11" x14ac:dyDescent="0.35">
      <c r="A22" s="30"/>
      <c r="B22" s="30" t="s">
        <v>150</v>
      </c>
      <c r="C22" s="61">
        <v>4102.5</v>
      </c>
      <c r="D22" s="61">
        <v>0</v>
      </c>
      <c r="E22" s="61">
        <v>0</v>
      </c>
      <c r="F22" s="31">
        <v>0</v>
      </c>
      <c r="G22" s="61">
        <v>0</v>
      </c>
      <c r="H22" s="30"/>
      <c r="I22" s="31">
        <f t="shared" si="0"/>
        <v>4102.5</v>
      </c>
      <c r="J22" s="32">
        <f t="shared" si="1"/>
        <v>0.15</v>
      </c>
      <c r="K22" s="31">
        <f t="shared" si="2"/>
        <v>4826.4705882352946</v>
      </c>
    </row>
    <row r="23" spans="1:11" x14ac:dyDescent="0.35">
      <c r="B23" t="s">
        <v>151</v>
      </c>
      <c r="C23" s="62">
        <v>0</v>
      </c>
      <c r="D23" s="62">
        <v>0</v>
      </c>
      <c r="E23" s="62">
        <v>0</v>
      </c>
      <c r="F23" s="17">
        <v>0</v>
      </c>
      <c r="G23" s="62">
        <v>0</v>
      </c>
      <c r="I23" s="17">
        <f t="shared" si="0"/>
        <v>0</v>
      </c>
      <c r="J23" s="24">
        <f t="shared" si="1"/>
        <v>0.15</v>
      </c>
      <c r="K23" s="17">
        <f t="shared" si="2"/>
        <v>0</v>
      </c>
    </row>
    <row r="24" spans="1:11" x14ac:dyDescent="0.35">
      <c r="A24" s="30"/>
      <c r="B24" s="30" t="s">
        <v>152</v>
      </c>
      <c r="C24" s="61">
        <v>0</v>
      </c>
      <c r="D24" s="61">
        <v>0</v>
      </c>
      <c r="E24" s="61">
        <v>0</v>
      </c>
      <c r="F24" s="31">
        <v>0</v>
      </c>
      <c r="G24" s="61">
        <v>0</v>
      </c>
      <c r="H24" s="30"/>
      <c r="I24" s="31">
        <f t="shared" si="0"/>
        <v>0</v>
      </c>
      <c r="J24" s="32">
        <f t="shared" si="1"/>
        <v>0.15</v>
      </c>
      <c r="K24" s="31">
        <f t="shared" si="2"/>
        <v>0</v>
      </c>
    </row>
    <row r="25" spans="1:11" x14ac:dyDescent="0.35">
      <c r="B25" t="s">
        <v>152</v>
      </c>
      <c r="C25" s="62">
        <v>0</v>
      </c>
      <c r="D25" s="62">
        <v>0</v>
      </c>
      <c r="E25" s="62">
        <v>0</v>
      </c>
      <c r="F25" s="17">
        <v>0</v>
      </c>
      <c r="G25" s="62">
        <v>0</v>
      </c>
      <c r="I25" s="17">
        <f t="shared" si="0"/>
        <v>0</v>
      </c>
      <c r="J25" s="24">
        <f t="shared" si="1"/>
        <v>0.15</v>
      </c>
      <c r="K25" s="17">
        <f t="shared" si="2"/>
        <v>0</v>
      </c>
    </row>
    <row r="26" spans="1:11" x14ac:dyDescent="0.35">
      <c r="A26" s="63"/>
      <c r="B26" s="63" t="s">
        <v>85</v>
      </c>
      <c r="C26" s="63"/>
      <c r="D26" s="63"/>
      <c r="E26" s="63"/>
      <c r="F26" s="63"/>
      <c r="G26" s="63"/>
      <c r="H26" s="63"/>
      <c r="I26" s="64">
        <f>SUM(I20:I25)</f>
        <v>4102.5</v>
      </c>
      <c r="J26" s="63"/>
      <c r="K26" s="64">
        <f>SUM(K20:K25)</f>
        <v>4826.4705882352946</v>
      </c>
    </row>
    <row r="28" spans="1:11" ht="16" customHeight="1" x14ac:dyDescent="0.35">
      <c r="A28" s="22" t="s">
        <v>38</v>
      </c>
      <c r="B28" s="22" t="s">
        <v>153</v>
      </c>
      <c r="C28" s="22" t="s">
        <v>143</v>
      </c>
      <c r="D28" s="22" t="s">
        <v>144</v>
      </c>
      <c r="E28" s="22" t="s">
        <v>145</v>
      </c>
      <c r="F28" s="22" t="s">
        <v>146</v>
      </c>
      <c r="G28" s="22" t="s">
        <v>147</v>
      </c>
      <c r="H28" s="22" t="s">
        <v>38</v>
      </c>
      <c r="I28" s="22" t="s">
        <v>32</v>
      </c>
      <c r="J28" s="22" t="s">
        <v>134</v>
      </c>
      <c r="K28" s="22" t="s">
        <v>41</v>
      </c>
    </row>
    <row r="29" spans="1:11" x14ac:dyDescent="0.35">
      <c r="A29" s="30"/>
      <c r="B29" s="30" t="s">
        <v>154</v>
      </c>
      <c r="C29" s="61">
        <v>0</v>
      </c>
      <c r="D29" s="61">
        <v>0</v>
      </c>
      <c r="E29" s="61">
        <v>0</v>
      </c>
      <c r="F29" s="31">
        <v>0</v>
      </c>
      <c r="G29" s="61">
        <v>0</v>
      </c>
      <c r="H29" s="30"/>
      <c r="I29" s="31">
        <f t="shared" ref="I29:I34" si="3">SUM(C29:G29)</f>
        <v>0</v>
      </c>
      <c r="J29" s="32">
        <f t="shared" ref="J29:J34" si="4">$D$8</f>
        <v>0.15</v>
      </c>
      <c r="K29" s="31">
        <f t="shared" ref="K29:K34" si="5">I29/(1-J29)</f>
        <v>0</v>
      </c>
    </row>
    <row r="30" spans="1:11" x14ac:dyDescent="0.35">
      <c r="B30" t="s">
        <v>155</v>
      </c>
      <c r="C30" s="62">
        <v>0</v>
      </c>
      <c r="D30" s="62">
        <v>0</v>
      </c>
      <c r="E30" s="62">
        <v>0</v>
      </c>
      <c r="F30" s="17">
        <v>0</v>
      </c>
      <c r="G30" s="62">
        <v>0</v>
      </c>
      <c r="I30" s="17">
        <f t="shared" si="3"/>
        <v>0</v>
      </c>
      <c r="J30" s="24">
        <f t="shared" si="4"/>
        <v>0.15</v>
      </c>
      <c r="K30" s="17">
        <f t="shared" si="5"/>
        <v>0</v>
      </c>
    </row>
    <row r="31" spans="1:11" x14ac:dyDescent="0.35">
      <c r="A31" s="30"/>
      <c r="B31" s="30" t="s">
        <v>156</v>
      </c>
      <c r="C31" s="61">
        <v>17093.75</v>
      </c>
      <c r="D31" s="61">
        <v>0</v>
      </c>
      <c r="E31" s="61">
        <v>0</v>
      </c>
      <c r="F31" s="31">
        <v>0</v>
      </c>
      <c r="G31" s="61">
        <v>0</v>
      </c>
      <c r="H31" s="30"/>
      <c r="I31" s="31">
        <f t="shared" si="3"/>
        <v>17093.75</v>
      </c>
      <c r="J31" s="32">
        <f t="shared" si="4"/>
        <v>0.15</v>
      </c>
      <c r="K31" s="31">
        <f t="shared" si="5"/>
        <v>20110.294117647059</v>
      </c>
    </row>
    <row r="32" spans="1:11" x14ac:dyDescent="0.35">
      <c r="B32" t="s">
        <v>157</v>
      </c>
      <c r="C32" s="62">
        <v>0</v>
      </c>
      <c r="D32" s="62">
        <v>0</v>
      </c>
      <c r="E32" s="62">
        <v>0</v>
      </c>
      <c r="F32" s="17">
        <v>0</v>
      </c>
      <c r="G32" s="62">
        <v>0</v>
      </c>
      <c r="I32" s="17">
        <f t="shared" si="3"/>
        <v>0</v>
      </c>
      <c r="J32" s="24">
        <f t="shared" si="4"/>
        <v>0.15</v>
      </c>
      <c r="K32" s="17">
        <f t="shared" si="5"/>
        <v>0</v>
      </c>
    </row>
    <row r="33" spans="1:11" x14ac:dyDescent="0.35">
      <c r="A33" s="30"/>
      <c r="B33" s="30" t="s">
        <v>158</v>
      </c>
      <c r="C33" s="61">
        <v>0</v>
      </c>
      <c r="D33" s="61">
        <v>0</v>
      </c>
      <c r="E33" s="61">
        <v>0</v>
      </c>
      <c r="F33" s="31">
        <v>0</v>
      </c>
      <c r="G33" s="61">
        <v>0</v>
      </c>
      <c r="H33" s="30"/>
      <c r="I33" s="31">
        <f t="shared" si="3"/>
        <v>0</v>
      </c>
      <c r="J33" s="32">
        <f t="shared" si="4"/>
        <v>0.15</v>
      </c>
      <c r="K33" s="31">
        <f t="shared" si="5"/>
        <v>0</v>
      </c>
    </row>
    <row r="34" spans="1:11" x14ac:dyDescent="0.35">
      <c r="B34" t="s">
        <v>159</v>
      </c>
      <c r="C34" s="62">
        <v>20882.349999999999</v>
      </c>
      <c r="D34" s="62">
        <v>0</v>
      </c>
      <c r="E34" s="62">
        <v>0</v>
      </c>
      <c r="F34" s="17">
        <v>0</v>
      </c>
      <c r="G34" s="62">
        <v>0</v>
      </c>
      <c r="I34" s="17">
        <f t="shared" si="3"/>
        <v>20882.349999999999</v>
      </c>
      <c r="J34" s="24">
        <f t="shared" si="4"/>
        <v>0.15</v>
      </c>
      <c r="K34" s="17">
        <f t="shared" si="5"/>
        <v>24567.470588235294</v>
      </c>
    </row>
    <row r="35" spans="1:11" x14ac:dyDescent="0.35">
      <c r="A35" s="63"/>
      <c r="B35" s="63" t="s">
        <v>85</v>
      </c>
      <c r="C35" s="63"/>
      <c r="D35" s="63"/>
      <c r="E35" s="63"/>
      <c r="F35" s="63"/>
      <c r="G35" s="63"/>
      <c r="H35" s="63"/>
      <c r="I35" s="64">
        <f>SUM(I29:I34)</f>
        <v>37976.1</v>
      </c>
      <c r="J35" s="63"/>
      <c r="K35" s="64">
        <f>SUM(K29:K34)</f>
        <v>44677.76470588235</v>
      </c>
    </row>
    <row r="37" spans="1:11" ht="16" customHeight="1" x14ac:dyDescent="0.35">
      <c r="A37" s="22" t="s">
        <v>38</v>
      </c>
      <c r="B37" s="22" t="s">
        <v>160</v>
      </c>
      <c r="C37" s="22" t="s">
        <v>143</v>
      </c>
      <c r="D37" s="22" t="s">
        <v>144</v>
      </c>
      <c r="E37" s="22" t="s">
        <v>145</v>
      </c>
      <c r="F37" s="22" t="s">
        <v>146</v>
      </c>
      <c r="G37" s="22" t="s">
        <v>147</v>
      </c>
      <c r="H37" s="22" t="s">
        <v>38</v>
      </c>
      <c r="I37" s="22" t="s">
        <v>32</v>
      </c>
      <c r="J37" s="22" t="s">
        <v>134</v>
      </c>
      <c r="K37" s="22" t="s">
        <v>41</v>
      </c>
    </row>
    <row r="38" spans="1:11" x14ac:dyDescent="0.35">
      <c r="A38" s="30"/>
      <c r="B38" s="30" t="s">
        <v>161</v>
      </c>
      <c r="C38" s="61">
        <v>17093.75</v>
      </c>
      <c r="D38" s="61">
        <v>0</v>
      </c>
      <c r="E38" s="61">
        <v>0</v>
      </c>
      <c r="F38" s="31">
        <v>0</v>
      </c>
      <c r="G38" s="61">
        <v>0</v>
      </c>
      <c r="H38" s="30"/>
      <c r="I38" s="31">
        <f t="shared" ref="I38:I43" si="6">SUM(C38:G38)</f>
        <v>17093.75</v>
      </c>
      <c r="J38" s="32">
        <f t="shared" ref="J38:J43" si="7">$D$9</f>
        <v>0.15</v>
      </c>
      <c r="K38" s="31">
        <f t="shared" ref="K38:K43" si="8">I38/(1-J38)</f>
        <v>20110.294117647059</v>
      </c>
    </row>
    <row r="39" spans="1:11" x14ac:dyDescent="0.35">
      <c r="B39" t="s">
        <v>162</v>
      </c>
      <c r="C39" s="62">
        <v>0</v>
      </c>
      <c r="D39" s="62">
        <v>0</v>
      </c>
      <c r="E39" s="62">
        <v>0</v>
      </c>
      <c r="F39" s="17">
        <v>0</v>
      </c>
      <c r="G39" s="62">
        <v>0</v>
      </c>
      <c r="I39" s="17">
        <f t="shared" si="6"/>
        <v>0</v>
      </c>
      <c r="J39" s="24">
        <f t="shared" si="7"/>
        <v>0.15</v>
      </c>
      <c r="K39" s="17">
        <f t="shared" si="8"/>
        <v>0</v>
      </c>
    </row>
    <row r="40" spans="1:11" x14ac:dyDescent="0.35">
      <c r="A40" s="30"/>
      <c r="B40" s="30" t="s">
        <v>163</v>
      </c>
      <c r="C40" s="61">
        <v>0</v>
      </c>
      <c r="D40" s="61">
        <v>0</v>
      </c>
      <c r="E40" s="61">
        <v>0</v>
      </c>
      <c r="F40" s="31">
        <v>0</v>
      </c>
      <c r="G40" s="61">
        <v>0</v>
      </c>
      <c r="H40" s="30"/>
      <c r="I40" s="31">
        <f t="shared" si="6"/>
        <v>0</v>
      </c>
      <c r="J40" s="32">
        <f t="shared" si="7"/>
        <v>0.15</v>
      </c>
      <c r="K40" s="31">
        <f t="shared" si="8"/>
        <v>0</v>
      </c>
    </row>
    <row r="41" spans="1:11" x14ac:dyDescent="0.35">
      <c r="B41" t="s">
        <v>164</v>
      </c>
      <c r="C41" s="62">
        <v>0</v>
      </c>
      <c r="D41" s="62">
        <v>0</v>
      </c>
      <c r="E41" s="62">
        <v>0</v>
      </c>
      <c r="F41" s="17">
        <v>0</v>
      </c>
      <c r="G41" s="62">
        <v>0</v>
      </c>
      <c r="I41" s="17">
        <f t="shared" si="6"/>
        <v>0</v>
      </c>
      <c r="J41" s="24">
        <f t="shared" si="7"/>
        <v>0.15</v>
      </c>
      <c r="K41" s="17">
        <f t="shared" si="8"/>
        <v>0</v>
      </c>
    </row>
    <row r="42" spans="1:11" x14ac:dyDescent="0.35">
      <c r="A42" s="30"/>
      <c r="B42" s="30" t="s">
        <v>165</v>
      </c>
      <c r="C42" s="61">
        <v>0</v>
      </c>
      <c r="D42" s="61">
        <v>0</v>
      </c>
      <c r="E42" s="61">
        <v>0</v>
      </c>
      <c r="F42" s="31">
        <v>0</v>
      </c>
      <c r="G42" s="61">
        <v>0</v>
      </c>
      <c r="H42" s="30"/>
      <c r="I42" s="31">
        <f t="shared" si="6"/>
        <v>0</v>
      </c>
      <c r="J42" s="32">
        <f t="shared" si="7"/>
        <v>0.15</v>
      </c>
      <c r="K42" s="31">
        <f t="shared" si="8"/>
        <v>0</v>
      </c>
    </row>
    <row r="43" spans="1:11" x14ac:dyDescent="0.35">
      <c r="B43" t="s">
        <v>166</v>
      </c>
      <c r="C43" s="62">
        <v>0</v>
      </c>
      <c r="D43" s="62">
        <v>0</v>
      </c>
      <c r="E43" s="62">
        <v>0</v>
      </c>
      <c r="F43" s="17">
        <v>0</v>
      </c>
      <c r="G43" s="62">
        <v>0</v>
      </c>
      <c r="I43" s="17">
        <f t="shared" si="6"/>
        <v>0</v>
      </c>
      <c r="J43" s="24">
        <f t="shared" si="7"/>
        <v>0.15</v>
      </c>
      <c r="K43" s="17">
        <f t="shared" si="8"/>
        <v>0</v>
      </c>
    </row>
    <row r="44" spans="1:11" x14ac:dyDescent="0.35">
      <c r="A44" s="63"/>
      <c r="B44" s="63" t="s">
        <v>85</v>
      </c>
      <c r="C44" s="63"/>
      <c r="D44" s="63"/>
      <c r="E44" s="63"/>
      <c r="F44" s="63"/>
      <c r="G44" s="63"/>
      <c r="H44" s="63"/>
      <c r="I44" s="64">
        <f>SUM(I38:I43)</f>
        <v>17093.75</v>
      </c>
      <c r="J44" s="63"/>
      <c r="K44" s="64">
        <f>SUM(K38:K43)</f>
        <v>20110.294117647059</v>
      </c>
    </row>
    <row r="46" spans="1:11" ht="16" customHeight="1" x14ac:dyDescent="0.35">
      <c r="A46" s="22" t="s">
        <v>38</v>
      </c>
      <c r="B46" s="22" t="s">
        <v>167</v>
      </c>
      <c r="C46" s="22" t="s">
        <v>143</v>
      </c>
      <c r="D46" s="22" t="s">
        <v>144</v>
      </c>
      <c r="E46" s="22" t="s">
        <v>145</v>
      </c>
      <c r="F46" s="22" t="s">
        <v>146</v>
      </c>
      <c r="G46" s="22" t="s">
        <v>147</v>
      </c>
      <c r="H46" s="22" t="s">
        <v>38</v>
      </c>
      <c r="I46" s="22" t="s">
        <v>32</v>
      </c>
      <c r="J46" s="22" t="s">
        <v>134</v>
      </c>
      <c r="K46" s="22" t="s">
        <v>41</v>
      </c>
    </row>
    <row r="47" spans="1:11" x14ac:dyDescent="0.35">
      <c r="A47" s="30"/>
      <c r="B47" s="30" t="s">
        <v>168</v>
      </c>
      <c r="C47" s="61">
        <v>4705.88</v>
      </c>
      <c r="D47" s="61">
        <v>0</v>
      </c>
      <c r="E47" s="61">
        <v>0</v>
      </c>
      <c r="F47" s="31">
        <v>0</v>
      </c>
      <c r="G47" s="61">
        <v>0</v>
      </c>
      <c r="H47" s="30"/>
      <c r="I47" s="31">
        <f>SUM(C47:G47)</f>
        <v>4705.88</v>
      </c>
      <c r="J47" s="32">
        <f>$D$11</f>
        <v>0.15</v>
      </c>
      <c r="K47" s="31">
        <f>I47/(1-J47)</f>
        <v>5536.3294117647065</v>
      </c>
    </row>
    <row r="48" spans="1:11" x14ac:dyDescent="0.35">
      <c r="B48" t="s">
        <v>169</v>
      </c>
      <c r="C48" s="62">
        <v>0</v>
      </c>
      <c r="D48" s="62">
        <v>0</v>
      </c>
      <c r="E48" s="62">
        <v>0</v>
      </c>
      <c r="F48" s="17">
        <v>0</v>
      </c>
      <c r="G48" s="62">
        <v>0</v>
      </c>
      <c r="I48" s="17">
        <f>SUM(C48:G48)</f>
        <v>0</v>
      </c>
      <c r="J48" s="24">
        <f>$D$11</f>
        <v>0.15</v>
      </c>
      <c r="K48" s="17">
        <f>I48/(1-J48)</f>
        <v>0</v>
      </c>
    </row>
    <row r="49" spans="1:11" x14ac:dyDescent="0.35">
      <c r="A49" s="30"/>
      <c r="B49" s="30" t="s">
        <v>170</v>
      </c>
      <c r="C49" s="61">
        <v>0</v>
      </c>
      <c r="D49" s="61">
        <v>0</v>
      </c>
      <c r="E49" s="61">
        <v>0</v>
      </c>
      <c r="F49" s="31">
        <v>0</v>
      </c>
      <c r="G49" s="61">
        <v>0</v>
      </c>
      <c r="H49" s="30"/>
      <c r="I49" s="31">
        <f>SUM(C49:G49)</f>
        <v>0</v>
      </c>
      <c r="J49" s="32">
        <f>$D$11</f>
        <v>0.15</v>
      </c>
      <c r="K49" s="31">
        <f>I49/(1-J49)</f>
        <v>0</v>
      </c>
    </row>
    <row r="50" spans="1:11" x14ac:dyDescent="0.35">
      <c r="B50" t="s">
        <v>171</v>
      </c>
      <c r="C50" s="62">
        <v>0</v>
      </c>
      <c r="D50" s="62">
        <v>0</v>
      </c>
      <c r="E50" s="62">
        <v>0</v>
      </c>
      <c r="F50" s="17">
        <v>0</v>
      </c>
      <c r="G50" s="62">
        <v>0</v>
      </c>
      <c r="I50" s="17">
        <f>SUM(C50:G50)</f>
        <v>0</v>
      </c>
      <c r="J50" s="24">
        <f>$D$11</f>
        <v>0.15</v>
      </c>
      <c r="K50" s="17">
        <f>I50/(1-J50)</f>
        <v>0</v>
      </c>
    </row>
    <row r="51" spans="1:11" x14ac:dyDescent="0.35">
      <c r="A51" s="30"/>
      <c r="B51" s="30" t="s">
        <v>172</v>
      </c>
      <c r="C51" s="61">
        <v>0</v>
      </c>
      <c r="D51" s="61">
        <v>0</v>
      </c>
      <c r="E51" s="61">
        <v>0</v>
      </c>
      <c r="F51" s="31">
        <v>0</v>
      </c>
      <c r="G51" s="61">
        <v>0</v>
      </c>
      <c r="H51" s="30"/>
      <c r="I51" s="31">
        <f>SUM(C51:G51)</f>
        <v>0</v>
      </c>
      <c r="J51" s="32">
        <f>$D$11</f>
        <v>0.15</v>
      </c>
      <c r="K51" s="31">
        <f>I51/(1-J51)</f>
        <v>0</v>
      </c>
    </row>
    <row r="52" spans="1:11" x14ac:dyDescent="0.35">
      <c r="A52" s="63"/>
      <c r="B52" s="63" t="s">
        <v>85</v>
      </c>
      <c r="C52" s="63"/>
      <c r="D52" s="63"/>
      <c r="E52" s="63"/>
      <c r="F52" s="63"/>
      <c r="G52" s="63"/>
      <c r="H52" s="63"/>
      <c r="I52" s="64">
        <f>SUM(I47:I51)</f>
        <v>4705.88</v>
      </c>
      <c r="J52" s="63"/>
      <c r="K52" s="64">
        <f>SUM(K47:K51)</f>
        <v>5536.3294117647065</v>
      </c>
    </row>
    <row r="54" spans="1:11" ht="15.5" x14ac:dyDescent="0.35">
      <c r="A54" s="25"/>
      <c r="B54" s="26" t="s">
        <v>173</v>
      </c>
      <c r="C54" s="25"/>
      <c r="D54" s="25"/>
      <c r="E54" s="25"/>
      <c r="F54" s="25"/>
      <c r="G54" s="25"/>
      <c r="H54" s="25"/>
      <c r="I54" s="27">
        <f>I26+I35+I44+I52</f>
        <v>63878.229999999996</v>
      </c>
      <c r="J54" s="25"/>
      <c r="K54" s="27">
        <f>K26+K35+K44+K52</f>
        <v>75150.858823529401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8A745"/>
  </sheetPr>
  <dimension ref="A3:K54"/>
  <sheetViews>
    <sheetView workbookViewId="0"/>
  </sheetViews>
  <sheetFormatPr defaultRowHeight="14.5" x14ac:dyDescent="0.3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5" x14ac:dyDescent="0.35">
      <c r="A3" s="58" t="s">
        <v>131</v>
      </c>
    </row>
    <row r="4" spans="1:5" x14ac:dyDescent="0.35">
      <c r="A4" s="12" t="s">
        <v>10</v>
      </c>
    </row>
    <row r="5" spans="1:5" x14ac:dyDescent="0.35">
      <c r="A5" s="12" t="s">
        <v>132</v>
      </c>
    </row>
    <row r="7" spans="1:5" x14ac:dyDescent="0.35">
      <c r="C7" s="23" t="s">
        <v>133</v>
      </c>
    </row>
    <row r="8" spans="1:5" x14ac:dyDescent="0.35">
      <c r="C8" t="s">
        <v>134</v>
      </c>
      <c r="D8" s="18">
        <v>0.15</v>
      </c>
    </row>
    <row r="9" spans="1:5" x14ac:dyDescent="0.35">
      <c r="C9" t="s">
        <v>135</v>
      </c>
      <c r="D9" s="18">
        <v>0.15</v>
      </c>
    </row>
    <row r="10" spans="1:5" x14ac:dyDescent="0.35">
      <c r="C10" t="s">
        <v>110</v>
      </c>
      <c r="D10" s="18">
        <v>0.15</v>
      </c>
    </row>
    <row r="11" spans="1:5" x14ac:dyDescent="0.35">
      <c r="C11" t="s">
        <v>136</v>
      </c>
      <c r="D11" s="18">
        <v>0.15</v>
      </c>
    </row>
    <row r="15" spans="1:5" ht="15.5" x14ac:dyDescent="0.35">
      <c r="B15" s="59" t="s">
        <v>175</v>
      </c>
    </row>
    <row r="16" spans="1:5" x14ac:dyDescent="0.35">
      <c r="B16" s="2" t="s">
        <v>138</v>
      </c>
      <c r="C16" s="2" t="s">
        <v>139</v>
      </c>
      <c r="D16" s="2" t="s">
        <v>140</v>
      </c>
      <c r="E16" s="2" t="s">
        <v>141</v>
      </c>
    </row>
    <row r="17" spans="1:11" x14ac:dyDescent="0.35">
      <c r="B17" s="45">
        <v>7.48</v>
      </c>
      <c r="C17" s="45">
        <v>29.92</v>
      </c>
      <c r="D17" s="60">
        <v>223.8</v>
      </c>
      <c r="E17">
        <v>1</v>
      </c>
    </row>
    <row r="19" spans="1:11" ht="16" customHeight="1" x14ac:dyDescent="0.35">
      <c r="A19" s="22" t="s">
        <v>38</v>
      </c>
      <c r="B19" s="22" t="s">
        <v>142</v>
      </c>
      <c r="C19" s="22" t="s">
        <v>143</v>
      </c>
      <c r="D19" s="22" t="s">
        <v>144</v>
      </c>
      <c r="E19" s="22" t="s">
        <v>145</v>
      </c>
      <c r="F19" s="22" t="s">
        <v>146</v>
      </c>
      <c r="G19" s="22" t="s">
        <v>147</v>
      </c>
      <c r="H19" s="22" t="s">
        <v>38</v>
      </c>
      <c r="I19" s="22" t="s">
        <v>32</v>
      </c>
      <c r="J19" s="22" t="s">
        <v>134</v>
      </c>
      <c r="K19" s="22" t="s">
        <v>41</v>
      </c>
    </row>
    <row r="20" spans="1:11" x14ac:dyDescent="0.35">
      <c r="A20" s="30"/>
      <c r="B20" s="30" t="s">
        <v>148</v>
      </c>
      <c r="C20" s="61">
        <v>0</v>
      </c>
      <c r="D20" s="61">
        <v>0</v>
      </c>
      <c r="E20" s="61">
        <v>0</v>
      </c>
      <c r="F20" s="31">
        <v>0</v>
      </c>
      <c r="G20" s="61">
        <v>0</v>
      </c>
      <c r="H20" s="30"/>
      <c r="I20" s="31">
        <f t="shared" ref="I20:I25" si="0">SUM(C20:G20)</f>
        <v>0</v>
      </c>
      <c r="J20" s="32">
        <f t="shared" ref="J20:J25" si="1">$D$8</f>
        <v>0.15</v>
      </c>
      <c r="K20" s="31">
        <f t="shared" ref="K20:K25" si="2">I20/(1-J20)</f>
        <v>0</v>
      </c>
    </row>
    <row r="21" spans="1:11" x14ac:dyDescent="0.35">
      <c r="B21" t="s">
        <v>149</v>
      </c>
      <c r="C21" s="62">
        <v>0</v>
      </c>
      <c r="D21" s="62">
        <v>0</v>
      </c>
      <c r="E21" s="62">
        <v>0</v>
      </c>
      <c r="F21" s="17">
        <v>0</v>
      </c>
      <c r="G21" s="62">
        <v>0</v>
      </c>
      <c r="I21" s="17">
        <f t="shared" si="0"/>
        <v>0</v>
      </c>
      <c r="J21" s="24">
        <f t="shared" si="1"/>
        <v>0.15</v>
      </c>
      <c r="K21" s="17">
        <f t="shared" si="2"/>
        <v>0</v>
      </c>
    </row>
    <row r="22" spans="1:11" x14ac:dyDescent="0.35">
      <c r="A22" s="30"/>
      <c r="B22" s="30" t="s">
        <v>150</v>
      </c>
      <c r="C22" s="61">
        <v>4102.5</v>
      </c>
      <c r="D22" s="61">
        <v>0</v>
      </c>
      <c r="E22" s="61">
        <v>0</v>
      </c>
      <c r="F22" s="31">
        <v>0</v>
      </c>
      <c r="G22" s="61">
        <v>0</v>
      </c>
      <c r="H22" s="30"/>
      <c r="I22" s="31">
        <f t="shared" si="0"/>
        <v>4102.5</v>
      </c>
      <c r="J22" s="32">
        <f t="shared" si="1"/>
        <v>0.15</v>
      </c>
      <c r="K22" s="31">
        <f t="shared" si="2"/>
        <v>4826.4705882352946</v>
      </c>
    </row>
    <row r="23" spans="1:11" x14ac:dyDescent="0.35">
      <c r="B23" t="s">
        <v>151</v>
      </c>
      <c r="C23" s="62">
        <v>0</v>
      </c>
      <c r="D23" s="62">
        <v>0</v>
      </c>
      <c r="E23" s="62">
        <v>0</v>
      </c>
      <c r="F23" s="17">
        <v>0</v>
      </c>
      <c r="G23" s="62">
        <v>0</v>
      </c>
      <c r="I23" s="17">
        <f t="shared" si="0"/>
        <v>0</v>
      </c>
      <c r="J23" s="24">
        <f t="shared" si="1"/>
        <v>0.15</v>
      </c>
      <c r="K23" s="17">
        <f t="shared" si="2"/>
        <v>0</v>
      </c>
    </row>
    <row r="24" spans="1:11" x14ac:dyDescent="0.35">
      <c r="A24" s="30"/>
      <c r="B24" s="30" t="s">
        <v>152</v>
      </c>
      <c r="C24" s="61">
        <v>0</v>
      </c>
      <c r="D24" s="61">
        <v>0</v>
      </c>
      <c r="E24" s="61">
        <v>0</v>
      </c>
      <c r="F24" s="31">
        <v>0</v>
      </c>
      <c r="G24" s="61">
        <v>0</v>
      </c>
      <c r="H24" s="30"/>
      <c r="I24" s="31">
        <f t="shared" si="0"/>
        <v>0</v>
      </c>
      <c r="J24" s="32">
        <f t="shared" si="1"/>
        <v>0.15</v>
      </c>
      <c r="K24" s="31">
        <f t="shared" si="2"/>
        <v>0</v>
      </c>
    </row>
    <row r="25" spans="1:11" x14ac:dyDescent="0.35">
      <c r="B25" t="s">
        <v>152</v>
      </c>
      <c r="C25" s="62">
        <v>0</v>
      </c>
      <c r="D25" s="62">
        <v>0</v>
      </c>
      <c r="E25" s="62">
        <v>0</v>
      </c>
      <c r="F25" s="17">
        <v>0</v>
      </c>
      <c r="G25" s="62">
        <v>0</v>
      </c>
      <c r="I25" s="17">
        <f t="shared" si="0"/>
        <v>0</v>
      </c>
      <c r="J25" s="24">
        <f t="shared" si="1"/>
        <v>0.15</v>
      </c>
      <c r="K25" s="17">
        <f t="shared" si="2"/>
        <v>0</v>
      </c>
    </row>
    <row r="26" spans="1:11" x14ac:dyDescent="0.35">
      <c r="A26" s="63"/>
      <c r="B26" s="63" t="s">
        <v>85</v>
      </c>
      <c r="C26" s="63"/>
      <c r="D26" s="63"/>
      <c r="E26" s="63"/>
      <c r="F26" s="63"/>
      <c r="G26" s="63"/>
      <c r="H26" s="63"/>
      <c r="I26" s="64">
        <f>SUM(I20:I25)</f>
        <v>4102.5</v>
      </c>
      <c r="J26" s="63"/>
      <c r="K26" s="64">
        <f>SUM(K20:K25)</f>
        <v>4826.4705882352946</v>
      </c>
    </row>
    <row r="28" spans="1:11" ht="16" customHeight="1" x14ac:dyDescent="0.35">
      <c r="A28" s="22" t="s">
        <v>38</v>
      </c>
      <c r="B28" s="22" t="s">
        <v>153</v>
      </c>
      <c r="C28" s="22" t="s">
        <v>143</v>
      </c>
      <c r="D28" s="22" t="s">
        <v>144</v>
      </c>
      <c r="E28" s="22" t="s">
        <v>145</v>
      </c>
      <c r="F28" s="22" t="s">
        <v>146</v>
      </c>
      <c r="G28" s="22" t="s">
        <v>147</v>
      </c>
      <c r="H28" s="22" t="s">
        <v>38</v>
      </c>
      <c r="I28" s="22" t="s">
        <v>32</v>
      </c>
      <c r="J28" s="22" t="s">
        <v>134</v>
      </c>
      <c r="K28" s="22" t="s">
        <v>41</v>
      </c>
    </row>
    <row r="29" spans="1:11" x14ac:dyDescent="0.35">
      <c r="A29" s="30"/>
      <c r="B29" s="30" t="s">
        <v>154</v>
      </c>
      <c r="C29" s="61">
        <v>0</v>
      </c>
      <c r="D29" s="61">
        <v>0</v>
      </c>
      <c r="E29" s="61">
        <v>0</v>
      </c>
      <c r="F29" s="31">
        <v>0</v>
      </c>
      <c r="G29" s="61">
        <v>0</v>
      </c>
      <c r="H29" s="30"/>
      <c r="I29" s="31">
        <f t="shared" ref="I29:I34" si="3">SUM(C29:G29)</f>
        <v>0</v>
      </c>
      <c r="J29" s="32">
        <f t="shared" ref="J29:J34" si="4">$D$8</f>
        <v>0.15</v>
      </c>
      <c r="K29" s="31">
        <f t="shared" ref="K29:K34" si="5">I29/(1-J29)</f>
        <v>0</v>
      </c>
    </row>
    <row r="30" spans="1:11" x14ac:dyDescent="0.35">
      <c r="B30" t="s">
        <v>155</v>
      </c>
      <c r="C30" s="62">
        <v>0</v>
      </c>
      <c r="D30" s="62">
        <v>0</v>
      </c>
      <c r="E30" s="62">
        <v>0</v>
      </c>
      <c r="F30" s="17">
        <v>0</v>
      </c>
      <c r="G30" s="62">
        <v>0</v>
      </c>
      <c r="I30" s="17">
        <f t="shared" si="3"/>
        <v>0</v>
      </c>
      <c r="J30" s="24">
        <f t="shared" si="4"/>
        <v>0.15</v>
      </c>
      <c r="K30" s="17">
        <f t="shared" si="5"/>
        <v>0</v>
      </c>
    </row>
    <row r="31" spans="1:11" x14ac:dyDescent="0.35">
      <c r="A31" s="30"/>
      <c r="B31" s="30" t="s">
        <v>156</v>
      </c>
      <c r="C31" s="61">
        <v>17093.75</v>
      </c>
      <c r="D31" s="61">
        <v>0</v>
      </c>
      <c r="E31" s="61">
        <v>0</v>
      </c>
      <c r="F31" s="31">
        <v>0</v>
      </c>
      <c r="G31" s="61">
        <v>0</v>
      </c>
      <c r="H31" s="30"/>
      <c r="I31" s="31">
        <f t="shared" si="3"/>
        <v>17093.75</v>
      </c>
      <c r="J31" s="32">
        <f t="shared" si="4"/>
        <v>0.15</v>
      </c>
      <c r="K31" s="31">
        <f t="shared" si="5"/>
        <v>20110.294117647059</v>
      </c>
    </row>
    <row r="32" spans="1:11" x14ac:dyDescent="0.35">
      <c r="B32" t="s">
        <v>157</v>
      </c>
      <c r="C32" s="62">
        <v>0</v>
      </c>
      <c r="D32" s="62">
        <v>0</v>
      </c>
      <c r="E32" s="62">
        <v>0</v>
      </c>
      <c r="F32" s="17">
        <v>0</v>
      </c>
      <c r="G32" s="62">
        <v>0</v>
      </c>
      <c r="I32" s="17">
        <f t="shared" si="3"/>
        <v>0</v>
      </c>
      <c r="J32" s="24">
        <f t="shared" si="4"/>
        <v>0.15</v>
      </c>
      <c r="K32" s="17">
        <f t="shared" si="5"/>
        <v>0</v>
      </c>
    </row>
    <row r="33" spans="1:11" x14ac:dyDescent="0.35">
      <c r="A33" s="30"/>
      <c r="B33" s="30" t="s">
        <v>158</v>
      </c>
      <c r="C33" s="61">
        <v>0</v>
      </c>
      <c r="D33" s="61">
        <v>0</v>
      </c>
      <c r="E33" s="61">
        <v>0</v>
      </c>
      <c r="F33" s="31">
        <v>0</v>
      </c>
      <c r="G33" s="61">
        <v>0</v>
      </c>
      <c r="H33" s="30"/>
      <c r="I33" s="31">
        <f t="shared" si="3"/>
        <v>0</v>
      </c>
      <c r="J33" s="32">
        <f t="shared" si="4"/>
        <v>0.15</v>
      </c>
      <c r="K33" s="31">
        <f t="shared" si="5"/>
        <v>0</v>
      </c>
    </row>
    <row r="34" spans="1:11" x14ac:dyDescent="0.35">
      <c r="B34" t="s">
        <v>159</v>
      </c>
      <c r="C34" s="62">
        <v>20882.349999999999</v>
      </c>
      <c r="D34" s="62">
        <v>0</v>
      </c>
      <c r="E34" s="62">
        <v>0</v>
      </c>
      <c r="F34" s="17">
        <v>0</v>
      </c>
      <c r="G34" s="62">
        <v>0</v>
      </c>
      <c r="I34" s="17">
        <f t="shared" si="3"/>
        <v>20882.349999999999</v>
      </c>
      <c r="J34" s="24">
        <f t="shared" si="4"/>
        <v>0.15</v>
      </c>
      <c r="K34" s="17">
        <f t="shared" si="5"/>
        <v>24567.470588235294</v>
      </c>
    </row>
    <row r="35" spans="1:11" x14ac:dyDescent="0.35">
      <c r="A35" s="63"/>
      <c r="B35" s="63" t="s">
        <v>85</v>
      </c>
      <c r="C35" s="63"/>
      <c r="D35" s="63"/>
      <c r="E35" s="63"/>
      <c r="F35" s="63"/>
      <c r="G35" s="63"/>
      <c r="H35" s="63"/>
      <c r="I35" s="64">
        <f>SUM(I29:I34)</f>
        <v>37976.1</v>
      </c>
      <c r="J35" s="63"/>
      <c r="K35" s="64">
        <f>SUM(K29:K34)</f>
        <v>44677.76470588235</v>
      </c>
    </row>
    <row r="37" spans="1:11" ht="16" customHeight="1" x14ac:dyDescent="0.35">
      <c r="A37" s="22" t="s">
        <v>38</v>
      </c>
      <c r="B37" s="22" t="s">
        <v>160</v>
      </c>
      <c r="C37" s="22" t="s">
        <v>143</v>
      </c>
      <c r="D37" s="22" t="s">
        <v>144</v>
      </c>
      <c r="E37" s="22" t="s">
        <v>145</v>
      </c>
      <c r="F37" s="22" t="s">
        <v>146</v>
      </c>
      <c r="G37" s="22" t="s">
        <v>147</v>
      </c>
      <c r="H37" s="22" t="s">
        <v>38</v>
      </c>
      <c r="I37" s="22" t="s">
        <v>32</v>
      </c>
      <c r="J37" s="22" t="s">
        <v>134</v>
      </c>
      <c r="K37" s="22" t="s">
        <v>41</v>
      </c>
    </row>
    <row r="38" spans="1:11" x14ac:dyDescent="0.35">
      <c r="A38" s="30"/>
      <c r="B38" s="30" t="s">
        <v>161</v>
      </c>
      <c r="C38" s="61">
        <v>17093.75</v>
      </c>
      <c r="D38" s="61">
        <v>0</v>
      </c>
      <c r="E38" s="61">
        <v>0</v>
      </c>
      <c r="F38" s="31">
        <v>0</v>
      </c>
      <c r="G38" s="61">
        <v>0</v>
      </c>
      <c r="H38" s="30"/>
      <c r="I38" s="31">
        <f t="shared" ref="I38:I43" si="6">SUM(C38:G38)</f>
        <v>17093.75</v>
      </c>
      <c r="J38" s="32">
        <f t="shared" ref="J38:J43" si="7">$D$9</f>
        <v>0.15</v>
      </c>
      <c r="K38" s="31">
        <f t="shared" ref="K38:K43" si="8">I38/(1-J38)</f>
        <v>20110.294117647059</v>
      </c>
    </row>
    <row r="39" spans="1:11" x14ac:dyDescent="0.35">
      <c r="B39" t="s">
        <v>162</v>
      </c>
      <c r="C39" s="62">
        <v>0</v>
      </c>
      <c r="D39" s="62">
        <v>0</v>
      </c>
      <c r="E39" s="62">
        <v>0</v>
      </c>
      <c r="F39" s="17">
        <v>0</v>
      </c>
      <c r="G39" s="62">
        <v>0</v>
      </c>
      <c r="I39" s="17">
        <f t="shared" si="6"/>
        <v>0</v>
      </c>
      <c r="J39" s="24">
        <f t="shared" si="7"/>
        <v>0.15</v>
      </c>
      <c r="K39" s="17">
        <f t="shared" si="8"/>
        <v>0</v>
      </c>
    </row>
    <row r="40" spans="1:11" x14ac:dyDescent="0.35">
      <c r="A40" s="30"/>
      <c r="B40" s="30" t="s">
        <v>163</v>
      </c>
      <c r="C40" s="61">
        <v>0</v>
      </c>
      <c r="D40" s="61">
        <v>0</v>
      </c>
      <c r="E40" s="61">
        <v>0</v>
      </c>
      <c r="F40" s="31">
        <v>0</v>
      </c>
      <c r="G40" s="61">
        <v>0</v>
      </c>
      <c r="H40" s="30"/>
      <c r="I40" s="31">
        <f t="shared" si="6"/>
        <v>0</v>
      </c>
      <c r="J40" s="32">
        <f t="shared" si="7"/>
        <v>0.15</v>
      </c>
      <c r="K40" s="31">
        <f t="shared" si="8"/>
        <v>0</v>
      </c>
    </row>
    <row r="41" spans="1:11" x14ac:dyDescent="0.35">
      <c r="B41" t="s">
        <v>164</v>
      </c>
      <c r="C41" s="62">
        <v>0</v>
      </c>
      <c r="D41" s="62">
        <v>0</v>
      </c>
      <c r="E41" s="62">
        <v>0</v>
      </c>
      <c r="F41" s="17">
        <v>0</v>
      </c>
      <c r="G41" s="62">
        <v>0</v>
      </c>
      <c r="I41" s="17">
        <f t="shared" si="6"/>
        <v>0</v>
      </c>
      <c r="J41" s="24">
        <f t="shared" si="7"/>
        <v>0.15</v>
      </c>
      <c r="K41" s="17">
        <f t="shared" si="8"/>
        <v>0</v>
      </c>
    </row>
    <row r="42" spans="1:11" x14ac:dyDescent="0.35">
      <c r="A42" s="30"/>
      <c r="B42" s="30" t="s">
        <v>165</v>
      </c>
      <c r="C42" s="61">
        <v>0</v>
      </c>
      <c r="D42" s="61">
        <v>0</v>
      </c>
      <c r="E42" s="61">
        <v>0</v>
      </c>
      <c r="F42" s="31">
        <v>0</v>
      </c>
      <c r="G42" s="61">
        <v>0</v>
      </c>
      <c r="H42" s="30"/>
      <c r="I42" s="31">
        <f t="shared" si="6"/>
        <v>0</v>
      </c>
      <c r="J42" s="32">
        <f t="shared" si="7"/>
        <v>0.15</v>
      </c>
      <c r="K42" s="31">
        <f t="shared" si="8"/>
        <v>0</v>
      </c>
    </row>
    <row r="43" spans="1:11" x14ac:dyDescent="0.35">
      <c r="B43" t="s">
        <v>166</v>
      </c>
      <c r="C43" s="62">
        <v>0</v>
      </c>
      <c r="D43" s="62">
        <v>0</v>
      </c>
      <c r="E43" s="62">
        <v>0</v>
      </c>
      <c r="F43" s="17">
        <v>0</v>
      </c>
      <c r="G43" s="62">
        <v>0</v>
      </c>
      <c r="I43" s="17">
        <f t="shared" si="6"/>
        <v>0</v>
      </c>
      <c r="J43" s="24">
        <f t="shared" si="7"/>
        <v>0.15</v>
      </c>
      <c r="K43" s="17">
        <f t="shared" si="8"/>
        <v>0</v>
      </c>
    </row>
    <row r="44" spans="1:11" x14ac:dyDescent="0.35">
      <c r="A44" s="63"/>
      <c r="B44" s="63" t="s">
        <v>85</v>
      </c>
      <c r="C44" s="63"/>
      <c r="D44" s="63"/>
      <c r="E44" s="63"/>
      <c r="F44" s="63"/>
      <c r="G44" s="63"/>
      <c r="H44" s="63"/>
      <c r="I44" s="64">
        <f>SUM(I38:I43)</f>
        <v>17093.75</v>
      </c>
      <c r="J44" s="63"/>
      <c r="K44" s="64">
        <f>SUM(K38:K43)</f>
        <v>20110.294117647059</v>
      </c>
    </row>
    <row r="46" spans="1:11" ht="16" customHeight="1" x14ac:dyDescent="0.35">
      <c r="A46" s="22" t="s">
        <v>38</v>
      </c>
      <c r="B46" s="22" t="s">
        <v>167</v>
      </c>
      <c r="C46" s="22" t="s">
        <v>143</v>
      </c>
      <c r="D46" s="22" t="s">
        <v>144</v>
      </c>
      <c r="E46" s="22" t="s">
        <v>145</v>
      </c>
      <c r="F46" s="22" t="s">
        <v>146</v>
      </c>
      <c r="G46" s="22" t="s">
        <v>147</v>
      </c>
      <c r="H46" s="22" t="s">
        <v>38</v>
      </c>
      <c r="I46" s="22" t="s">
        <v>32</v>
      </c>
      <c r="J46" s="22" t="s">
        <v>134</v>
      </c>
      <c r="K46" s="22" t="s">
        <v>41</v>
      </c>
    </row>
    <row r="47" spans="1:11" x14ac:dyDescent="0.35">
      <c r="A47" s="30"/>
      <c r="B47" s="30" t="s">
        <v>168</v>
      </c>
      <c r="C47" s="61">
        <v>4705.88</v>
      </c>
      <c r="D47" s="61">
        <v>0</v>
      </c>
      <c r="E47" s="61">
        <v>0</v>
      </c>
      <c r="F47" s="31">
        <v>0</v>
      </c>
      <c r="G47" s="61">
        <v>0</v>
      </c>
      <c r="H47" s="30"/>
      <c r="I47" s="31">
        <f>SUM(C47:G47)</f>
        <v>4705.88</v>
      </c>
      <c r="J47" s="32">
        <f>$D$11</f>
        <v>0.15</v>
      </c>
      <c r="K47" s="31">
        <f>I47/(1-J47)</f>
        <v>5536.3294117647065</v>
      </c>
    </row>
    <row r="48" spans="1:11" x14ac:dyDescent="0.35">
      <c r="B48" t="s">
        <v>169</v>
      </c>
      <c r="C48" s="62">
        <v>0</v>
      </c>
      <c r="D48" s="62">
        <v>0</v>
      </c>
      <c r="E48" s="62">
        <v>0</v>
      </c>
      <c r="F48" s="17">
        <v>0</v>
      </c>
      <c r="G48" s="62">
        <v>0</v>
      </c>
      <c r="I48" s="17">
        <f>SUM(C48:G48)</f>
        <v>0</v>
      </c>
      <c r="J48" s="24">
        <f>$D$11</f>
        <v>0.15</v>
      </c>
      <c r="K48" s="17">
        <f>I48/(1-J48)</f>
        <v>0</v>
      </c>
    </row>
    <row r="49" spans="1:11" x14ac:dyDescent="0.35">
      <c r="A49" s="30"/>
      <c r="B49" s="30" t="s">
        <v>170</v>
      </c>
      <c r="C49" s="61">
        <v>0</v>
      </c>
      <c r="D49" s="61">
        <v>0</v>
      </c>
      <c r="E49" s="61">
        <v>0</v>
      </c>
      <c r="F49" s="31">
        <v>0</v>
      </c>
      <c r="G49" s="61">
        <v>0</v>
      </c>
      <c r="H49" s="30"/>
      <c r="I49" s="31">
        <f>SUM(C49:G49)</f>
        <v>0</v>
      </c>
      <c r="J49" s="32">
        <f>$D$11</f>
        <v>0.15</v>
      </c>
      <c r="K49" s="31">
        <f>I49/(1-J49)</f>
        <v>0</v>
      </c>
    </row>
    <row r="50" spans="1:11" x14ac:dyDescent="0.35">
      <c r="B50" t="s">
        <v>171</v>
      </c>
      <c r="C50" s="62">
        <v>0</v>
      </c>
      <c r="D50" s="62">
        <v>0</v>
      </c>
      <c r="E50" s="62">
        <v>0</v>
      </c>
      <c r="F50" s="17">
        <v>0</v>
      </c>
      <c r="G50" s="62">
        <v>0</v>
      </c>
      <c r="I50" s="17">
        <f>SUM(C50:G50)</f>
        <v>0</v>
      </c>
      <c r="J50" s="24">
        <f>$D$11</f>
        <v>0.15</v>
      </c>
      <c r="K50" s="17">
        <f>I50/(1-J50)</f>
        <v>0</v>
      </c>
    </row>
    <row r="51" spans="1:11" x14ac:dyDescent="0.35">
      <c r="A51" s="30"/>
      <c r="B51" s="30" t="s">
        <v>172</v>
      </c>
      <c r="C51" s="61">
        <v>0</v>
      </c>
      <c r="D51" s="61">
        <v>0</v>
      </c>
      <c r="E51" s="61">
        <v>0</v>
      </c>
      <c r="F51" s="31">
        <v>0</v>
      </c>
      <c r="G51" s="61">
        <v>0</v>
      </c>
      <c r="H51" s="30"/>
      <c r="I51" s="31">
        <f>SUM(C51:G51)</f>
        <v>0</v>
      </c>
      <c r="J51" s="32">
        <f>$D$11</f>
        <v>0.15</v>
      </c>
      <c r="K51" s="31">
        <f>I51/(1-J51)</f>
        <v>0</v>
      </c>
    </row>
    <row r="52" spans="1:11" x14ac:dyDescent="0.35">
      <c r="A52" s="63"/>
      <c r="B52" s="63" t="s">
        <v>85</v>
      </c>
      <c r="C52" s="63"/>
      <c r="D52" s="63"/>
      <c r="E52" s="63"/>
      <c r="F52" s="63"/>
      <c r="G52" s="63"/>
      <c r="H52" s="63"/>
      <c r="I52" s="64">
        <f>SUM(I47:I51)</f>
        <v>4705.88</v>
      </c>
      <c r="J52" s="63"/>
      <c r="K52" s="64">
        <f>SUM(K47:K51)</f>
        <v>5536.3294117647065</v>
      </c>
    </row>
    <row r="54" spans="1:11" ht="15.5" x14ac:dyDescent="0.35">
      <c r="A54" s="25"/>
      <c r="B54" s="26" t="s">
        <v>173</v>
      </c>
      <c r="C54" s="25"/>
      <c r="D54" s="25"/>
      <c r="E54" s="25"/>
      <c r="F54" s="25"/>
      <c r="G54" s="25"/>
      <c r="H54" s="25"/>
      <c r="I54" s="27">
        <f>I26+I35+I44+I52</f>
        <v>63878.229999999996</v>
      </c>
      <c r="J54" s="25"/>
      <c r="K54" s="27">
        <f>K26+K35+K44+K52</f>
        <v>75150.858823529401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8A745"/>
  </sheetPr>
  <dimension ref="A3:K54"/>
  <sheetViews>
    <sheetView workbookViewId="0"/>
  </sheetViews>
  <sheetFormatPr defaultRowHeight="14.5" x14ac:dyDescent="0.3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5" x14ac:dyDescent="0.35">
      <c r="A3" s="58" t="s">
        <v>131</v>
      </c>
    </row>
    <row r="4" spans="1:5" x14ac:dyDescent="0.35">
      <c r="A4" s="12" t="s">
        <v>10</v>
      </c>
    </row>
    <row r="5" spans="1:5" x14ac:dyDescent="0.35">
      <c r="A5" s="12" t="s">
        <v>132</v>
      </c>
    </row>
    <row r="7" spans="1:5" x14ac:dyDescent="0.35">
      <c r="C7" s="23" t="s">
        <v>133</v>
      </c>
    </row>
    <row r="8" spans="1:5" x14ac:dyDescent="0.35">
      <c r="C8" t="s">
        <v>134</v>
      </c>
      <c r="D8" s="18">
        <v>0.15</v>
      </c>
    </row>
    <row r="9" spans="1:5" x14ac:dyDescent="0.35">
      <c r="C9" t="s">
        <v>135</v>
      </c>
      <c r="D9" s="18">
        <v>0.15</v>
      </c>
    </row>
    <row r="10" spans="1:5" x14ac:dyDescent="0.35">
      <c r="C10" t="s">
        <v>110</v>
      </c>
      <c r="D10" s="18">
        <v>0.15</v>
      </c>
    </row>
    <row r="11" spans="1:5" x14ac:dyDescent="0.35">
      <c r="C11" t="s">
        <v>136</v>
      </c>
      <c r="D11" s="18">
        <v>0.15</v>
      </c>
    </row>
    <row r="15" spans="1:5" ht="15.5" x14ac:dyDescent="0.35">
      <c r="B15" s="59" t="s">
        <v>176</v>
      </c>
    </row>
    <row r="16" spans="1:5" x14ac:dyDescent="0.35">
      <c r="B16" s="2" t="s">
        <v>138</v>
      </c>
      <c r="C16" s="2" t="s">
        <v>139</v>
      </c>
      <c r="D16" s="2" t="s">
        <v>140</v>
      </c>
      <c r="E16" s="2" t="s">
        <v>141</v>
      </c>
    </row>
    <row r="17" spans="1:11" x14ac:dyDescent="0.35">
      <c r="B17" s="45">
        <v>12.6</v>
      </c>
      <c r="C17" s="45">
        <v>29.92</v>
      </c>
      <c r="D17" s="60">
        <v>376.99</v>
      </c>
      <c r="E17">
        <v>1</v>
      </c>
    </row>
    <row r="19" spans="1:11" ht="16" customHeight="1" x14ac:dyDescent="0.35">
      <c r="A19" s="22" t="s">
        <v>38</v>
      </c>
      <c r="B19" s="22" t="s">
        <v>142</v>
      </c>
      <c r="C19" s="22" t="s">
        <v>143</v>
      </c>
      <c r="D19" s="22" t="s">
        <v>144</v>
      </c>
      <c r="E19" s="22" t="s">
        <v>145</v>
      </c>
      <c r="F19" s="22" t="s">
        <v>146</v>
      </c>
      <c r="G19" s="22" t="s">
        <v>147</v>
      </c>
      <c r="H19" s="22" t="s">
        <v>38</v>
      </c>
      <c r="I19" s="22" t="s">
        <v>32</v>
      </c>
      <c r="J19" s="22" t="s">
        <v>134</v>
      </c>
      <c r="K19" s="22" t="s">
        <v>41</v>
      </c>
    </row>
    <row r="20" spans="1:11" x14ac:dyDescent="0.35">
      <c r="A20" s="30"/>
      <c r="B20" s="30" t="s">
        <v>148</v>
      </c>
      <c r="C20" s="61">
        <v>0</v>
      </c>
      <c r="D20" s="61">
        <v>0</v>
      </c>
      <c r="E20" s="61">
        <v>0</v>
      </c>
      <c r="F20" s="31">
        <v>0</v>
      </c>
      <c r="G20" s="61">
        <v>0</v>
      </c>
      <c r="H20" s="30"/>
      <c r="I20" s="31">
        <f t="shared" ref="I20:I25" si="0">SUM(C20:G20)</f>
        <v>0</v>
      </c>
      <c r="J20" s="32">
        <f t="shared" ref="J20:J25" si="1">$D$8</f>
        <v>0.15</v>
      </c>
      <c r="K20" s="31">
        <f t="shared" ref="K20:K25" si="2">I20/(1-J20)</f>
        <v>0</v>
      </c>
    </row>
    <row r="21" spans="1:11" x14ac:dyDescent="0.35">
      <c r="B21" t="s">
        <v>149</v>
      </c>
      <c r="C21" s="62">
        <v>0</v>
      </c>
      <c r="D21" s="62">
        <v>0</v>
      </c>
      <c r="E21" s="62">
        <v>0</v>
      </c>
      <c r="F21" s="17">
        <v>0</v>
      </c>
      <c r="G21" s="62">
        <v>0</v>
      </c>
      <c r="I21" s="17">
        <f t="shared" si="0"/>
        <v>0</v>
      </c>
      <c r="J21" s="24">
        <f t="shared" si="1"/>
        <v>0.15</v>
      </c>
      <c r="K21" s="17">
        <f t="shared" si="2"/>
        <v>0</v>
      </c>
    </row>
    <row r="22" spans="1:11" x14ac:dyDescent="0.35">
      <c r="A22" s="30"/>
      <c r="B22" s="30" t="s">
        <v>150</v>
      </c>
      <c r="C22" s="61">
        <v>6907.5</v>
      </c>
      <c r="D22" s="61">
        <v>0</v>
      </c>
      <c r="E22" s="61">
        <v>0</v>
      </c>
      <c r="F22" s="31">
        <v>0</v>
      </c>
      <c r="G22" s="61">
        <v>0</v>
      </c>
      <c r="H22" s="30"/>
      <c r="I22" s="31">
        <f t="shared" si="0"/>
        <v>6907.5</v>
      </c>
      <c r="J22" s="32">
        <f t="shared" si="1"/>
        <v>0.15</v>
      </c>
      <c r="K22" s="31">
        <f t="shared" si="2"/>
        <v>8126.4705882352946</v>
      </c>
    </row>
    <row r="23" spans="1:11" x14ac:dyDescent="0.35">
      <c r="B23" t="s">
        <v>151</v>
      </c>
      <c r="C23" s="62">
        <v>0</v>
      </c>
      <c r="D23" s="62">
        <v>0</v>
      </c>
      <c r="E23" s="62">
        <v>0</v>
      </c>
      <c r="F23" s="17">
        <v>0</v>
      </c>
      <c r="G23" s="62">
        <v>0</v>
      </c>
      <c r="I23" s="17">
        <f t="shared" si="0"/>
        <v>0</v>
      </c>
      <c r="J23" s="24">
        <f t="shared" si="1"/>
        <v>0.15</v>
      </c>
      <c r="K23" s="17">
        <f t="shared" si="2"/>
        <v>0</v>
      </c>
    </row>
    <row r="24" spans="1:11" x14ac:dyDescent="0.35">
      <c r="A24" s="30"/>
      <c r="B24" s="30" t="s">
        <v>152</v>
      </c>
      <c r="C24" s="61">
        <v>0</v>
      </c>
      <c r="D24" s="61">
        <v>0</v>
      </c>
      <c r="E24" s="61">
        <v>0</v>
      </c>
      <c r="F24" s="31">
        <v>0</v>
      </c>
      <c r="G24" s="61">
        <v>0</v>
      </c>
      <c r="H24" s="30"/>
      <c r="I24" s="31">
        <f t="shared" si="0"/>
        <v>0</v>
      </c>
      <c r="J24" s="32">
        <f t="shared" si="1"/>
        <v>0.15</v>
      </c>
      <c r="K24" s="31">
        <f t="shared" si="2"/>
        <v>0</v>
      </c>
    </row>
    <row r="25" spans="1:11" x14ac:dyDescent="0.35">
      <c r="B25" t="s">
        <v>152</v>
      </c>
      <c r="C25" s="62">
        <v>0</v>
      </c>
      <c r="D25" s="62">
        <v>0</v>
      </c>
      <c r="E25" s="62">
        <v>0</v>
      </c>
      <c r="F25" s="17">
        <v>0</v>
      </c>
      <c r="G25" s="62">
        <v>0</v>
      </c>
      <c r="I25" s="17">
        <f t="shared" si="0"/>
        <v>0</v>
      </c>
      <c r="J25" s="24">
        <f t="shared" si="1"/>
        <v>0.15</v>
      </c>
      <c r="K25" s="17">
        <f t="shared" si="2"/>
        <v>0</v>
      </c>
    </row>
    <row r="26" spans="1:11" x14ac:dyDescent="0.35">
      <c r="A26" s="63"/>
      <c r="B26" s="63" t="s">
        <v>85</v>
      </c>
      <c r="C26" s="63"/>
      <c r="D26" s="63"/>
      <c r="E26" s="63"/>
      <c r="F26" s="63"/>
      <c r="G26" s="63"/>
      <c r="H26" s="63"/>
      <c r="I26" s="64">
        <f>SUM(I20:I25)</f>
        <v>6907.5</v>
      </c>
      <c r="J26" s="63"/>
      <c r="K26" s="64">
        <f>SUM(K20:K25)</f>
        <v>8126.4705882352946</v>
      </c>
    </row>
    <row r="28" spans="1:11" ht="16" customHeight="1" x14ac:dyDescent="0.35">
      <c r="A28" s="22" t="s">
        <v>38</v>
      </c>
      <c r="B28" s="22" t="s">
        <v>153</v>
      </c>
      <c r="C28" s="22" t="s">
        <v>143</v>
      </c>
      <c r="D28" s="22" t="s">
        <v>144</v>
      </c>
      <c r="E28" s="22" t="s">
        <v>145</v>
      </c>
      <c r="F28" s="22" t="s">
        <v>146</v>
      </c>
      <c r="G28" s="22" t="s">
        <v>147</v>
      </c>
      <c r="H28" s="22" t="s">
        <v>38</v>
      </c>
      <c r="I28" s="22" t="s">
        <v>32</v>
      </c>
      <c r="J28" s="22" t="s">
        <v>134</v>
      </c>
      <c r="K28" s="22" t="s">
        <v>41</v>
      </c>
    </row>
    <row r="29" spans="1:11" x14ac:dyDescent="0.35">
      <c r="A29" s="30"/>
      <c r="B29" s="30" t="s">
        <v>154</v>
      </c>
      <c r="C29" s="61">
        <v>0</v>
      </c>
      <c r="D29" s="61">
        <v>0</v>
      </c>
      <c r="E29" s="61">
        <v>0</v>
      </c>
      <c r="F29" s="31">
        <v>0</v>
      </c>
      <c r="G29" s="61">
        <v>0</v>
      </c>
      <c r="H29" s="30"/>
      <c r="I29" s="31">
        <f t="shared" ref="I29:I34" si="3">SUM(C29:G29)</f>
        <v>0</v>
      </c>
      <c r="J29" s="32">
        <f t="shared" ref="J29:J34" si="4">$D$8</f>
        <v>0.15</v>
      </c>
      <c r="K29" s="31">
        <f t="shared" ref="K29:K34" si="5">I29/(1-J29)</f>
        <v>0</v>
      </c>
    </row>
    <row r="30" spans="1:11" x14ac:dyDescent="0.35">
      <c r="B30" t="s">
        <v>155</v>
      </c>
      <c r="C30" s="62">
        <v>0</v>
      </c>
      <c r="D30" s="62">
        <v>0</v>
      </c>
      <c r="E30" s="62">
        <v>0</v>
      </c>
      <c r="F30" s="17">
        <v>0</v>
      </c>
      <c r="G30" s="62">
        <v>0</v>
      </c>
      <c r="I30" s="17">
        <f t="shared" si="3"/>
        <v>0</v>
      </c>
      <c r="J30" s="24">
        <f t="shared" si="4"/>
        <v>0.15</v>
      </c>
      <c r="K30" s="17">
        <f t="shared" si="5"/>
        <v>0</v>
      </c>
    </row>
    <row r="31" spans="1:11" x14ac:dyDescent="0.35">
      <c r="A31" s="30"/>
      <c r="B31" s="30" t="s">
        <v>156</v>
      </c>
      <c r="C31" s="61">
        <v>28781.25</v>
      </c>
      <c r="D31" s="61">
        <v>0</v>
      </c>
      <c r="E31" s="61">
        <v>0</v>
      </c>
      <c r="F31" s="31">
        <v>0</v>
      </c>
      <c r="G31" s="61">
        <v>0</v>
      </c>
      <c r="H31" s="30"/>
      <c r="I31" s="31">
        <f t="shared" si="3"/>
        <v>28781.25</v>
      </c>
      <c r="J31" s="32">
        <f t="shared" si="4"/>
        <v>0.15</v>
      </c>
      <c r="K31" s="31">
        <f t="shared" si="5"/>
        <v>33860.294117647063</v>
      </c>
    </row>
    <row r="32" spans="1:11" x14ac:dyDescent="0.35">
      <c r="B32" t="s">
        <v>157</v>
      </c>
      <c r="C32" s="62">
        <v>0</v>
      </c>
      <c r="D32" s="62">
        <v>0</v>
      </c>
      <c r="E32" s="62">
        <v>0</v>
      </c>
      <c r="F32" s="17">
        <v>0</v>
      </c>
      <c r="G32" s="62">
        <v>0</v>
      </c>
      <c r="I32" s="17">
        <f t="shared" si="3"/>
        <v>0</v>
      </c>
      <c r="J32" s="24">
        <f t="shared" si="4"/>
        <v>0.15</v>
      </c>
      <c r="K32" s="17">
        <f t="shared" si="5"/>
        <v>0</v>
      </c>
    </row>
    <row r="33" spans="1:11" x14ac:dyDescent="0.35">
      <c r="A33" s="30"/>
      <c r="B33" s="30" t="s">
        <v>158</v>
      </c>
      <c r="C33" s="61">
        <v>0</v>
      </c>
      <c r="D33" s="61">
        <v>0</v>
      </c>
      <c r="E33" s="61">
        <v>0</v>
      </c>
      <c r="F33" s="31">
        <v>0</v>
      </c>
      <c r="G33" s="61">
        <v>0</v>
      </c>
      <c r="H33" s="30"/>
      <c r="I33" s="31">
        <f t="shared" si="3"/>
        <v>0</v>
      </c>
      <c r="J33" s="32">
        <f t="shared" si="4"/>
        <v>0.15</v>
      </c>
      <c r="K33" s="31">
        <f t="shared" si="5"/>
        <v>0</v>
      </c>
    </row>
    <row r="34" spans="1:11" x14ac:dyDescent="0.35">
      <c r="B34" t="s">
        <v>159</v>
      </c>
      <c r="C34" s="62">
        <v>20882.349999999999</v>
      </c>
      <c r="D34" s="62">
        <v>0</v>
      </c>
      <c r="E34" s="62">
        <v>0</v>
      </c>
      <c r="F34" s="17">
        <v>0</v>
      </c>
      <c r="G34" s="62">
        <v>0</v>
      </c>
      <c r="I34" s="17">
        <f t="shared" si="3"/>
        <v>20882.349999999999</v>
      </c>
      <c r="J34" s="24">
        <f t="shared" si="4"/>
        <v>0.15</v>
      </c>
      <c r="K34" s="17">
        <f t="shared" si="5"/>
        <v>24567.470588235294</v>
      </c>
    </row>
    <row r="35" spans="1:11" x14ac:dyDescent="0.35">
      <c r="A35" s="63"/>
      <c r="B35" s="63" t="s">
        <v>85</v>
      </c>
      <c r="C35" s="63"/>
      <c r="D35" s="63"/>
      <c r="E35" s="63"/>
      <c r="F35" s="63"/>
      <c r="G35" s="63"/>
      <c r="H35" s="63"/>
      <c r="I35" s="64">
        <f>SUM(I29:I34)</f>
        <v>49663.6</v>
      </c>
      <c r="J35" s="63"/>
      <c r="K35" s="64">
        <f>SUM(K29:K34)</f>
        <v>58427.764705882357</v>
      </c>
    </row>
    <row r="37" spans="1:11" ht="16" customHeight="1" x14ac:dyDescent="0.35">
      <c r="A37" s="22" t="s">
        <v>38</v>
      </c>
      <c r="B37" s="22" t="s">
        <v>160</v>
      </c>
      <c r="C37" s="22" t="s">
        <v>143</v>
      </c>
      <c r="D37" s="22" t="s">
        <v>144</v>
      </c>
      <c r="E37" s="22" t="s">
        <v>145</v>
      </c>
      <c r="F37" s="22" t="s">
        <v>146</v>
      </c>
      <c r="G37" s="22" t="s">
        <v>147</v>
      </c>
      <c r="H37" s="22" t="s">
        <v>38</v>
      </c>
      <c r="I37" s="22" t="s">
        <v>32</v>
      </c>
      <c r="J37" s="22" t="s">
        <v>134</v>
      </c>
      <c r="K37" s="22" t="s">
        <v>41</v>
      </c>
    </row>
    <row r="38" spans="1:11" x14ac:dyDescent="0.35">
      <c r="A38" s="30"/>
      <c r="B38" s="30" t="s">
        <v>161</v>
      </c>
      <c r="C38" s="61">
        <v>28781.25</v>
      </c>
      <c r="D38" s="61">
        <v>0</v>
      </c>
      <c r="E38" s="61">
        <v>0</v>
      </c>
      <c r="F38" s="31">
        <v>0</v>
      </c>
      <c r="G38" s="61">
        <v>0</v>
      </c>
      <c r="H38" s="30"/>
      <c r="I38" s="31">
        <f t="shared" ref="I38:I43" si="6">SUM(C38:G38)</f>
        <v>28781.25</v>
      </c>
      <c r="J38" s="32">
        <f t="shared" ref="J38:J43" si="7">$D$9</f>
        <v>0.15</v>
      </c>
      <c r="K38" s="31">
        <f t="shared" ref="K38:K43" si="8">I38/(1-J38)</f>
        <v>33860.294117647063</v>
      </c>
    </row>
    <row r="39" spans="1:11" x14ac:dyDescent="0.35">
      <c r="B39" t="s">
        <v>162</v>
      </c>
      <c r="C39" s="62">
        <v>0</v>
      </c>
      <c r="D39" s="62">
        <v>0</v>
      </c>
      <c r="E39" s="62">
        <v>0</v>
      </c>
      <c r="F39" s="17">
        <v>0</v>
      </c>
      <c r="G39" s="62">
        <v>0</v>
      </c>
      <c r="I39" s="17">
        <f t="shared" si="6"/>
        <v>0</v>
      </c>
      <c r="J39" s="24">
        <f t="shared" si="7"/>
        <v>0.15</v>
      </c>
      <c r="K39" s="17">
        <f t="shared" si="8"/>
        <v>0</v>
      </c>
    </row>
    <row r="40" spans="1:11" x14ac:dyDescent="0.35">
      <c r="A40" s="30"/>
      <c r="B40" s="30" t="s">
        <v>163</v>
      </c>
      <c r="C40" s="61">
        <v>0</v>
      </c>
      <c r="D40" s="61">
        <v>0</v>
      </c>
      <c r="E40" s="61">
        <v>0</v>
      </c>
      <c r="F40" s="31">
        <v>0</v>
      </c>
      <c r="G40" s="61">
        <v>0</v>
      </c>
      <c r="H40" s="30"/>
      <c r="I40" s="31">
        <f t="shared" si="6"/>
        <v>0</v>
      </c>
      <c r="J40" s="32">
        <f t="shared" si="7"/>
        <v>0.15</v>
      </c>
      <c r="K40" s="31">
        <f t="shared" si="8"/>
        <v>0</v>
      </c>
    </row>
    <row r="41" spans="1:11" x14ac:dyDescent="0.35">
      <c r="B41" t="s">
        <v>164</v>
      </c>
      <c r="C41" s="62">
        <v>0</v>
      </c>
      <c r="D41" s="62">
        <v>0</v>
      </c>
      <c r="E41" s="62">
        <v>0</v>
      </c>
      <c r="F41" s="17">
        <v>0</v>
      </c>
      <c r="G41" s="62">
        <v>0</v>
      </c>
      <c r="I41" s="17">
        <f t="shared" si="6"/>
        <v>0</v>
      </c>
      <c r="J41" s="24">
        <f t="shared" si="7"/>
        <v>0.15</v>
      </c>
      <c r="K41" s="17">
        <f t="shared" si="8"/>
        <v>0</v>
      </c>
    </row>
    <row r="42" spans="1:11" x14ac:dyDescent="0.35">
      <c r="A42" s="30"/>
      <c r="B42" s="30" t="s">
        <v>165</v>
      </c>
      <c r="C42" s="61">
        <v>0</v>
      </c>
      <c r="D42" s="61">
        <v>0</v>
      </c>
      <c r="E42" s="61">
        <v>0</v>
      </c>
      <c r="F42" s="31">
        <v>0</v>
      </c>
      <c r="G42" s="61">
        <v>0</v>
      </c>
      <c r="H42" s="30"/>
      <c r="I42" s="31">
        <f t="shared" si="6"/>
        <v>0</v>
      </c>
      <c r="J42" s="32">
        <f t="shared" si="7"/>
        <v>0.15</v>
      </c>
      <c r="K42" s="31">
        <f t="shared" si="8"/>
        <v>0</v>
      </c>
    </row>
    <row r="43" spans="1:11" x14ac:dyDescent="0.35">
      <c r="B43" t="s">
        <v>166</v>
      </c>
      <c r="C43" s="62">
        <v>0</v>
      </c>
      <c r="D43" s="62">
        <v>0</v>
      </c>
      <c r="E43" s="62">
        <v>0</v>
      </c>
      <c r="F43" s="17">
        <v>0</v>
      </c>
      <c r="G43" s="62">
        <v>0</v>
      </c>
      <c r="I43" s="17">
        <f t="shared" si="6"/>
        <v>0</v>
      </c>
      <c r="J43" s="24">
        <f t="shared" si="7"/>
        <v>0.15</v>
      </c>
      <c r="K43" s="17">
        <f t="shared" si="8"/>
        <v>0</v>
      </c>
    </row>
    <row r="44" spans="1:11" x14ac:dyDescent="0.35">
      <c r="A44" s="63"/>
      <c r="B44" s="63" t="s">
        <v>85</v>
      </c>
      <c r="C44" s="63"/>
      <c r="D44" s="63"/>
      <c r="E44" s="63"/>
      <c r="F44" s="63"/>
      <c r="G44" s="63"/>
      <c r="H44" s="63"/>
      <c r="I44" s="64">
        <f>SUM(I38:I43)</f>
        <v>28781.25</v>
      </c>
      <c r="J44" s="63"/>
      <c r="K44" s="64">
        <f>SUM(K38:K43)</f>
        <v>33860.294117647063</v>
      </c>
    </row>
    <row r="46" spans="1:11" ht="16" customHeight="1" x14ac:dyDescent="0.35">
      <c r="A46" s="22" t="s">
        <v>38</v>
      </c>
      <c r="B46" s="22" t="s">
        <v>167</v>
      </c>
      <c r="C46" s="22" t="s">
        <v>143</v>
      </c>
      <c r="D46" s="22" t="s">
        <v>144</v>
      </c>
      <c r="E46" s="22" t="s">
        <v>145</v>
      </c>
      <c r="F46" s="22" t="s">
        <v>146</v>
      </c>
      <c r="G46" s="22" t="s">
        <v>147</v>
      </c>
      <c r="H46" s="22" t="s">
        <v>38</v>
      </c>
      <c r="I46" s="22" t="s">
        <v>32</v>
      </c>
      <c r="J46" s="22" t="s">
        <v>134</v>
      </c>
      <c r="K46" s="22" t="s">
        <v>41</v>
      </c>
    </row>
    <row r="47" spans="1:11" x14ac:dyDescent="0.35">
      <c r="A47" s="30"/>
      <c r="B47" s="30" t="s">
        <v>168</v>
      </c>
      <c r="C47" s="61">
        <v>4705.88</v>
      </c>
      <c r="D47" s="61">
        <v>0</v>
      </c>
      <c r="E47" s="61">
        <v>0</v>
      </c>
      <c r="F47" s="31">
        <v>0</v>
      </c>
      <c r="G47" s="61">
        <v>0</v>
      </c>
      <c r="H47" s="30"/>
      <c r="I47" s="31">
        <f>SUM(C47:G47)</f>
        <v>4705.88</v>
      </c>
      <c r="J47" s="32">
        <f>$D$11</f>
        <v>0.15</v>
      </c>
      <c r="K47" s="31">
        <f>I47/(1-J47)</f>
        <v>5536.3294117647065</v>
      </c>
    </row>
    <row r="48" spans="1:11" x14ac:dyDescent="0.35">
      <c r="B48" t="s">
        <v>169</v>
      </c>
      <c r="C48" s="62">
        <v>0</v>
      </c>
      <c r="D48" s="62">
        <v>0</v>
      </c>
      <c r="E48" s="62">
        <v>0</v>
      </c>
      <c r="F48" s="17">
        <v>0</v>
      </c>
      <c r="G48" s="62">
        <v>0</v>
      </c>
      <c r="I48" s="17">
        <f>SUM(C48:G48)</f>
        <v>0</v>
      </c>
      <c r="J48" s="24">
        <f>$D$11</f>
        <v>0.15</v>
      </c>
      <c r="K48" s="17">
        <f>I48/(1-J48)</f>
        <v>0</v>
      </c>
    </row>
    <row r="49" spans="1:11" x14ac:dyDescent="0.35">
      <c r="A49" s="30"/>
      <c r="B49" s="30" t="s">
        <v>170</v>
      </c>
      <c r="C49" s="61">
        <v>0</v>
      </c>
      <c r="D49" s="61">
        <v>0</v>
      </c>
      <c r="E49" s="61">
        <v>0</v>
      </c>
      <c r="F49" s="31">
        <v>0</v>
      </c>
      <c r="G49" s="61">
        <v>0</v>
      </c>
      <c r="H49" s="30"/>
      <c r="I49" s="31">
        <f>SUM(C49:G49)</f>
        <v>0</v>
      </c>
      <c r="J49" s="32">
        <f>$D$11</f>
        <v>0.15</v>
      </c>
      <c r="K49" s="31">
        <f>I49/(1-J49)</f>
        <v>0</v>
      </c>
    </row>
    <row r="50" spans="1:11" x14ac:dyDescent="0.35">
      <c r="B50" t="s">
        <v>171</v>
      </c>
      <c r="C50" s="62">
        <v>0</v>
      </c>
      <c r="D50" s="62">
        <v>0</v>
      </c>
      <c r="E50" s="62">
        <v>0</v>
      </c>
      <c r="F50" s="17">
        <v>0</v>
      </c>
      <c r="G50" s="62">
        <v>0</v>
      </c>
      <c r="I50" s="17">
        <f>SUM(C50:G50)</f>
        <v>0</v>
      </c>
      <c r="J50" s="24">
        <f>$D$11</f>
        <v>0.15</v>
      </c>
      <c r="K50" s="17">
        <f>I50/(1-J50)</f>
        <v>0</v>
      </c>
    </row>
    <row r="51" spans="1:11" x14ac:dyDescent="0.35">
      <c r="A51" s="30"/>
      <c r="B51" s="30" t="s">
        <v>172</v>
      </c>
      <c r="C51" s="61">
        <v>0</v>
      </c>
      <c r="D51" s="61">
        <v>0</v>
      </c>
      <c r="E51" s="61">
        <v>0</v>
      </c>
      <c r="F51" s="31">
        <v>0</v>
      </c>
      <c r="G51" s="61">
        <v>0</v>
      </c>
      <c r="H51" s="30"/>
      <c r="I51" s="31">
        <f>SUM(C51:G51)</f>
        <v>0</v>
      </c>
      <c r="J51" s="32">
        <f>$D$11</f>
        <v>0.15</v>
      </c>
      <c r="K51" s="31">
        <f>I51/(1-J51)</f>
        <v>0</v>
      </c>
    </row>
    <row r="52" spans="1:11" x14ac:dyDescent="0.35">
      <c r="A52" s="63"/>
      <c r="B52" s="63" t="s">
        <v>85</v>
      </c>
      <c r="C52" s="63"/>
      <c r="D52" s="63"/>
      <c r="E52" s="63"/>
      <c r="F52" s="63"/>
      <c r="G52" s="63"/>
      <c r="H52" s="63"/>
      <c r="I52" s="64">
        <f>SUM(I47:I51)</f>
        <v>4705.88</v>
      </c>
      <c r="J52" s="63"/>
      <c r="K52" s="64">
        <f>SUM(K47:K51)</f>
        <v>5536.3294117647065</v>
      </c>
    </row>
    <row r="54" spans="1:11" ht="15.5" x14ac:dyDescent="0.35">
      <c r="A54" s="25"/>
      <c r="B54" s="26" t="s">
        <v>173</v>
      </c>
      <c r="C54" s="25"/>
      <c r="D54" s="25"/>
      <c r="E54" s="25"/>
      <c r="F54" s="25"/>
      <c r="G54" s="25"/>
      <c r="H54" s="25"/>
      <c r="I54" s="27">
        <f>I26+I35+I44+I52</f>
        <v>90058.23000000001</v>
      </c>
      <c r="J54" s="25"/>
      <c r="K54" s="27">
        <f>K26+K35+K44+K52</f>
        <v>105950.85882352942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8A745"/>
  </sheetPr>
  <dimension ref="A3:K54"/>
  <sheetViews>
    <sheetView workbookViewId="0"/>
  </sheetViews>
  <sheetFormatPr defaultRowHeight="14.5" x14ac:dyDescent="0.3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5" x14ac:dyDescent="0.35">
      <c r="A3" s="58" t="s">
        <v>131</v>
      </c>
    </row>
    <row r="4" spans="1:5" x14ac:dyDescent="0.35">
      <c r="A4" s="12" t="s">
        <v>10</v>
      </c>
    </row>
    <row r="5" spans="1:5" x14ac:dyDescent="0.35">
      <c r="A5" s="12" t="s">
        <v>132</v>
      </c>
    </row>
    <row r="7" spans="1:5" x14ac:dyDescent="0.35">
      <c r="C7" s="23" t="s">
        <v>133</v>
      </c>
    </row>
    <row r="8" spans="1:5" x14ac:dyDescent="0.35">
      <c r="C8" t="s">
        <v>134</v>
      </c>
      <c r="D8" s="18">
        <v>0.15</v>
      </c>
    </row>
    <row r="9" spans="1:5" x14ac:dyDescent="0.35">
      <c r="C9" t="s">
        <v>135</v>
      </c>
      <c r="D9" s="18">
        <v>0.15</v>
      </c>
    </row>
    <row r="10" spans="1:5" x14ac:dyDescent="0.35">
      <c r="C10" t="s">
        <v>110</v>
      </c>
      <c r="D10" s="18">
        <v>0.15</v>
      </c>
    </row>
    <row r="11" spans="1:5" x14ac:dyDescent="0.35">
      <c r="C11" t="s">
        <v>136</v>
      </c>
      <c r="D11" s="18">
        <v>0.15</v>
      </c>
    </row>
    <row r="15" spans="1:5" ht="15.5" x14ac:dyDescent="0.35">
      <c r="B15" s="59" t="s">
        <v>177</v>
      </c>
    </row>
    <row r="16" spans="1:5" x14ac:dyDescent="0.35">
      <c r="B16" s="2" t="s">
        <v>138</v>
      </c>
      <c r="C16" s="2" t="s">
        <v>139</v>
      </c>
      <c r="D16" s="2" t="s">
        <v>140</v>
      </c>
      <c r="E16" s="2" t="s">
        <v>141</v>
      </c>
    </row>
    <row r="17" spans="1:11" x14ac:dyDescent="0.35">
      <c r="B17" s="45">
        <v>9.4499999999999993</v>
      </c>
      <c r="C17" s="45">
        <v>280.31</v>
      </c>
      <c r="D17" s="60">
        <v>2648.93</v>
      </c>
      <c r="E17">
        <v>1</v>
      </c>
    </row>
    <row r="19" spans="1:11" ht="16" customHeight="1" x14ac:dyDescent="0.35">
      <c r="A19" s="22" t="s">
        <v>38</v>
      </c>
      <c r="B19" s="22" t="s">
        <v>142</v>
      </c>
      <c r="C19" s="22" t="s">
        <v>143</v>
      </c>
      <c r="D19" s="22" t="s">
        <v>144</v>
      </c>
      <c r="E19" s="22" t="s">
        <v>145</v>
      </c>
      <c r="F19" s="22" t="s">
        <v>146</v>
      </c>
      <c r="G19" s="22" t="s">
        <v>147</v>
      </c>
      <c r="H19" s="22" t="s">
        <v>38</v>
      </c>
      <c r="I19" s="22" t="s">
        <v>32</v>
      </c>
      <c r="J19" s="22" t="s">
        <v>134</v>
      </c>
      <c r="K19" s="22" t="s">
        <v>41</v>
      </c>
    </row>
    <row r="20" spans="1:11" x14ac:dyDescent="0.35">
      <c r="A20" s="30"/>
      <c r="B20" s="30" t="s">
        <v>148</v>
      </c>
      <c r="C20" s="61">
        <v>0</v>
      </c>
      <c r="D20" s="61">
        <v>0</v>
      </c>
      <c r="E20" s="61">
        <v>0</v>
      </c>
      <c r="F20" s="31">
        <v>0</v>
      </c>
      <c r="G20" s="61">
        <v>0</v>
      </c>
      <c r="H20" s="30"/>
      <c r="I20" s="31">
        <f t="shared" ref="I20:I25" si="0">SUM(C20:G20)</f>
        <v>0</v>
      </c>
      <c r="J20" s="32">
        <f t="shared" ref="J20:J25" si="1">$D$8</f>
        <v>0.15</v>
      </c>
      <c r="K20" s="31">
        <f t="shared" ref="K20:K25" si="2">I20/(1-J20)</f>
        <v>0</v>
      </c>
    </row>
    <row r="21" spans="1:11" x14ac:dyDescent="0.35">
      <c r="B21" t="s">
        <v>149</v>
      </c>
      <c r="C21" s="62">
        <v>0</v>
      </c>
      <c r="D21" s="62">
        <v>0</v>
      </c>
      <c r="E21" s="62">
        <v>0</v>
      </c>
      <c r="F21" s="17">
        <v>0</v>
      </c>
      <c r="G21" s="62">
        <v>0</v>
      </c>
      <c r="I21" s="17">
        <f t="shared" si="0"/>
        <v>0</v>
      </c>
      <c r="J21" s="24">
        <f t="shared" si="1"/>
        <v>0.15</v>
      </c>
      <c r="K21" s="17">
        <f t="shared" si="2"/>
        <v>0</v>
      </c>
    </row>
    <row r="22" spans="1:11" x14ac:dyDescent="0.35">
      <c r="A22" s="30"/>
      <c r="B22" s="30" t="s">
        <v>150</v>
      </c>
      <c r="C22" s="61">
        <v>48536.25</v>
      </c>
      <c r="D22" s="61">
        <v>0</v>
      </c>
      <c r="E22" s="61">
        <v>0</v>
      </c>
      <c r="F22" s="31">
        <v>0</v>
      </c>
      <c r="G22" s="61">
        <v>0</v>
      </c>
      <c r="H22" s="30"/>
      <c r="I22" s="31">
        <f t="shared" si="0"/>
        <v>48536.25</v>
      </c>
      <c r="J22" s="32">
        <f t="shared" si="1"/>
        <v>0.15</v>
      </c>
      <c r="K22" s="31">
        <f t="shared" si="2"/>
        <v>57101.470588235294</v>
      </c>
    </row>
    <row r="23" spans="1:11" x14ac:dyDescent="0.35">
      <c r="B23" t="s">
        <v>151</v>
      </c>
      <c r="C23" s="62">
        <v>0</v>
      </c>
      <c r="D23" s="62">
        <v>0</v>
      </c>
      <c r="E23" s="62">
        <v>0</v>
      </c>
      <c r="F23" s="17">
        <v>0</v>
      </c>
      <c r="G23" s="62">
        <v>0</v>
      </c>
      <c r="I23" s="17">
        <f t="shared" si="0"/>
        <v>0</v>
      </c>
      <c r="J23" s="24">
        <f t="shared" si="1"/>
        <v>0.15</v>
      </c>
      <c r="K23" s="17">
        <f t="shared" si="2"/>
        <v>0</v>
      </c>
    </row>
    <row r="24" spans="1:11" x14ac:dyDescent="0.35">
      <c r="A24" s="30"/>
      <c r="B24" s="30" t="s">
        <v>152</v>
      </c>
      <c r="C24" s="61">
        <v>0</v>
      </c>
      <c r="D24" s="61">
        <v>0</v>
      </c>
      <c r="E24" s="61">
        <v>0</v>
      </c>
      <c r="F24" s="31">
        <v>0</v>
      </c>
      <c r="G24" s="61">
        <v>0</v>
      </c>
      <c r="H24" s="30"/>
      <c r="I24" s="31">
        <f t="shared" si="0"/>
        <v>0</v>
      </c>
      <c r="J24" s="32">
        <f t="shared" si="1"/>
        <v>0.15</v>
      </c>
      <c r="K24" s="31">
        <f t="shared" si="2"/>
        <v>0</v>
      </c>
    </row>
    <row r="25" spans="1:11" x14ac:dyDescent="0.35">
      <c r="B25" t="s">
        <v>152</v>
      </c>
      <c r="C25" s="62">
        <v>0</v>
      </c>
      <c r="D25" s="62">
        <v>0</v>
      </c>
      <c r="E25" s="62">
        <v>0</v>
      </c>
      <c r="F25" s="17">
        <v>0</v>
      </c>
      <c r="G25" s="62">
        <v>0</v>
      </c>
      <c r="I25" s="17">
        <f t="shared" si="0"/>
        <v>0</v>
      </c>
      <c r="J25" s="24">
        <f t="shared" si="1"/>
        <v>0.15</v>
      </c>
      <c r="K25" s="17">
        <f t="shared" si="2"/>
        <v>0</v>
      </c>
    </row>
    <row r="26" spans="1:11" x14ac:dyDescent="0.35">
      <c r="A26" s="63"/>
      <c r="B26" s="63" t="s">
        <v>85</v>
      </c>
      <c r="C26" s="63"/>
      <c r="D26" s="63"/>
      <c r="E26" s="63"/>
      <c r="F26" s="63"/>
      <c r="G26" s="63"/>
      <c r="H26" s="63"/>
      <c r="I26" s="64">
        <f>SUM(I20:I25)</f>
        <v>48536.25</v>
      </c>
      <c r="J26" s="63"/>
      <c r="K26" s="64">
        <f>SUM(K20:K25)</f>
        <v>57101.470588235294</v>
      </c>
    </row>
    <row r="28" spans="1:11" ht="16" customHeight="1" x14ac:dyDescent="0.35">
      <c r="A28" s="22" t="s">
        <v>38</v>
      </c>
      <c r="B28" s="22" t="s">
        <v>153</v>
      </c>
      <c r="C28" s="22" t="s">
        <v>143</v>
      </c>
      <c r="D28" s="22" t="s">
        <v>144</v>
      </c>
      <c r="E28" s="22" t="s">
        <v>145</v>
      </c>
      <c r="F28" s="22" t="s">
        <v>146</v>
      </c>
      <c r="G28" s="22" t="s">
        <v>147</v>
      </c>
      <c r="H28" s="22" t="s">
        <v>38</v>
      </c>
      <c r="I28" s="22" t="s">
        <v>32</v>
      </c>
      <c r="J28" s="22" t="s">
        <v>134</v>
      </c>
      <c r="K28" s="22" t="s">
        <v>41</v>
      </c>
    </row>
    <row r="29" spans="1:11" x14ac:dyDescent="0.35">
      <c r="A29" s="30"/>
      <c r="B29" s="30" t="s">
        <v>154</v>
      </c>
      <c r="C29" s="61">
        <v>0</v>
      </c>
      <c r="D29" s="61">
        <v>0</v>
      </c>
      <c r="E29" s="61">
        <v>0</v>
      </c>
      <c r="F29" s="31">
        <v>0</v>
      </c>
      <c r="G29" s="61">
        <v>0</v>
      </c>
      <c r="H29" s="30"/>
      <c r="I29" s="31">
        <f t="shared" ref="I29:I34" si="3">SUM(C29:G29)</f>
        <v>0</v>
      </c>
      <c r="J29" s="32">
        <f t="shared" ref="J29:J34" si="4">$D$8</f>
        <v>0.15</v>
      </c>
      <c r="K29" s="31">
        <f t="shared" ref="K29:K34" si="5">I29/(1-J29)</f>
        <v>0</v>
      </c>
    </row>
    <row r="30" spans="1:11" x14ac:dyDescent="0.35">
      <c r="B30" t="s">
        <v>155</v>
      </c>
      <c r="C30" s="62">
        <v>0</v>
      </c>
      <c r="D30" s="62">
        <v>0</v>
      </c>
      <c r="E30" s="62">
        <v>0</v>
      </c>
      <c r="F30" s="17">
        <v>0</v>
      </c>
      <c r="G30" s="62">
        <v>0</v>
      </c>
      <c r="I30" s="17">
        <f t="shared" si="3"/>
        <v>0</v>
      </c>
      <c r="J30" s="24">
        <f t="shared" si="4"/>
        <v>0.15</v>
      </c>
      <c r="K30" s="17">
        <f t="shared" si="5"/>
        <v>0</v>
      </c>
    </row>
    <row r="31" spans="1:11" x14ac:dyDescent="0.35">
      <c r="A31" s="30"/>
      <c r="B31" s="30" t="s">
        <v>156</v>
      </c>
      <c r="C31" s="61">
        <v>202234.38</v>
      </c>
      <c r="D31" s="61">
        <v>0</v>
      </c>
      <c r="E31" s="61">
        <v>0</v>
      </c>
      <c r="F31" s="31">
        <v>0</v>
      </c>
      <c r="G31" s="61">
        <v>0</v>
      </c>
      <c r="H31" s="30"/>
      <c r="I31" s="31">
        <f t="shared" si="3"/>
        <v>202234.38</v>
      </c>
      <c r="J31" s="32">
        <f t="shared" si="4"/>
        <v>0.15</v>
      </c>
      <c r="K31" s="31">
        <f t="shared" si="5"/>
        <v>237922.80000000002</v>
      </c>
    </row>
    <row r="32" spans="1:11" x14ac:dyDescent="0.35">
      <c r="B32" t="s">
        <v>157</v>
      </c>
      <c r="C32" s="62">
        <v>0</v>
      </c>
      <c r="D32" s="62">
        <v>0</v>
      </c>
      <c r="E32" s="62">
        <v>0</v>
      </c>
      <c r="F32" s="17">
        <v>0</v>
      </c>
      <c r="G32" s="62">
        <v>0</v>
      </c>
      <c r="I32" s="17">
        <f t="shared" si="3"/>
        <v>0</v>
      </c>
      <c r="J32" s="24">
        <f t="shared" si="4"/>
        <v>0.15</v>
      </c>
      <c r="K32" s="17">
        <f t="shared" si="5"/>
        <v>0</v>
      </c>
    </row>
    <row r="33" spans="1:11" x14ac:dyDescent="0.35">
      <c r="A33" s="30"/>
      <c r="B33" s="30" t="s">
        <v>158</v>
      </c>
      <c r="C33" s="61">
        <v>0</v>
      </c>
      <c r="D33" s="61">
        <v>0</v>
      </c>
      <c r="E33" s="61">
        <v>0</v>
      </c>
      <c r="F33" s="31">
        <v>0</v>
      </c>
      <c r="G33" s="61">
        <v>0</v>
      </c>
      <c r="H33" s="30"/>
      <c r="I33" s="31">
        <f t="shared" si="3"/>
        <v>0</v>
      </c>
      <c r="J33" s="32">
        <f t="shared" si="4"/>
        <v>0.15</v>
      </c>
      <c r="K33" s="31">
        <f t="shared" si="5"/>
        <v>0</v>
      </c>
    </row>
    <row r="34" spans="1:11" x14ac:dyDescent="0.35">
      <c r="B34" t="s">
        <v>159</v>
      </c>
      <c r="C34" s="62">
        <v>20882.349999999999</v>
      </c>
      <c r="D34" s="62">
        <v>0</v>
      </c>
      <c r="E34" s="62">
        <v>0</v>
      </c>
      <c r="F34" s="17">
        <v>0</v>
      </c>
      <c r="G34" s="62">
        <v>0</v>
      </c>
      <c r="I34" s="17">
        <f t="shared" si="3"/>
        <v>20882.349999999999</v>
      </c>
      <c r="J34" s="24">
        <f t="shared" si="4"/>
        <v>0.15</v>
      </c>
      <c r="K34" s="17">
        <f t="shared" si="5"/>
        <v>24567.470588235294</v>
      </c>
    </row>
    <row r="35" spans="1:11" x14ac:dyDescent="0.35">
      <c r="A35" s="63"/>
      <c r="B35" s="63" t="s">
        <v>85</v>
      </c>
      <c r="C35" s="63"/>
      <c r="D35" s="63"/>
      <c r="E35" s="63"/>
      <c r="F35" s="63"/>
      <c r="G35" s="63"/>
      <c r="H35" s="63"/>
      <c r="I35" s="64">
        <f>SUM(I29:I34)</f>
        <v>223116.73</v>
      </c>
      <c r="J35" s="63"/>
      <c r="K35" s="64">
        <f>SUM(K29:K34)</f>
        <v>262490.27058823529</v>
      </c>
    </row>
    <row r="37" spans="1:11" ht="16" customHeight="1" x14ac:dyDescent="0.35">
      <c r="A37" s="22" t="s">
        <v>38</v>
      </c>
      <c r="B37" s="22" t="s">
        <v>160</v>
      </c>
      <c r="C37" s="22" t="s">
        <v>143</v>
      </c>
      <c r="D37" s="22" t="s">
        <v>144</v>
      </c>
      <c r="E37" s="22" t="s">
        <v>145</v>
      </c>
      <c r="F37" s="22" t="s">
        <v>146</v>
      </c>
      <c r="G37" s="22" t="s">
        <v>147</v>
      </c>
      <c r="H37" s="22" t="s">
        <v>38</v>
      </c>
      <c r="I37" s="22" t="s">
        <v>32</v>
      </c>
      <c r="J37" s="22" t="s">
        <v>134</v>
      </c>
      <c r="K37" s="22" t="s">
        <v>41</v>
      </c>
    </row>
    <row r="38" spans="1:11" x14ac:dyDescent="0.35">
      <c r="A38" s="30"/>
      <c r="B38" s="30" t="s">
        <v>161</v>
      </c>
      <c r="C38" s="61">
        <v>202234.38</v>
      </c>
      <c r="D38" s="61">
        <v>0</v>
      </c>
      <c r="E38" s="61">
        <v>0</v>
      </c>
      <c r="F38" s="31">
        <v>0</v>
      </c>
      <c r="G38" s="61">
        <v>0</v>
      </c>
      <c r="H38" s="30"/>
      <c r="I38" s="31">
        <f t="shared" ref="I38:I43" si="6">SUM(C38:G38)</f>
        <v>202234.38</v>
      </c>
      <c r="J38" s="32">
        <f t="shared" ref="J38:J43" si="7">$D$9</f>
        <v>0.15</v>
      </c>
      <c r="K38" s="31">
        <f t="shared" ref="K38:K43" si="8">I38/(1-J38)</f>
        <v>237922.80000000002</v>
      </c>
    </row>
    <row r="39" spans="1:11" x14ac:dyDescent="0.35">
      <c r="B39" t="s">
        <v>162</v>
      </c>
      <c r="C39" s="62">
        <v>0</v>
      </c>
      <c r="D39" s="62">
        <v>0</v>
      </c>
      <c r="E39" s="62">
        <v>0</v>
      </c>
      <c r="F39" s="17">
        <v>0</v>
      </c>
      <c r="G39" s="62">
        <v>0</v>
      </c>
      <c r="I39" s="17">
        <f t="shared" si="6"/>
        <v>0</v>
      </c>
      <c r="J39" s="24">
        <f t="shared" si="7"/>
        <v>0.15</v>
      </c>
      <c r="K39" s="17">
        <f t="shared" si="8"/>
        <v>0</v>
      </c>
    </row>
    <row r="40" spans="1:11" x14ac:dyDescent="0.35">
      <c r="A40" s="30"/>
      <c r="B40" s="30" t="s">
        <v>163</v>
      </c>
      <c r="C40" s="61">
        <v>0</v>
      </c>
      <c r="D40" s="61">
        <v>0</v>
      </c>
      <c r="E40" s="61">
        <v>0</v>
      </c>
      <c r="F40" s="31">
        <v>0</v>
      </c>
      <c r="G40" s="61">
        <v>0</v>
      </c>
      <c r="H40" s="30"/>
      <c r="I40" s="31">
        <f t="shared" si="6"/>
        <v>0</v>
      </c>
      <c r="J40" s="32">
        <f t="shared" si="7"/>
        <v>0.15</v>
      </c>
      <c r="K40" s="31">
        <f t="shared" si="8"/>
        <v>0</v>
      </c>
    </row>
    <row r="41" spans="1:11" x14ac:dyDescent="0.35">
      <c r="B41" t="s">
        <v>164</v>
      </c>
      <c r="C41" s="62">
        <v>0</v>
      </c>
      <c r="D41" s="62">
        <v>0</v>
      </c>
      <c r="E41" s="62">
        <v>0</v>
      </c>
      <c r="F41" s="17">
        <v>0</v>
      </c>
      <c r="G41" s="62">
        <v>0</v>
      </c>
      <c r="I41" s="17">
        <f t="shared" si="6"/>
        <v>0</v>
      </c>
      <c r="J41" s="24">
        <f t="shared" si="7"/>
        <v>0.15</v>
      </c>
      <c r="K41" s="17">
        <f t="shared" si="8"/>
        <v>0</v>
      </c>
    </row>
    <row r="42" spans="1:11" x14ac:dyDescent="0.35">
      <c r="A42" s="30"/>
      <c r="B42" s="30" t="s">
        <v>165</v>
      </c>
      <c r="C42" s="61">
        <v>0</v>
      </c>
      <c r="D42" s="61">
        <v>0</v>
      </c>
      <c r="E42" s="61">
        <v>0</v>
      </c>
      <c r="F42" s="31">
        <v>0</v>
      </c>
      <c r="G42" s="61">
        <v>0</v>
      </c>
      <c r="H42" s="30"/>
      <c r="I42" s="31">
        <f t="shared" si="6"/>
        <v>0</v>
      </c>
      <c r="J42" s="32">
        <f t="shared" si="7"/>
        <v>0.15</v>
      </c>
      <c r="K42" s="31">
        <f t="shared" si="8"/>
        <v>0</v>
      </c>
    </row>
    <row r="43" spans="1:11" x14ac:dyDescent="0.35">
      <c r="B43" t="s">
        <v>166</v>
      </c>
      <c r="C43" s="62">
        <v>0</v>
      </c>
      <c r="D43" s="62">
        <v>0</v>
      </c>
      <c r="E43" s="62">
        <v>0</v>
      </c>
      <c r="F43" s="17">
        <v>0</v>
      </c>
      <c r="G43" s="62">
        <v>0</v>
      </c>
      <c r="I43" s="17">
        <f t="shared" si="6"/>
        <v>0</v>
      </c>
      <c r="J43" s="24">
        <f t="shared" si="7"/>
        <v>0.15</v>
      </c>
      <c r="K43" s="17">
        <f t="shared" si="8"/>
        <v>0</v>
      </c>
    </row>
    <row r="44" spans="1:11" x14ac:dyDescent="0.35">
      <c r="A44" s="63"/>
      <c r="B44" s="63" t="s">
        <v>85</v>
      </c>
      <c r="C44" s="63"/>
      <c r="D44" s="63"/>
      <c r="E44" s="63"/>
      <c r="F44" s="63"/>
      <c r="G44" s="63"/>
      <c r="H44" s="63"/>
      <c r="I44" s="64">
        <f>SUM(I38:I43)</f>
        <v>202234.38</v>
      </c>
      <c r="J44" s="63"/>
      <c r="K44" s="64">
        <f>SUM(K38:K43)</f>
        <v>237922.80000000002</v>
      </c>
    </row>
    <row r="46" spans="1:11" ht="16" customHeight="1" x14ac:dyDescent="0.35">
      <c r="A46" s="22" t="s">
        <v>38</v>
      </c>
      <c r="B46" s="22" t="s">
        <v>167</v>
      </c>
      <c r="C46" s="22" t="s">
        <v>143</v>
      </c>
      <c r="D46" s="22" t="s">
        <v>144</v>
      </c>
      <c r="E46" s="22" t="s">
        <v>145</v>
      </c>
      <c r="F46" s="22" t="s">
        <v>146</v>
      </c>
      <c r="G46" s="22" t="s">
        <v>147</v>
      </c>
      <c r="H46" s="22" t="s">
        <v>38</v>
      </c>
      <c r="I46" s="22" t="s">
        <v>32</v>
      </c>
      <c r="J46" s="22" t="s">
        <v>134</v>
      </c>
      <c r="K46" s="22" t="s">
        <v>41</v>
      </c>
    </row>
    <row r="47" spans="1:11" x14ac:dyDescent="0.35">
      <c r="A47" s="30"/>
      <c r="B47" s="30" t="s">
        <v>168</v>
      </c>
      <c r="C47" s="61">
        <v>4705.88</v>
      </c>
      <c r="D47" s="61">
        <v>0</v>
      </c>
      <c r="E47" s="61">
        <v>0</v>
      </c>
      <c r="F47" s="31">
        <v>0</v>
      </c>
      <c r="G47" s="61">
        <v>0</v>
      </c>
      <c r="H47" s="30"/>
      <c r="I47" s="31">
        <f>SUM(C47:G47)</f>
        <v>4705.88</v>
      </c>
      <c r="J47" s="32">
        <f>$D$11</f>
        <v>0.15</v>
      </c>
      <c r="K47" s="31">
        <f>I47/(1-J47)</f>
        <v>5536.3294117647065</v>
      </c>
    </row>
    <row r="48" spans="1:11" x14ac:dyDescent="0.35">
      <c r="B48" t="s">
        <v>169</v>
      </c>
      <c r="C48" s="62">
        <v>0</v>
      </c>
      <c r="D48" s="62">
        <v>0</v>
      </c>
      <c r="E48" s="62">
        <v>0</v>
      </c>
      <c r="F48" s="17">
        <v>0</v>
      </c>
      <c r="G48" s="62">
        <v>0</v>
      </c>
      <c r="I48" s="17">
        <f>SUM(C48:G48)</f>
        <v>0</v>
      </c>
      <c r="J48" s="24">
        <f>$D$11</f>
        <v>0.15</v>
      </c>
      <c r="K48" s="17">
        <f>I48/(1-J48)</f>
        <v>0</v>
      </c>
    </row>
    <row r="49" spans="1:11" x14ac:dyDescent="0.35">
      <c r="A49" s="30"/>
      <c r="B49" s="30" t="s">
        <v>170</v>
      </c>
      <c r="C49" s="61">
        <v>0</v>
      </c>
      <c r="D49" s="61">
        <v>0</v>
      </c>
      <c r="E49" s="61">
        <v>0</v>
      </c>
      <c r="F49" s="31">
        <v>0</v>
      </c>
      <c r="G49" s="61">
        <v>0</v>
      </c>
      <c r="H49" s="30"/>
      <c r="I49" s="31">
        <f>SUM(C49:G49)</f>
        <v>0</v>
      </c>
      <c r="J49" s="32">
        <f>$D$11</f>
        <v>0.15</v>
      </c>
      <c r="K49" s="31">
        <f>I49/(1-J49)</f>
        <v>0</v>
      </c>
    </row>
    <row r="50" spans="1:11" x14ac:dyDescent="0.35">
      <c r="B50" t="s">
        <v>171</v>
      </c>
      <c r="C50" s="62">
        <v>0</v>
      </c>
      <c r="D50" s="62">
        <v>0</v>
      </c>
      <c r="E50" s="62">
        <v>0</v>
      </c>
      <c r="F50" s="17">
        <v>0</v>
      </c>
      <c r="G50" s="62">
        <v>0</v>
      </c>
      <c r="I50" s="17">
        <f>SUM(C50:G50)</f>
        <v>0</v>
      </c>
      <c r="J50" s="24">
        <f>$D$11</f>
        <v>0.15</v>
      </c>
      <c r="K50" s="17">
        <f>I50/(1-J50)</f>
        <v>0</v>
      </c>
    </row>
    <row r="51" spans="1:11" x14ac:dyDescent="0.35">
      <c r="A51" s="30"/>
      <c r="B51" s="30" t="s">
        <v>172</v>
      </c>
      <c r="C51" s="61">
        <v>0</v>
      </c>
      <c r="D51" s="61">
        <v>0</v>
      </c>
      <c r="E51" s="61">
        <v>0</v>
      </c>
      <c r="F51" s="31">
        <v>0</v>
      </c>
      <c r="G51" s="61">
        <v>0</v>
      </c>
      <c r="H51" s="30"/>
      <c r="I51" s="31">
        <f>SUM(C51:G51)</f>
        <v>0</v>
      </c>
      <c r="J51" s="32">
        <f>$D$11</f>
        <v>0.15</v>
      </c>
      <c r="K51" s="31">
        <f>I51/(1-J51)</f>
        <v>0</v>
      </c>
    </row>
    <row r="52" spans="1:11" x14ac:dyDescent="0.35">
      <c r="A52" s="63"/>
      <c r="B52" s="63" t="s">
        <v>85</v>
      </c>
      <c r="C52" s="63"/>
      <c r="D52" s="63"/>
      <c r="E52" s="63"/>
      <c r="F52" s="63"/>
      <c r="G52" s="63"/>
      <c r="H52" s="63"/>
      <c r="I52" s="64">
        <f>SUM(I47:I51)</f>
        <v>4705.88</v>
      </c>
      <c r="J52" s="63"/>
      <c r="K52" s="64">
        <f>SUM(K47:K51)</f>
        <v>5536.3294117647065</v>
      </c>
    </row>
    <row r="54" spans="1:11" ht="15.5" x14ac:dyDescent="0.35">
      <c r="A54" s="25"/>
      <c r="B54" s="26" t="s">
        <v>173</v>
      </c>
      <c r="C54" s="25"/>
      <c r="D54" s="25"/>
      <c r="E54" s="25"/>
      <c r="F54" s="25"/>
      <c r="G54" s="25"/>
      <c r="H54" s="25"/>
      <c r="I54" s="27">
        <f>I26+I35+I44+I52</f>
        <v>478593.24</v>
      </c>
      <c r="J54" s="25"/>
      <c r="K54" s="27">
        <f>K26+K35+K44+K52</f>
        <v>563050.87058823532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8A745"/>
  </sheetPr>
  <dimension ref="A3:K54"/>
  <sheetViews>
    <sheetView workbookViewId="0"/>
  </sheetViews>
  <sheetFormatPr defaultRowHeight="14.5" x14ac:dyDescent="0.3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5" x14ac:dyDescent="0.35">
      <c r="A3" s="58" t="s">
        <v>131</v>
      </c>
    </row>
    <row r="4" spans="1:5" x14ac:dyDescent="0.35">
      <c r="A4" s="12" t="s">
        <v>10</v>
      </c>
    </row>
    <row r="5" spans="1:5" x14ac:dyDescent="0.35">
      <c r="A5" s="12" t="s">
        <v>132</v>
      </c>
    </row>
    <row r="7" spans="1:5" x14ac:dyDescent="0.35">
      <c r="C7" s="23" t="s">
        <v>133</v>
      </c>
    </row>
    <row r="8" spans="1:5" x14ac:dyDescent="0.35">
      <c r="C8" t="s">
        <v>134</v>
      </c>
      <c r="D8" s="18">
        <v>0.15</v>
      </c>
    </row>
    <row r="9" spans="1:5" x14ac:dyDescent="0.35">
      <c r="C9" t="s">
        <v>135</v>
      </c>
      <c r="D9" s="18">
        <v>0.15</v>
      </c>
    </row>
    <row r="10" spans="1:5" x14ac:dyDescent="0.35">
      <c r="C10" t="s">
        <v>110</v>
      </c>
      <c r="D10" s="18">
        <v>0.15</v>
      </c>
    </row>
    <row r="11" spans="1:5" x14ac:dyDescent="0.35">
      <c r="C11" t="s">
        <v>136</v>
      </c>
      <c r="D11" s="18">
        <v>0.15</v>
      </c>
    </row>
    <row r="15" spans="1:5" ht="15.5" x14ac:dyDescent="0.35">
      <c r="B15" s="59" t="s">
        <v>178</v>
      </c>
    </row>
    <row r="16" spans="1:5" x14ac:dyDescent="0.35">
      <c r="B16" s="2" t="s">
        <v>138</v>
      </c>
      <c r="C16" s="2" t="s">
        <v>139</v>
      </c>
      <c r="D16" s="2" t="s">
        <v>140</v>
      </c>
      <c r="E16" s="2" t="s">
        <v>141</v>
      </c>
    </row>
    <row r="17" spans="1:11" x14ac:dyDescent="0.35">
      <c r="B17" s="45">
        <v>7.87</v>
      </c>
      <c r="C17" s="45">
        <v>8.66</v>
      </c>
      <c r="D17" s="60">
        <v>272.62</v>
      </c>
      <c r="E17">
        <v>4</v>
      </c>
    </row>
    <row r="19" spans="1:11" ht="16" customHeight="1" x14ac:dyDescent="0.35">
      <c r="A19" s="22" t="s">
        <v>38</v>
      </c>
      <c r="B19" s="22" t="s">
        <v>142</v>
      </c>
      <c r="C19" s="22" t="s">
        <v>143</v>
      </c>
      <c r="D19" s="22" t="s">
        <v>144</v>
      </c>
      <c r="E19" s="22" t="s">
        <v>145</v>
      </c>
      <c r="F19" s="22" t="s">
        <v>146</v>
      </c>
      <c r="G19" s="22" t="s">
        <v>147</v>
      </c>
      <c r="H19" s="22" t="s">
        <v>38</v>
      </c>
      <c r="I19" s="22" t="s">
        <v>32</v>
      </c>
      <c r="J19" s="22" t="s">
        <v>134</v>
      </c>
      <c r="K19" s="22" t="s">
        <v>41</v>
      </c>
    </row>
    <row r="20" spans="1:11" x14ac:dyDescent="0.35">
      <c r="A20" s="30"/>
      <c r="B20" s="30" t="s">
        <v>148</v>
      </c>
      <c r="C20" s="61">
        <v>0</v>
      </c>
      <c r="D20" s="61">
        <v>0</v>
      </c>
      <c r="E20" s="61">
        <v>0</v>
      </c>
      <c r="F20" s="31">
        <v>0</v>
      </c>
      <c r="G20" s="61">
        <v>0</v>
      </c>
      <c r="H20" s="30"/>
      <c r="I20" s="31">
        <f t="shared" ref="I20:I25" si="0">SUM(C20:G20)</f>
        <v>0</v>
      </c>
      <c r="J20" s="32">
        <f t="shared" ref="J20:J25" si="1">$D$8</f>
        <v>0.15</v>
      </c>
      <c r="K20" s="31">
        <f t="shared" ref="K20:K25" si="2">I20/(1-J20)</f>
        <v>0</v>
      </c>
    </row>
    <row r="21" spans="1:11" x14ac:dyDescent="0.35">
      <c r="B21" t="s">
        <v>149</v>
      </c>
      <c r="C21" s="62">
        <v>0</v>
      </c>
      <c r="D21" s="62">
        <v>0</v>
      </c>
      <c r="E21" s="62">
        <v>0</v>
      </c>
      <c r="F21" s="17">
        <v>0</v>
      </c>
      <c r="G21" s="62">
        <v>0</v>
      </c>
      <c r="I21" s="17">
        <f t="shared" si="0"/>
        <v>0</v>
      </c>
      <c r="J21" s="24">
        <f t="shared" si="1"/>
        <v>0.15</v>
      </c>
      <c r="K21" s="17">
        <f t="shared" si="2"/>
        <v>0</v>
      </c>
    </row>
    <row r="22" spans="1:11" x14ac:dyDescent="0.35">
      <c r="A22" s="30"/>
      <c r="B22" s="30" t="s">
        <v>150</v>
      </c>
      <c r="C22" s="61">
        <v>4995</v>
      </c>
      <c r="D22" s="61">
        <v>0</v>
      </c>
      <c r="E22" s="61">
        <v>0</v>
      </c>
      <c r="F22" s="31">
        <v>0</v>
      </c>
      <c r="G22" s="61">
        <v>0</v>
      </c>
      <c r="H22" s="30"/>
      <c r="I22" s="31">
        <f t="shared" si="0"/>
        <v>4995</v>
      </c>
      <c r="J22" s="32">
        <f t="shared" si="1"/>
        <v>0.15</v>
      </c>
      <c r="K22" s="31">
        <f t="shared" si="2"/>
        <v>5876.4705882352946</v>
      </c>
    </row>
    <row r="23" spans="1:11" x14ac:dyDescent="0.35">
      <c r="B23" t="s">
        <v>151</v>
      </c>
      <c r="C23" s="62">
        <v>0</v>
      </c>
      <c r="D23" s="62">
        <v>0</v>
      </c>
      <c r="E23" s="62">
        <v>0</v>
      </c>
      <c r="F23" s="17">
        <v>0</v>
      </c>
      <c r="G23" s="62">
        <v>0</v>
      </c>
      <c r="I23" s="17">
        <f t="shared" si="0"/>
        <v>0</v>
      </c>
      <c r="J23" s="24">
        <f t="shared" si="1"/>
        <v>0.15</v>
      </c>
      <c r="K23" s="17">
        <f t="shared" si="2"/>
        <v>0</v>
      </c>
    </row>
    <row r="24" spans="1:11" x14ac:dyDescent="0.35">
      <c r="A24" s="30"/>
      <c r="B24" s="30" t="s">
        <v>152</v>
      </c>
      <c r="C24" s="61">
        <v>0</v>
      </c>
      <c r="D24" s="61">
        <v>0</v>
      </c>
      <c r="E24" s="61">
        <v>0</v>
      </c>
      <c r="F24" s="31">
        <v>0</v>
      </c>
      <c r="G24" s="61">
        <v>0</v>
      </c>
      <c r="H24" s="30"/>
      <c r="I24" s="31">
        <f t="shared" si="0"/>
        <v>0</v>
      </c>
      <c r="J24" s="32">
        <f t="shared" si="1"/>
        <v>0.15</v>
      </c>
      <c r="K24" s="31">
        <f t="shared" si="2"/>
        <v>0</v>
      </c>
    </row>
    <row r="25" spans="1:11" x14ac:dyDescent="0.35">
      <c r="B25" t="s">
        <v>152</v>
      </c>
      <c r="C25" s="62">
        <v>0</v>
      </c>
      <c r="D25" s="62">
        <v>0</v>
      </c>
      <c r="E25" s="62">
        <v>0</v>
      </c>
      <c r="F25" s="17">
        <v>0</v>
      </c>
      <c r="G25" s="62">
        <v>0</v>
      </c>
      <c r="I25" s="17">
        <f t="shared" si="0"/>
        <v>0</v>
      </c>
      <c r="J25" s="24">
        <f t="shared" si="1"/>
        <v>0.15</v>
      </c>
      <c r="K25" s="17">
        <f t="shared" si="2"/>
        <v>0</v>
      </c>
    </row>
    <row r="26" spans="1:11" x14ac:dyDescent="0.35">
      <c r="A26" s="63"/>
      <c r="B26" s="63" t="s">
        <v>85</v>
      </c>
      <c r="C26" s="63"/>
      <c r="D26" s="63"/>
      <c r="E26" s="63"/>
      <c r="F26" s="63"/>
      <c r="G26" s="63"/>
      <c r="H26" s="63"/>
      <c r="I26" s="64">
        <f>SUM(I20:I25)</f>
        <v>4995</v>
      </c>
      <c r="J26" s="63"/>
      <c r="K26" s="64">
        <f>SUM(K20:K25)</f>
        <v>5876.4705882352946</v>
      </c>
    </row>
    <row r="28" spans="1:11" ht="16" customHeight="1" x14ac:dyDescent="0.35">
      <c r="A28" s="22" t="s">
        <v>38</v>
      </c>
      <c r="B28" s="22" t="s">
        <v>153</v>
      </c>
      <c r="C28" s="22" t="s">
        <v>143</v>
      </c>
      <c r="D28" s="22" t="s">
        <v>144</v>
      </c>
      <c r="E28" s="22" t="s">
        <v>145</v>
      </c>
      <c r="F28" s="22" t="s">
        <v>146</v>
      </c>
      <c r="G28" s="22" t="s">
        <v>147</v>
      </c>
      <c r="H28" s="22" t="s">
        <v>38</v>
      </c>
      <c r="I28" s="22" t="s">
        <v>32</v>
      </c>
      <c r="J28" s="22" t="s">
        <v>134</v>
      </c>
      <c r="K28" s="22" t="s">
        <v>41</v>
      </c>
    </row>
    <row r="29" spans="1:11" x14ac:dyDescent="0.35">
      <c r="A29" s="30"/>
      <c r="B29" s="30" t="s">
        <v>154</v>
      </c>
      <c r="C29" s="61">
        <v>0</v>
      </c>
      <c r="D29" s="61">
        <v>0</v>
      </c>
      <c r="E29" s="61">
        <v>0</v>
      </c>
      <c r="F29" s="31">
        <v>0</v>
      </c>
      <c r="G29" s="61">
        <v>0</v>
      </c>
      <c r="H29" s="30"/>
      <c r="I29" s="31">
        <f t="shared" ref="I29:I34" si="3">SUM(C29:G29)</f>
        <v>0</v>
      </c>
      <c r="J29" s="32">
        <f t="shared" ref="J29:J34" si="4">$D$8</f>
        <v>0.15</v>
      </c>
      <c r="K29" s="31">
        <f t="shared" ref="K29:K34" si="5">I29/(1-J29)</f>
        <v>0</v>
      </c>
    </row>
    <row r="30" spans="1:11" x14ac:dyDescent="0.35">
      <c r="B30" t="s">
        <v>155</v>
      </c>
      <c r="C30" s="62">
        <v>0</v>
      </c>
      <c r="D30" s="62">
        <v>0</v>
      </c>
      <c r="E30" s="62">
        <v>0</v>
      </c>
      <c r="F30" s="17">
        <v>0</v>
      </c>
      <c r="G30" s="62">
        <v>0</v>
      </c>
      <c r="I30" s="17">
        <f t="shared" si="3"/>
        <v>0</v>
      </c>
      <c r="J30" s="24">
        <f t="shared" si="4"/>
        <v>0.15</v>
      </c>
      <c r="K30" s="17">
        <f t="shared" si="5"/>
        <v>0</v>
      </c>
    </row>
    <row r="31" spans="1:11" x14ac:dyDescent="0.35">
      <c r="A31" s="30"/>
      <c r="B31" s="30" t="s">
        <v>156</v>
      </c>
      <c r="C31" s="61">
        <v>20812.5</v>
      </c>
      <c r="D31" s="61">
        <v>0</v>
      </c>
      <c r="E31" s="61">
        <v>0</v>
      </c>
      <c r="F31" s="31">
        <v>0</v>
      </c>
      <c r="G31" s="61">
        <v>0</v>
      </c>
      <c r="H31" s="30"/>
      <c r="I31" s="31">
        <f t="shared" si="3"/>
        <v>20812.5</v>
      </c>
      <c r="J31" s="32">
        <f t="shared" si="4"/>
        <v>0.15</v>
      </c>
      <c r="K31" s="31">
        <f t="shared" si="5"/>
        <v>24485.294117647059</v>
      </c>
    </row>
    <row r="32" spans="1:11" x14ac:dyDescent="0.35">
      <c r="B32" t="s">
        <v>157</v>
      </c>
      <c r="C32" s="62">
        <v>0</v>
      </c>
      <c r="D32" s="62">
        <v>0</v>
      </c>
      <c r="E32" s="62">
        <v>0</v>
      </c>
      <c r="F32" s="17">
        <v>0</v>
      </c>
      <c r="G32" s="62">
        <v>0</v>
      </c>
      <c r="I32" s="17">
        <f t="shared" si="3"/>
        <v>0</v>
      </c>
      <c r="J32" s="24">
        <f t="shared" si="4"/>
        <v>0.15</v>
      </c>
      <c r="K32" s="17">
        <f t="shared" si="5"/>
        <v>0</v>
      </c>
    </row>
    <row r="33" spans="1:11" x14ac:dyDescent="0.35">
      <c r="A33" s="30"/>
      <c r="B33" s="30" t="s">
        <v>158</v>
      </c>
      <c r="C33" s="61">
        <v>0</v>
      </c>
      <c r="D33" s="61">
        <v>0</v>
      </c>
      <c r="E33" s="61">
        <v>0</v>
      </c>
      <c r="F33" s="31">
        <v>0</v>
      </c>
      <c r="G33" s="61">
        <v>0</v>
      </c>
      <c r="H33" s="30"/>
      <c r="I33" s="31">
        <f t="shared" si="3"/>
        <v>0</v>
      </c>
      <c r="J33" s="32">
        <f t="shared" si="4"/>
        <v>0.15</v>
      </c>
      <c r="K33" s="31">
        <f t="shared" si="5"/>
        <v>0</v>
      </c>
    </row>
    <row r="34" spans="1:11" x14ac:dyDescent="0.35">
      <c r="B34" t="s">
        <v>159</v>
      </c>
      <c r="C34" s="62">
        <v>20882.349999999999</v>
      </c>
      <c r="D34" s="62">
        <v>0</v>
      </c>
      <c r="E34" s="62">
        <v>0</v>
      </c>
      <c r="F34" s="17">
        <v>0</v>
      </c>
      <c r="G34" s="62">
        <v>0</v>
      </c>
      <c r="I34" s="17">
        <f t="shared" si="3"/>
        <v>20882.349999999999</v>
      </c>
      <c r="J34" s="24">
        <f t="shared" si="4"/>
        <v>0.15</v>
      </c>
      <c r="K34" s="17">
        <f t="shared" si="5"/>
        <v>24567.470588235294</v>
      </c>
    </row>
    <row r="35" spans="1:11" x14ac:dyDescent="0.35">
      <c r="A35" s="63"/>
      <c r="B35" s="63" t="s">
        <v>85</v>
      </c>
      <c r="C35" s="63"/>
      <c r="D35" s="63"/>
      <c r="E35" s="63"/>
      <c r="F35" s="63"/>
      <c r="G35" s="63"/>
      <c r="H35" s="63"/>
      <c r="I35" s="64">
        <f>SUM(I29:I34)</f>
        <v>41694.85</v>
      </c>
      <c r="J35" s="63"/>
      <c r="K35" s="64">
        <f>SUM(K29:K34)</f>
        <v>49052.76470588235</v>
      </c>
    </row>
    <row r="37" spans="1:11" ht="16" customHeight="1" x14ac:dyDescent="0.35">
      <c r="A37" s="22" t="s">
        <v>38</v>
      </c>
      <c r="B37" s="22" t="s">
        <v>160</v>
      </c>
      <c r="C37" s="22" t="s">
        <v>143</v>
      </c>
      <c r="D37" s="22" t="s">
        <v>144</v>
      </c>
      <c r="E37" s="22" t="s">
        <v>145</v>
      </c>
      <c r="F37" s="22" t="s">
        <v>146</v>
      </c>
      <c r="G37" s="22" t="s">
        <v>147</v>
      </c>
      <c r="H37" s="22" t="s">
        <v>38</v>
      </c>
      <c r="I37" s="22" t="s">
        <v>32</v>
      </c>
      <c r="J37" s="22" t="s">
        <v>134</v>
      </c>
      <c r="K37" s="22" t="s">
        <v>41</v>
      </c>
    </row>
    <row r="38" spans="1:11" x14ac:dyDescent="0.35">
      <c r="A38" s="30"/>
      <c r="B38" s="30" t="s">
        <v>161</v>
      </c>
      <c r="C38" s="61">
        <v>20812.5</v>
      </c>
      <c r="D38" s="61">
        <v>0</v>
      </c>
      <c r="E38" s="61">
        <v>0</v>
      </c>
      <c r="F38" s="31">
        <v>0</v>
      </c>
      <c r="G38" s="61">
        <v>0</v>
      </c>
      <c r="H38" s="30"/>
      <c r="I38" s="31">
        <f t="shared" ref="I38:I43" si="6">SUM(C38:G38)</f>
        <v>20812.5</v>
      </c>
      <c r="J38" s="32">
        <f t="shared" ref="J38:J43" si="7">$D$9</f>
        <v>0.15</v>
      </c>
      <c r="K38" s="31">
        <f t="shared" ref="K38:K43" si="8">I38/(1-J38)</f>
        <v>24485.294117647059</v>
      </c>
    </row>
    <row r="39" spans="1:11" x14ac:dyDescent="0.35">
      <c r="B39" t="s">
        <v>162</v>
      </c>
      <c r="C39" s="62">
        <v>0</v>
      </c>
      <c r="D39" s="62">
        <v>0</v>
      </c>
      <c r="E39" s="62">
        <v>0</v>
      </c>
      <c r="F39" s="17">
        <v>0</v>
      </c>
      <c r="G39" s="62">
        <v>0</v>
      </c>
      <c r="I39" s="17">
        <f t="shared" si="6"/>
        <v>0</v>
      </c>
      <c r="J39" s="24">
        <f t="shared" si="7"/>
        <v>0.15</v>
      </c>
      <c r="K39" s="17">
        <f t="shared" si="8"/>
        <v>0</v>
      </c>
    </row>
    <row r="40" spans="1:11" x14ac:dyDescent="0.35">
      <c r="A40" s="30"/>
      <c r="B40" s="30" t="s">
        <v>163</v>
      </c>
      <c r="C40" s="61">
        <v>0</v>
      </c>
      <c r="D40" s="61">
        <v>0</v>
      </c>
      <c r="E40" s="61">
        <v>0</v>
      </c>
      <c r="F40" s="31">
        <v>0</v>
      </c>
      <c r="G40" s="61">
        <v>0</v>
      </c>
      <c r="H40" s="30"/>
      <c r="I40" s="31">
        <f t="shared" si="6"/>
        <v>0</v>
      </c>
      <c r="J40" s="32">
        <f t="shared" si="7"/>
        <v>0.15</v>
      </c>
      <c r="K40" s="31">
        <f t="shared" si="8"/>
        <v>0</v>
      </c>
    </row>
    <row r="41" spans="1:11" x14ac:dyDescent="0.35">
      <c r="B41" t="s">
        <v>164</v>
      </c>
      <c r="C41" s="62">
        <v>0</v>
      </c>
      <c r="D41" s="62">
        <v>0</v>
      </c>
      <c r="E41" s="62">
        <v>0</v>
      </c>
      <c r="F41" s="17">
        <v>0</v>
      </c>
      <c r="G41" s="62">
        <v>0</v>
      </c>
      <c r="I41" s="17">
        <f t="shared" si="6"/>
        <v>0</v>
      </c>
      <c r="J41" s="24">
        <f t="shared" si="7"/>
        <v>0.15</v>
      </c>
      <c r="K41" s="17">
        <f t="shared" si="8"/>
        <v>0</v>
      </c>
    </row>
    <row r="42" spans="1:11" x14ac:dyDescent="0.35">
      <c r="A42" s="30"/>
      <c r="B42" s="30" t="s">
        <v>165</v>
      </c>
      <c r="C42" s="61">
        <v>0</v>
      </c>
      <c r="D42" s="61">
        <v>0</v>
      </c>
      <c r="E42" s="61">
        <v>0</v>
      </c>
      <c r="F42" s="31">
        <v>0</v>
      </c>
      <c r="G42" s="61">
        <v>0</v>
      </c>
      <c r="H42" s="30"/>
      <c r="I42" s="31">
        <f t="shared" si="6"/>
        <v>0</v>
      </c>
      <c r="J42" s="32">
        <f t="shared" si="7"/>
        <v>0.15</v>
      </c>
      <c r="K42" s="31">
        <f t="shared" si="8"/>
        <v>0</v>
      </c>
    </row>
    <row r="43" spans="1:11" x14ac:dyDescent="0.35">
      <c r="B43" t="s">
        <v>166</v>
      </c>
      <c r="C43" s="62">
        <v>0</v>
      </c>
      <c r="D43" s="62">
        <v>0</v>
      </c>
      <c r="E43" s="62">
        <v>0</v>
      </c>
      <c r="F43" s="17">
        <v>0</v>
      </c>
      <c r="G43" s="62">
        <v>0</v>
      </c>
      <c r="I43" s="17">
        <f t="shared" si="6"/>
        <v>0</v>
      </c>
      <c r="J43" s="24">
        <f t="shared" si="7"/>
        <v>0.15</v>
      </c>
      <c r="K43" s="17">
        <f t="shared" si="8"/>
        <v>0</v>
      </c>
    </row>
    <row r="44" spans="1:11" x14ac:dyDescent="0.35">
      <c r="A44" s="63"/>
      <c r="B44" s="63" t="s">
        <v>85</v>
      </c>
      <c r="C44" s="63"/>
      <c r="D44" s="63"/>
      <c r="E44" s="63"/>
      <c r="F44" s="63"/>
      <c r="G44" s="63"/>
      <c r="H44" s="63"/>
      <c r="I44" s="64">
        <f>SUM(I38:I43)</f>
        <v>20812.5</v>
      </c>
      <c r="J44" s="63"/>
      <c r="K44" s="64">
        <f>SUM(K38:K43)</f>
        <v>24485.294117647059</v>
      </c>
    </row>
    <row r="46" spans="1:11" ht="16" customHeight="1" x14ac:dyDescent="0.35">
      <c r="A46" s="22" t="s">
        <v>38</v>
      </c>
      <c r="B46" s="22" t="s">
        <v>167</v>
      </c>
      <c r="C46" s="22" t="s">
        <v>143</v>
      </c>
      <c r="D46" s="22" t="s">
        <v>144</v>
      </c>
      <c r="E46" s="22" t="s">
        <v>145</v>
      </c>
      <c r="F46" s="22" t="s">
        <v>146</v>
      </c>
      <c r="G46" s="22" t="s">
        <v>147</v>
      </c>
      <c r="H46" s="22" t="s">
        <v>38</v>
      </c>
      <c r="I46" s="22" t="s">
        <v>32</v>
      </c>
      <c r="J46" s="22" t="s">
        <v>134</v>
      </c>
      <c r="K46" s="22" t="s">
        <v>41</v>
      </c>
    </row>
    <row r="47" spans="1:11" x14ac:dyDescent="0.35">
      <c r="A47" s="30"/>
      <c r="B47" s="30" t="s">
        <v>168</v>
      </c>
      <c r="C47" s="61">
        <v>4705.88</v>
      </c>
      <c r="D47" s="61">
        <v>0</v>
      </c>
      <c r="E47" s="61">
        <v>0</v>
      </c>
      <c r="F47" s="31">
        <v>0</v>
      </c>
      <c r="G47" s="61">
        <v>0</v>
      </c>
      <c r="H47" s="30"/>
      <c r="I47" s="31">
        <f>SUM(C47:G47)</f>
        <v>4705.88</v>
      </c>
      <c r="J47" s="32">
        <f>$D$11</f>
        <v>0.15</v>
      </c>
      <c r="K47" s="31">
        <f>I47/(1-J47)</f>
        <v>5536.3294117647065</v>
      </c>
    </row>
    <row r="48" spans="1:11" x14ac:dyDescent="0.35">
      <c r="B48" t="s">
        <v>169</v>
      </c>
      <c r="C48" s="62">
        <v>0</v>
      </c>
      <c r="D48" s="62">
        <v>0</v>
      </c>
      <c r="E48" s="62">
        <v>0</v>
      </c>
      <c r="F48" s="17">
        <v>0</v>
      </c>
      <c r="G48" s="62">
        <v>0</v>
      </c>
      <c r="I48" s="17">
        <f>SUM(C48:G48)</f>
        <v>0</v>
      </c>
      <c r="J48" s="24">
        <f>$D$11</f>
        <v>0.15</v>
      </c>
      <c r="K48" s="17">
        <f>I48/(1-J48)</f>
        <v>0</v>
      </c>
    </row>
    <row r="49" spans="1:11" x14ac:dyDescent="0.35">
      <c r="A49" s="30"/>
      <c r="B49" s="30" t="s">
        <v>170</v>
      </c>
      <c r="C49" s="61">
        <v>0</v>
      </c>
      <c r="D49" s="61">
        <v>0</v>
      </c>
      <c r="E49" s="61">
        <v>0</v>
      </c>
      <c r="F49" s="31">
        <v>0</v>
      </c>
      <c r="G49" s="61">
        <v>0</v>
      </c>
      <c r="H49" s="30"/>
      <c r="I49" s="31">
        <f>SUM(C49:G49)</f>
        <v>0</v>
      </c>
      <c r="J49" s="32">
        <f>$D$11</f>
        <v>0.15</v>
      </c>
      <c r="K49" s="31">
        <f>I49/(1-J49)</f>
        <v>0</v>
      </c>
    </row>
    <row r="50" spans="1:11" x14ac:dyDescent="0.35">
      <c r="B50" t="s">
        <v>171</v>
      </c>
      <c r="C50" s="62">
        <v>0</v>
      </c>
      <c r="D50" s="62">
        <v>0</v>
      </c>
      <c r="E50" s="62">
        <v>0</v>
      </c>
      <c r="F50" s="17">
        <v>0</v>
      </c>
      <c r="G50" s="62">
        <v>0</v>
      </c>
      <c r="I50" s="17">
        <f>SUM(C50:G50)</f>
        <v>0</v>
      </c>
      <c r="J50" s="24">
        <f>$D$11</f>
        <v>0.15</v>
      </c>
      <c r="K50" s="17">
        <f>I50/(1-J50)</f>
        <v>0</v>
      </c>
    </row>
    <row r="51" spans="1:11" x14ac:dyDescent="0.35">
      <c r="A51" s="30"/>
      <c r="B51" s="30" t="s">
        <v>172</v>
      </c>
      <c r="C51" s="61">
        <v>0</v>
      </c>
      <c r="D51" s="61">
        <v>0</v>
      </c>
      <c r="E51" s="61">
        <v>0</v>
      </c>
      <c r="F51" s="31">
        <v>0</v>
      </c>
      <c r="G51" s="61">
        <v>0</v>
      </c>
      <c r="H51" s="30"/>
      <c r="I51" s="31">
        <f>SUM(C51:G51)</f>
        <v>0</v>
      </c>
      <c r="J51" s="32">
        <f>$D$11</f>
        <v>0.15</v>
      </c>
      <c r="K51" s="31">
        <f>I51/(1-J51)</f>
        <v>0</v>
      </c>
    </row>
    <row r="52" spans="1:11" x14ac:dyDescent="0.35">
      <c r="A52" s="63"/>
      <c r="B52" s="63" t="s">
        <v>85</v>
      </c>
      <c r="C52" s="63"/>
      <c r="D52" s="63"/>
      <c r="E52" s="63"/>
      <c r="F52" s="63"/>
      <c r="G52" s="63"/>
      <c r="H52" s="63"/>
      <c r="I52" s="64">
        <f>SUM(I47:I51)</f>
        <v>4705.88</v>
      </c>
      <c r="J52" s="63"/>
      <c r="K52" s="64">
        <f>SUM(K47:K51)</f>
        <v>5536.3294117647065</v>
      </c>
    </row>
    <row r="54" spans="1:11" ht="15.5" x14ac:dyDescent="0.35">
      <c r="A54" s="25"/>
      <c r="B54" s="26" t="s">
        <v>173</v>
      </c>
      <c r="C54" s="25"/>
      <c r="D54" s="25"/>
      <c r="E54" s="25"/>
      <c r="F54" s="25"/>
      <c r="G54" s="25"/>
      <c r="H54" s="25"/>
      <c r="I54" s="27">
        <f>I26+I35+I44+I52</f>
        <v>72208.23000000001</v>
      </c>
      <c r="J54" s="25"/>
      <c r="K54" s="27">
        <f>K26+K35+K44+K52</f>
        <v>84950.858823529401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8A745"/>
  </sheetPr>
  <dimension ref="A3:K54"/>
  <sheetViews>
    <sheetView workbookViewId="0"/>
  </sheetViews>
  <sheetFormatPr defaultRowHeight="14.5" x14ac:dyDescent="0.3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5" x14ac:dyDescent="0.35">
      <c r="A3" s="58" t="s">
        <v>131</v>
      </c>
    </row>
    <row r="4" spans="1:5" x14ac:dyDescent="0.35">
      <c r="A4" s="12" t="s">
        <v>10</v>
      </c>
    </row>
    <row r="5" spans="1:5" x14ac:dyDescent="0.35">
      <c r="A5" s="12" t="s">
        <v>132</v>
      </c>
    </row>
    <row r="7" spans="1:5" x14ac:dyDescent="0.35">
      <c r="C7" s="23" t="s">
        <v>133</v>
      </c>
    </row>
    <row r="8" spans="1:5" x14ac:dyDescent="0.35">
      <c r="C8" t="s">
        <v>134</v>
      </c>
      <c r="D8" s="18">
        <v>0.15</v>
      </c>
    </row>
    <row r="9" spans="1:5" x14ac:dyDescent="0.35">
      <c r="C9" t="s">
        <v>135</v>
      </c>
      <c r="D9" s="18">
        <v>0.15</v>
      </c>
    </row>
    <row r="10" spans="1:5" x14ac:dyDescent="0.35">
      <c r="C10" t="s">
        <v>110</v>
      </c>
      <c r="D10" s="18">
        <v>0.15</v>
      </c>
    </row>
    <row r="11" spans="1:5" x14ac:dyDescent="0.35">
      <c r="C11" t="s">
        <v>136</v>
      </c>
      <c r="D11" s="18">
        <v>0.15</v>
      </c>
    </row>
    <row r="15" spans="1:5" ht="15.5" x14ac:dyDescent="0.35">
      <c r="B15" s="59" t="s">
        <v>179</v>
      </c>
    </row>
    <row r="16" spans="1:5" x14ac:dyDescent="0.35">
      <c r="B16" s="2" t="s">
        <v>138</v>
      </c>
      <c r="C16" s="2" t="s">
        <v>139</v>
      </c>
      <c r="D16" s="2" t="s">
        <v>140</v>
      </c>
      <c r="E16" s="2" t="s">
        <v>141</v>
      </c>
    </row>
    <row r="17" spans="1:11" x14ac:dyDescent="0.35">
      <c r="B17" s="45">
        <v>7.87</v>
      </c>
      <c r="C17" s="45">
        <v>8.66</v>
      </c>
      <c r="D17" s="60">
        <v>613.39</v>
      </c>
      <c r="E17">
        <v>9</v>
      </c>
    </row>
    <row r="19" spans="1:11" ht="16" customHeight="1" x14ac:dyDescent="0.35">
      <c r="A19" s="22" t="s">
        <v>38</v>
      </c>
      <c r="B19" s="22" t="s">
        <v>142</v>
      </c>
      <c r="C19" s="22" t="s">
        <v>143</v>
      </c>
      <c r="D19" s="22" t="s">
        <v>144</v>
      </c>
      <c r="E19" s="22" t="s">
        <v>145</v>
      </c>
      <c r="F19" s="22" t="s">
        <v>146</v>
      </c>
      <c r="G19" s="22" t="s">
        <v>147</v>
      </c>
      <c r="H19" s="22" t="s">
        <v>38</v>
      </c>
      <c r="I19" s="22" t="s">
        <v>32</v>
      </c>
      <c r="J19" s="22" t="s">
        <v>134</v>
      </c>
      <c r="K19" s="22" t="s">
        <v>41</v>
      </c>
    </row>
    <row r="20" spans="1:11" x14ac:dyDescent="0.35">
      <c r="A20" s="30"/>
      <c r="B20" s="30" t="s">
        <v>148</v>
      </c>
      <c r="C20" s="61">
        <v>0</v>
      </c>
      <c r="D20" s="61">
        <v>0</v>
      </c>
      <c r="E20" s="61">
        <v>0</v>
      </c>
      <c r="F20" s="31">
        <v>0</v>
      </c>
      <c r="G20" s="61">
        <v>0</v>
      </c>
      <c r="H20" s="30"/>
      <c r="I20" s="31">
        <f t="shared" ref="I20:I25" si="0">SUM(C20:G20)</f>
        <v>0</v>
      </c>
      <c r="J20" s="32">
        <f t="shared" ref="J20:J25" si="1">$D$8</f>
        <v>0.15</v>
      </c>
      <c r="K20" s="31">
        <f t="shared" ref="K20:K25" si="2">I20/(1-J20)</f>
        <v>0</v>
      </c>
    </row>
    <row r="21" spans="1:11" x14ac:dyDescent="0.35">
      <c r="B21" t="s">
        <v>149</v>
      </c>
      <c r="C21" s="62">
        <v>0</v>
      </c>
      <c r="D21" s="62">
        <v>0</v>
      </c>
      <c r="E21" s="62">
        <v>0</v>
      </c>
      <c r="F21" s="17">
        <v>0</v>
      </c>
      <c r="G21" s="62">
        <v>0</v>
      </c>
      <c r="I21" s="17">
        <f t="shared" si="0"/>
        <v>0</v>
      </c>
      <c r="J21" s="24">
        <f t="shared" si="1"/>
        <v>0.15</v>
      </c>
      <c r="K21" s="17">
        <f t="shared" si="2"/>
        <v>0</v>
      </c>
    </row>
    <row r="22" spans="1:11" x14ac:dyDescent="0.35">
      <c r="A22" s="30"/>
      <c r="B22" s="30" t="s">
        <v>150</v>
      </c>
      <c r="C22" s="61">
        <v>11238.75</v>
      </c>
      <c r="D22" s="61">
        <v>0</v>
      </c>
      <c r="E22" s="61">
        <v>0</v>
      </c>
      <c r="F22" s="31">
        <v>0</v>
      </c>
      <c r="G22" s="61">
        <v>0</v>
      </c>
      <c r="H22" s="30"/>
      <c r="I22" s="31">
        <f t="shared" si="0"/>
        <v>11238.75</v>
      </c>
      <c r="J22" s="32">
        <f t="shared" si="1"/>
        <v>0.15</v>
      </c>
      <c r="K22" s="31">
        <f t="shared" si="2"/>
        <v>13222.058823529413</v>
      </c>
    </row>
    <row r="23" spans="1:11" x14ac:dyDescent="0.35">
      <c r="B23" t="s">
        <v>151</v>
      </c>
      <c r="C23" s="62">
        <v>0</v>
      </c>
      <c r="D23" s="62">
        <v>0</v>
      </c>
      <c r="E23" s="62">
        <v>0</v>
      </c>
      <c r="F23" s="17">
        <v>0</v>
      </c>
      <c r="G23" s="62">
        <v>0</v>
      </c>
      <c r="I23" s="17">
        <f t="shared" si="0"/>
        <v>0</v>
      </c>
      <c r="J23" s="24">
        <f t="shared" si="1"/>
        <v>0.15</v>
      </c>
      <c r="K23" s="17">
        <f t="shared" si="2"/>
        <v>0</v>
      </c>
    </row>
    <row r="24" spans="1:11" x14ac:dyDescent="0.35">
      <c r="A24" s="30"/>
      <c r="B24" s="30" t="s">
        <v>152</v>
      </c>
      <c r="C24" s="61">
        <v>0</v>
      </c>
      <c r="D24" s="61">
        <v>0</v>
      </c>
      <c r="E24" s="61">
        <v>0</v>
      </c>
      <c r="F24" s="31">
        <v>0</v>
      </c>
      <c r="G24" s="61">
        <v>0</v>
      </c>
      <c r="H24" s="30"/>
      <c r="I24" s="31">
        <f t="shared" si="0"/>
        <v>0</v>
      </c>
      <c r="J24" s="32">
        <f t="shared" si="1"/>
        <v>0.15</v>
      </c>
      <c r="K24" s="31">
        <f t="shared" si="2"/>
        <v>0</v>
      </c>
    </row>
    <row r="25" spans="1:11" x14ac:dyDescent="0.35">
      <c r="B25" t="s">
        <v>152</v>
      </c>
      <c r="C25" s="62">
        <v>0</v>
      </c>
      <c r="D25" s="62">
        <v>0</v>
      </c>
      <c r="E25" s="62">
        <v>0</v>
      </c>
      <c r="F25" s="17">
        <v>0</v>
      </c>
      <c r="G25" s="62">
        <v>0</v>
      </c>
      <c r="I25" s="17">
        <f t="shared" si="0"/>
        <v>0</v>
      </c>
      <c r="J25" s="24">
        <f t="shared" si="1"/>
        <v>0.15</v>
      </c>
      <c r="K25" s="17">
        <f t="shared" si="2"/>
        <v>0</v>
      </c>
    </row>
    <row r="26" spans="1:11" x14ac:dyDescent="0.35">
      <c r="A26" s="63"/>
      <c r="B26" s="63" t="s">
        <v>85</v>
      </c>
      <c r="C26" s="63"/>
      <c r="D26" s="63"/>
      <c r="E26" s="63"/>
      <c r="F26" s="63"/>
      <c r="G26" s="63"/>
      <c r="H26" s="63"/>
      <c r="I26" s="64">
        <f>SUM(I20:I25)</f>
        <v>11238.75</v>
      </c>
      <c r="J26" s="63"/>
      <c r="K26" s="64">
        <f>SUM(K20:K25)</f>
        <v>13222.058823529413</v>
      </c>
    </row>
    <row r="28" spans="1:11" ht="16" customHeight="1" x14ac:dyDescent="0.35">
      <c r="A28" s="22" t="s">
        <v>38</v>
      </c>
      <c r="B28" s="22" t="s">
        <v>153</v>
      </c>
      <c r="C28" s="22" t="s">
        <v>143</v>
      </c>
      <c r="D28" s="22" t="s">
        <v>144</v>
      </c>
      <c r="E28" s="22" t="s">
        <v>145</v>
      </c>
      <c r="F28" s="22" t="s">
        <v>146</v>
      </c>
      <c r="G28" s="22" t="s">
        <v>147</v>
      </c>
      <c r="H28" s="22" t="s">
        <v>38</v>
      </c>
      <c r="I28" s="22" t="s">
        <v>32</v>
      </c>
      <c r="J28" s="22" t="s">
        <v>134</v>
      </c>
      <c r="K28" s="22" t="s">
        <v>41</v>
      </c>
    </row>
    <row r="29" spans="1:11" x14ac:dyDescent="0.35">
      <c r="A29" s="30"/>
      <c r="B29" s="30" t="s">
        <v>154</v>
      </c>
      <c r="C29" s="61">
        <v>0</v>
      </c>
      <c r="D29" s="61">
        <v>0</v>
      </c>
      <c r="E29" s="61">
        <v>0</v>
      </c>
      <c r="F29" s="31">
        <v>0</v>
      </c>
      <c r="G29" s="61">
        <v>0</v>
      </c>
      <c r="H29" s="30"/>
      <c r="I29" s="31">
        <f t="shared" ref="I29:I34" si="3">SUM(C29:G29)</f>
        <v>0</v>
      </c>
      <c r="J29" s="32">
        <f t="shared" ref="J29:J34" si="4">$D$8</f>
        <v>0.15</v>
      </c>
      <c r="K29" s="31">
        <f t="shared" ref="K29:K34" si="5">I29/(1-J29)</f>
        <v>0</v>
      </c>
    </row>
    <row r="30" spans="1:11" x14ac:dyDescent="0.35">
      <c r="B30" t="s">
        <v>155</v>
      </c>
      <c r="C30" s="62">
        <v>0</v>
      </c>
      <c r="D30" s="62">
        <v>0</v>
      </c>
      <c r="E30" s="62">
        <v>0</v>
      </c>
      <c r="F30" s="17">
        <v>0</v>
      </c>
      <c r="G30" s="62">
        <v>0</v>
      </c>
      <c r="I30" s="17">
        <f t="shared" si="3"/>
        <v>0</v>
      </c>
      <c r="J30" s="24">
        <f t="shared" si="4"/>
        <v>0.15</v>
      </c>
      <c r="K30" s="17">
        <f t="shared" si="5"/>
        <v>0</v>
      </c>
    </row>
    <row r="31" spans="1:11" x14ac:dyDescent="0.35">
      <c r="A31" s="30"/>
      <c r="B31" s="30" t="s">
        <v>156</v>
      </c>
      <c r="C31" s="61">
        <v>46828.13</v>
      </c>
      <c r="D31" s="61">
        <v>0</v>
      </c>
      <c r="E31" s="61">
        <v>0</v>
      </c>
      <c r="F31" s="31">
        <v>0</v>
      </c>
      <c r="G31" s="61">
        <v>0</v>
      </c>
      <c r="H31" s="30"/>
      <c r="I31" s="31">
        <f t="shared" si="3"/>
        <v>46828.13</v>
      </c>
      <c r="J31" s="32">
        <f t="shared" si="4"/>
        <v>0.15</v>
      </c>
      <c r="K31" s="31">
        <f t="shared" si="5"/>
        <v>55091.917647058821</v>
      </c>
    </row>
    <row r="32" spans="1:11" x14ac:dyDescent="0.35">
      <c r="B32" t="s">
        <v>157</v>
      </c>
      <c r="C32" s="62">
        <v>0</v>
      </c>
      <c r="D32" s="62">
        <v>0</v>
      </c>
      <c r="E32" s="62">
        <v>0</v>
      </c>
      <c r="F32" s="17">
        <v>0</v>
      </c>
      <c r="G32" s="62">
        <v>0</v>
      </c>
      <c r="I32" s="17">
        <f t="shared" si="3"/>
        <v>0</v>
      </c>
      <c r="J32" s="24">
        <f t="shared" si="4"/>
        <v>0.15</v>
      </c>
      <c r="K32" s="17">
        <f t="shared" si="5"/>
        <v>0</v>
      </c>
    </row>
    <row r="33" spans="1:11" x14ac:dyDescent="0.35">
      <c r="A33" s="30"/>
      <c r="B33" s="30" t="s">
        <v>158</v>
      </c>
      <c r="C33" s="61">
        <v>0</v>
      </c>
      <c r="D33" s="61">
        <v>0</v>
      </c>
      <c r="E33" s="61">
        <v>0</v>
      </c>
      <c r="F33" s="31">
        <v>0</v>
      </c>
      <c r="G33" s="61">
        <v>0</v>
      </c>
      <c r="H33" s="30"/>
      <c r="I33" s="31">
        <f t="shared" si="3"/>
        <v>0</v>
      </c>
      <c r="J33" s="32">
        <f t="shared" si="4"/>
        <v>0.15</v>
      </c>
      <c r="K33" s="31">
        <f t="shared" si="5"/>
        <v>0</v>
      </c>
    </row>
    <row r="34" spans="1:11" x14ac:dyDescent="0.35">
      <c r="B34" t="s">
        <v>159</v>
      </c>
      <c r="C34" s="62">
        <v>20882.349999999999</v>
      </c>
      <c r="D34" s="62">
        <v>0</v>
      </c>
      <c r="E34" s="62">
        <v>0</v>
      </c>
      <c r="F34" s="17">
        <v>0</v>
      </c>
      <c r="G34" s="62">
        <v>0</v>
      </c>
      <c r="I34" s="17">
        <f t="shared" si="3"/>
        <v>20882.349999999999</v>
      </c>
      <c r="J34" s="24">
        <f t="shared" si="4"/>
        <v>0.15</v>
      </c>
      <c r="K34" s="17">
        <f t="shared" si="5"/>
        <v>24567.470588235294</v>
      </c>
    </row>
    <row r="35" spans="1:11" x14ac:dyDescent="0.35">
      <c r="A35" s="63"/>
      <c r="B35" s="63" t="s">
        <v>85</v>
      </c>
      <c r="C35" s="63"/>
      <c r="D35" s="63"/>
      <c r="E35" s="63"/>
      <c r="F35" s="63"/>
      <c r="G35" s="63"/>
      <c r="H35" s="63"/>
      <c r="I35" s="64">
        <f>SUM(I29:I34)</f>
        <v>67710.48</v>
      </c>
      <c r="J35" s="63"/>
      <c r="K35" s="64">
        <f>SUM(K29:K34)</f>
        <v>79659.388235294115</v>
      </c>
    </row>
    <row r="37" spans="1:11" ht="16" customHeight="1" x14ac:dyDescent="0.35">
      <c r="A37" s="22" t="s">
        <v>38</v>
      </c>
      <c r="B37" s="22" t="s">
        <v>160</v>
      </c>
      <c r="C37" s="22" t="s">
        <v>143</v>
      </c>
      <c r="D37" s="22" t="s">
        <v>144</v>
      </c>
      <c r="E37" s="22" t="s">
        <v>145</v>
      </c>
      <c r="F37" s="22" t="s">
        <v>146</v>
      </c>
      <c r="G37" s="22" t="s">
        <v>147</v>
      </c>
      <c r="H37" s="22" t="s">
        <v>38</v>
      </c>
      <c r="I37" s="22" t="s">
        <v>32</v>
      </c>
      <c r="J37" s="22" t="s">
        <v>134</v>
      </c>
      <c r="K37" s="22" t="s">
        <v>41</v>
      </c>
    </row>
    <row r="38" spans="1:11" x14ac:dyDescent="0.35">
      <c r="A38" s="30"/>
      <c r="B38" s="30" t="s">
        <v>161</v>
      </c>
      <c r="C38" s="61">
        <v>46828.13</v>
      </c>
      <c r="D38" s="61">
        <v>0</v>
      </c>
      <c r="E38" s="61">
        <v>0</v>
      </c>
      <c r="F38" s="31">
        <v>0</v>
      </c>
      <c r="G38" s="61">
        <v>0</v>
      </c>
      <c r="H38" s="30"/>
      <c r="I38" s="31">
        <f t="shared" ref="I38:I43" si="6">SUM(C38:G38)</f>
        <v>46828.13</v>
      </c>
      <c r="J38" s="32">
        <f t="shared" ref="J38:J43" si="7">$D$9</f>
        <v>0.15</v>
      </c>
      <c r="K38" s="31">
        <f t="shared" ref="K38:K43" si="8">I38/(1-J38)</f>
        <v>55091.917647058821</v>
      </c>
    </row>
    <row r="39" spans="1:11" x14ac:dyDescent="0.35">
      <c r="B39" t="s">
        <v>162</v>
      </c>
      <c r="C39" s="62">
        <v>0</v>
      </c>
      <c r="D39" s="62">
        <v>0</v>
      </c>
      <c r="E39" s="62">
        <v>0</v>
      </c>
      <c r="F39" s="17">
        <v>0</v>
      </c>
      <c r="G39" s="62">
        <v>0</v>
      </c>
      <c r="I39" s="17">
        <f t="shared" si="6"/>
        <v>0</v>
      </c>
      <c r="J39" s="24">
        <f t="shared" si="7"/>
        <v>0.15</v>
      </c>
      <c r="K39" s="17">
        <f t="shared" si="8"/>
        <v>0</v>
      </c>
    </row>
    <row r="40" spans="1:11" x14ac:dyDescent="0.35">
      <c r="A40" s="30"/>
      <c r="B40" s="30" t="s">
        <v>163</v>
      </c>
      <c r="C40" s="61">
        <v>0</v>
      </c>
      <c r="D40" s="61">
        <v>0</v>
      </c>
      <c r="E40" s="61">
        <v>0</v>
      </c>
      <c r="F40" s="31">
        <v>0</v>
      </c>
      <c r="G40" s="61">
        <v>0</v>
      </c>
      <c r="H40" s="30"/>
      <c r="I40" s="31">
        <f t="shared" si="6"/>
        <v>0</v>
      </c>
      <c r="J40" s="32">
        <f t="shared" si="7"/>
        <v>0.15</v>
      </c>
      <c r="K40" s="31">
        <f t="shared" si="8"/>
        <v>0</v>
      </c>
    </row>
    <row r="41" spans="1:11" x14ac:dyDescent="0.35">
      <c r="B41" t="s">
        <v>164</v>
      </c>
      <c r="C41" s="62">
        <v>0</v>
      </c>
      <c r="D41" s="62">
        <v>0</v>
      </c>
      <c r="E41" s="62">
        <v>0</v>
      </c>
      <c r="F41" s="17">
        <v>0</v>
      </c>
      <c r="G41" s="62">
        <v>0</v>
      </c>
      <c r="I41" s="17">
        <f t="shared" si="6"/>
        <v>0</v>
      </c>
      <c r="J41" s="24">
        <f t="shared" si="7"/>
        <v>0.15</v>
      </c>
      <c r="K41" s="17">
        <f t="shared" si="8"/>
        <v>0</v>
      </c>
    </row>
    <row r="42" spans="1:11" x14ac:dyDescent="0.35">
      <c r="A42" s="30"/>
      <c r="B42" s="30" t="s">
        <v>165</v>
      </c>
      <c r="C42" s="61">
        <v>0</v>
      </c>
      <c r="D42" s="61">
        <v>0</v>
      </c>
      <c r="E42" s="61">
        <v>0</v>
      </c>
      <c r="F42" s="31">
        <v>0</v>
      </c>
      <c r="G42" s="61">
        <v>0</v>
      </c>
      <c r="H42" s="30"/>
      <c r="I42" s="31">
        <f t="shared" si="6"/>
        <v>0</v>
      </c>
      <c r="J42" s="32">
        <f t="shared" si="7"/>
        <v>0.15</v>
      </c>
      <c r="K42" s="31">
        <f t="shared" si="8"/>
        <v>0</v>
      </c>
    </row>
    <row r="43" spans="1:11" x14ac:dyDescent="0.35">
      <c r="B43" t="s">
        <v>166</v>
      </c>
      <c r="C43" s="62">
        <v>0</v>
      </c>
      <c r="D43" s="62">
        <v>0</v>
      </c>
      <c r="E43" s="62">
        <v>0</v>
      </c>
      <c r="F43" s="17">
        <v>0</v>
      </c>
      <c r="G43" s="62">
        <v>0</v>
      </c>
      <c r="I43" s="17">
        <f t="shared" si="6"/>
        <v>0</v>
      </c>
      <c r="J43" s="24">
        <f t="shared" si="7"/>
        <v>0.15</v>
      </c>
      <c r="K43" s="17">
        <f t="shared" si="8"/>
        <v>0</v>
      </c>
    </row>
    <row r="44" spans="1:11" x14ac:dyDescent="0.35">
      <c r="A44" s="63"/>
      <c r="B44" s="63" t="s">
        <v>85</v>
      </c>
      <c r="C44" s="63"/>
      <c r="D44" s="63"/>
      <c r="E44" s="63"/>
      <c r="F44" s="63"/>
      <c r="G44" s="63"/>
      <c r="H44" s="63"/>
      <c r="I44" s="64">
        <f>SUM(I38:I43)</f>
        <v>46828.13</v>
      </c>
      <c r="J44" s="63"/>
      <c r="K44" s="64">
        <f>SUM(K38:K43)</f>
        <v>55091.917647058821</v>
      </c>
    </row>
    <row r="46" spans="1:11" ht="16" customHeight="1" x14ac:dyDescent="0.35">
      <c r="A46" s="22" t="s">
        <v>38</v>
      </c>
      <c r="B46" s="22" t="s">
        <v>167</v>
      </c>
      <c r="C46" s="22" t="s">
        <v>143</v>
      </c>
      <c r="D46" s="22" t="s">
        <v>144</v>
      </c>
      <c r="E46" s="22" t="s">
        <v>145</v>
      </c>
      <c r="F46" s="22" t="s">
        <v>146</v>
      </c>
      <c r="G46" s="22" t="s">
        <v>147</v>
      </c>
      <c r="H46" s="22" t="s">
        <v>38</v>
      </c>
      <c r="I46" s="22" t="s">
        <v>32</v>
      </c>
      <c r="J46" s="22" t="s">
        <v>134</v>
      </c>
      <c r="K46" s="22" t="s">
        <v>41</v>
      </c>
    </row>
    <row r="47" spans="1:11" x14ac:dyDescent="0.35">
      <c r="A47" s="30"/>
      <c r="B47" s="30" t="s">
        <v>168</v>
      </c>
      <c r="C47" s="61">
        <v>4705.88</v>
      </c>
      <c r="D47" s="61">
        <v>0</v>
      </c>
      <c r="E47" s="61">
        <v>0</v>
      </c>
      <c r="F47" s="31">
        <v>0</v>
      </c>
      <c r="G47" s="61">
        <v>0</v>
      </c>
      <c r="H47" s="30"/>
      <c r="I47" s="31">
        <f>SUM(C47:G47)</f>
        <v>4705.88</v>
      </c>
      <c r="J47" s="32">
        <f>$D$11</f>
        <v>0.15</v>
      </c>
      <c r="K47" s="31">
        <f>I47/(1-J47)</f>
        <v>5536.3294117647065</v>
      </c>
    </row>
    <row r="48" spans="1:11" x14ac:dyDescent="0.35">
      <c r="B48" t="s">
        <v>169</v>
      </c>
      <c r="C48" s="62">
        <v>0</v>
      </c>
      <c r="D48" s="62">
        <v>0</v>
      </c>
      <c r="E48" s="62">
        <v>0</v>
      </c>
      <c r="F48" s="17">
        <v>0</v>
      </c>
      <c r="G48" s="62">
        <v>0</v>
      </c>
      <c r="I48" s="17">
        <f>SUM(C48:G48)</f>
        <v>0</v>
      </c>
      <c r="J48" s="24">
        <f>$D$11</f>
        <v>0.15</v>
      </c>
      <c r="K48" s="17">
        <f>I48/(1-J48)</f>
        <v>0</v>
      </c>
    </row>
    <row r="49" spans="1:11" x14ac:dyDescent="0.35">
      <c r="A49" s="30"/>
      <c r="B49" s="30" t="s">
        <v>170</v>
      </c>
      <c r="C49" s="61">
        <v>0</v>
      </c>
      <c r="D49" s="61">
        <v>0</v>
      </c>
      <c r="E49" s="61">
        <v>0</v>
      </c>
      <c r="F49" s="31">
        <v>0</v>
      </c>
      <c r="G49" s="61">
        <v>0</v>
      </c>
      <c r="H49" s="30"/>
      <c r="I49" s="31">
        <f>SUM(C49:G49)</f>
        <v>0</v>
      </c>
      <c r="J49" s="32">
        <f>$D$11</f>
        <v>0.15</v>
      </c>
      <c r="K49" s="31">
        <f>I49/(1-J49)</f>
        <v>0</v>
      </c>
    </row>
    <row r="50" spans="1:11" x14ac:dyDescent="0.35">
      <c r="B50" t="s">
        <v>171</v>
      </c>
      <c r="C50" s="62">
        <v>0</v>
      </c>
      <c r="D50" s="62">
        <v>0</v>
      </c>
      <c r="E50" s="62">
        <v>0</v>
      </c>
      <c r="F50" s="17">
        <v>0</v>
      </c>
      <c r="G50" s="62">
        <v>0</v>
      </c>
      <c r="I50" s="17">
        <f>SUM(C50:G50)</f>
        <v>0</v>
      </c>
      <c r="J50" s="24">
        <f>$D$11</f>
        <v>0.15</v>
      </c>
      <c r="K50" s="17">
        <f>I50/(1-J50)</f>
        <v>0</v>
      </c>
    </row>
    <row r="51" spans="1:11" x14ac:dyDescent="0.35">
      <c r="A51" s="30"/>
      <c r="B51" s="30" t="s">
        <v>172</v>
      </c>
      <c r="C51" s="61">
        <v>0</v>
      </c>
      <c r="D51" s="61">
        <v>0</v>
      </c>
      <c r="E51" s="61">
        <v>0</v>
      </c>
      <c r="F51" s="31">
        <v>0</v>
      </c>
      <c r="G51" s="61">
        <v>0</v>
      </c>
      <c r="H51" s="30"/>
      <c r="I51" s="31">
        <f>SUM(C51:G51)</f>
        <v>0</v>
      </c>
      <c r="J51" s="32">
        <f>$D$11</f>
        <v>0.15</v>
      </c>
      <c r="K51" s="31">
        <f>I51/(1-J51)</f>
        <v>0</v>
      </c>
    </row>
    <row r="52" spans="1:11" x14ac:dyDescent="0.35">
      <c r="A52" s="63"/>
      <c r="B52" s="63" t="s">
        <v>85</v>
      </c>
      <c r="C52" s="63"/>
      <c r="D52" s="63"/>
      <c r="E52" s="63"/>
      <c r="F52" s="63"/>
      <c r="G52" s="63"/>
      <c r="H52" s="63"/>
      <c r="I52" s="64">
        <f>SUM(I47:I51)</f>
        <v>4705.88</v>
      </c>
      <c r="J52" s="63"/>
      <c r="K52" s="64">
        <f>SUM(K47:K51)</f>
        <v>5536.3294117647065</v>
      </c>
    </row>
    <row r="54" spans="1:11" ht="15.5" x14ac:dyDescent="0.35">
      <c r="A54" s="25"/>
      <c r="B54" s="26" t="s">
        <v>173</v>
      </c>
      <c r="C54" s="25"/>
      <c r="D54" s="25"/>
      <c r="E54" s="25"/>
      <c r="F54" s="25"/>
      <c r="G54" s="25"/>
      <c r="H54" s="25"/>
      <c r="I54" s="27">
        <f>I26+I35+I44+I52</f>
        <v>130483.23999999999</v>
      </c>
      <c r="J54" s="25"/>
      <c r="K54" s="27">
        <f>K26+K35+K44+K52</f>
        <v>153509.69411764707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8A745"/>
  </sheetPr>
  <dimension ref="A3:K54"/>
  <sheetViews>
    <sheetView workbookViewId="0"/>
  </sheetViews>
  <sheetFormatPr defaultRowHeight="14.5" x14ac:dyDescent="0.3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5" x14ac:dyDescent="0.35">
      <c r="A3" s="58" t="s">
        <v>131</v>
      </c>
    </row>
    <row r="4" spans="1:5" x14ac:dyDescent="0.35">
      <c r="A4" s="12" t="s">
        <v>10</v>
      </c>
    </row>
    <row r="5" spans="1:5" x14ac:dyDescent="0.35">
      <c r="A5" s="12" t="s">
        <v>132</v>
      </c>
    </row>
    <row r="7" spans="1:5" x14ac:dyDescent="0.35">
      <c r="C7" s="23" t="s">
        <v>133</v>
      </c>
    </row>
    <row r="8" spans="1:5" x14ac:dyDescent="0.35">
      <c r="C8" t="s">
        <v>134</v>
      </c>
      <c r="D8" s="18">
        <v>0.15</v>
      </c>
    </row>
    <row r="9" spans="1:5" x14ac:dyDescent="0.35">
      <c r="C9" t="s">
        <v>135</v>
      </c>
      <c r="D9" s="18">
        <v>0.15</v>
      </c>
    </row>
    <row r="10" spans="1:5" x14ac:dyDescent="0.35">
      <c r="C10" t="s">
        <v>110</v>
      </c>
      <c r="D10" s="18">
        <v>0.15</v>
      </c>
    </row>
    <row r="11" spans="1:5" x14ac:dyDescent="0.35">
      <c r="C11" t="s">
        <v>136</v>
      </c>
      <c r="D11" s="18">
        <v>0.15</v>
      </c>
    </row>
    <row r="15" spans="1:5" ht="15.5" x14ac:dyDescent="0.35">
      <c r="B15" s="59" t="s">
        <v>180</v>
      </c>
    </row>
    <row r="16" spans="1:5" x14ac:dyDescent="0.35">
      <c r="B16" s="2" t="s">
        <v>138</v>
      </c>
      <c r="C16" s="2" t="s">
        <v>139</v>
      </c>
      <c r="D16" s="2" t="s">
        <v>140</v>
      </c>
      <c r="E16" s="2" t="s">
        <v>141</v>
      </c>
    </row>
    <row r="17" spans="1:11" x14ac:dyDescent="0.35">
      <c r="B17" s="45">
        <v>71.599999999999994</v>
      </c>
      <c r="C17" s="45">
        <v>5.5</v>
      </c>
      <c r="D17" s="60">
        <v>393.8</v>
      </c>
      <c r="E17">
        <v>1</v>
      </c>
    </row>
    <row r="19" spans="1:11" ht="16" customHeight="1" x14ac:dyDescent="0.35">
      <c r="A19" s="22" t="s">
        <v>38</v>
      </c>
      <c r="B19" s="22" t="s">
        <v>142</v>
      </c>
      <c r="C19" s="22" t="s">
        <v>143</v>
      </c>
      <c r="D19" s="22" t="s">
        <v>144</v>
      </c>
      <c r="E19" s="22" t="s">
        <v>145</v>
      </c>
      <c r="F19" s="22" t="s">
        <v>146</v>
      </c>
      <c r="G19" s="22" t="s">
        <v>147</v>
      </c>
      <c r="H19" s="22" t="s">
        <v>38</v>
      </c>
      <c r="I19" s="22" t="s">
        <v>32</v>
      </c>
      <c r="J19" s="22" t="s">
        <v>134</v>
      </c>
      <c r="K19" s="22" t="s">
        <v>41</v>
      </c>
    </row>
    <row r="20" spans="1:11" x14ac:dyDescent="0.35">
      <c r="A20" s="30"/>
      <c r="B20" s="30" t="s">
        <v>148</v>
      </c>
      <c r="C20" s="61">
        <v>0</v>
      </c>
      <c r="D20" s="61">
        <v>0</v>
      </c>
      <c r="E20" s="61">
        <v>0</v>
      </c>
      <c r="F20" s="31">
        <v>0</v>
      </c>
      <c r="G20" s="61">
        <v>0</v>
      </c>
      <c r="H20" s="30"/>
      <c r="I20" s="31">
        <f t="shared" ref="I20:I25" si="0">SUM(C20:G20)</f>
        <v>0</v>
      </c>
      <c r="J20" s="32">
        <f t="shared" ref="J20:J25" si="1">$D$8</f>
        <v>0.15</v>
      </c>
      <c r="K20" s="31">
        <f t="shared" ref="K20:K25" si="2">I20/(1-J20)</f>
        <v>0</v>
      </c>
    </row>
    <row r="21" spans="1:11" x14ac:dyDescent="0.35">
      <c r="B21" t="s">
        <v>149</v>
      </c>
      <c r="C21" s="62">
        <v>0</v>
      </c>
      <c r="D21" s="62">
        <v>0</v>
      </c>
      <c r="E21" s="62">
        <v>0</v>
      </c>
      <c r="F21" s="17">
        <v>0</v>
      </c>
      <c r="G21" s="62">
        <v>0</v>
      </c>
      <c r="I21" s="17">
        <f t="shared" si="0"/>
        <v>0</v>
      </c>
      <c r="J21" s="24">
        <f t="shared" si="1"/>
        <v>0.15</v>
      </c>
      <c r="K21" s="17">
        <f t="shared" si="2"/>
        <v>0</v>
      </c>
    </row>
    <row r="22" spans="1:11" x14ac:dyDescent="0.35">
      <c r="A22" s="30"/>
      <c r="B22" s="30" t="s">
        <v>150</v>
      </c>
      <c r="C22" s="61">
        <v>7222.5</v>
      </c>
      <c r="D22" s="61">
        <v>0</v>
      </c>
      <c r="E22" s="61">
        <v>0</v>
      </c>
      <c r="F22" s="31">
        <v>0</v>
      </c>
      <c r="G22" s="61">
        <v>0</v>
      </c>
      <c r="H22" s="30"/>
      <c r="I22" s="31">
        <f t="shared" si="0"/>
        <v>7222.5</v>
      </c>
      <c r="J22" s="32">
        <f t="shared" si="1"/>
        <v>0.15</v>
      </c>
      <c r="K22" s="31">
        <f t="shared" si="2"/>
        <v>8497.0588235294126</v>
      </c>
    </row>
    <row r="23" spans="1:11" x14ac:dyDescent="0.35">
      <c r="B23" t="s">
        <v>151</v>
      </c>
      <c r="C23" s="62">
        <v>0</v>
      </c>
      <c r="D23" s="62">
        <v>0</v>
      </c>
      <c r="E23" s="62">
        <v>0</v>
      </c>
      <c r="F23" s="17">
        <v>0</v>
      </c>
      <c r="G23" s="62">
        <v>0</v>
      </c>
      <c r="I23" s="17">
        <f t="shared" si="0"/>
        <v>0</v>
      </c>
      <c r="J23" s="24">
        <f t="shared" si="1"/>
        <v>0.15</v>
      </c>
      <c r="K23" s="17">
        <f t="shared" si="2"/>
        <v>0</v>
      </c>
    </row>
    <row r="24" spans="1:11" x14ac:dyDescent="0.35">
      <c r="A24" s="30"/>
      <c r="B24" s="30" t="s">
        <v>152</v>
      </c>
      <c r="C24" s="61">
        <v>0</v>
      </c>
      <c r="D24" s="61">
        <v>0</v>
      </c>
      <c r="E24" s="61">
        <v>0</v>
      </c>
      <c r="F24" s="31">
        <v>0</v>
      </c>
      <c r="G24" s="61">
        <v>0</v>
      </c>
      <c r="H24" s="30"/>
      <c r="I24" s="31">
        <f t="shared" si="0"/>
        <v>0</v>
      </c>
      <c r="J24" s="32">
        <f t="shared" si="1"/>
        <v>0.15</v>
      </c>
      <c r="K24" s="31">
        <f t="shared" si="2"/>
        <v>0</v>
      </c>
    </row>
    <row r="25" spans="1:11" x14ac:dyDescent="0.35">
      <c r="B25" t="s">
        <v>152</v>
      </c>
      <c r="C25" s="62">
        <v>0</v>
      </c>
      <c r="D25" s="62">
        <v>0</v>
      </c>
      <c r="E25" s="62">
        <v>0</v>
      </c>
      <c r="F25" s="17">
        <v>0</v>
      </c>
      <c r="G25" s="62">
        <v>0</v>
      </c>
      <c r="I25" s="17">
        <f t="shared" si="0"/>
        <v>0</v>
      </c>
      <c r="J25" s="24">
        <f t="shared" si="1"/>
        <v>0.15</v>
      </c>
      <c r="K25" s="17">
        <f t="shared" si="2"/>
        <v>0</v>
      </c>
    </row>
    <row r="26" spans="1:11" x14ac:dyDescent="0.35">
      <c r="A26" s="63"/>
      <c r="B26" s="63" t="s">
        <v>85</v>
      </c>
      <c r="C26" s="63"/>
      <c r="D26" s="63"/>
      <c r="E26" s="63"/>
      <c r="F26" s="63"/>
      <c r="G26" s="63"/>
      <c r="H26" s="63"/>
      <c r="I26" s="64">
        <f>SUM(I20:I25)</f>
        <v>7222.5</v>
      </c>
      <c r="J26" s="63"/>
      <c r="K26" s="64">
        <f>SUM(K20:K25)</f>
        <v>8497.0588235294126</v>
      </c>
    </row>
    <row r="28" spans="1:11" ht="16" customHeight="1" x14ac:dyDescent="0.35">
      <c r="A28" s="22" t="s">
        <v>38</v>
      </c>
      <c r="B28" s="22" t="s">
        <v>153</v>
      </c>
      <c r="C28" s="22" t="s">
        <v>143</v>
      </c>
      <c r="D28" s="22" t="s">
        <v>144</v>
      </c>
      <c r="E28" s="22" t="s">
        <v>145</v>
      </c>
      <c r="F28" s="22" t="s">
        <v>146</v>
      </c>
      <c r="G28" s="22" t="s">
        <v>147</v>
      </c>
      <c r="H28" s="22" t="s">
        <v>38</v>
      </c>
      <c r="I28" s="22" t="s">
        <v>32</v>
      </c>
      <c r="J28" s="22" t="s">
        <v>134</v>
      </c>
      <c r="K28" s="22" t="s">
        <v>41</v>
      </c>
    </row>
    <row r="29" spans="1:11" x14ac:dyDescent="0.35">
      <c r="A29" s="30"/>
      <c r="B29" s="30" t="s">
        <v>154</v>
      </c>
      <c r="C29" s="61">
        <v>0</v>
      </c>
      <c r="D29" s="61">
        <v>0</v>
      </c>
      <c r="E29" s="61">
        <v>0</v>
      </c>
      <c r="F29" s="31">
        <v>0</v>
      </c>
      <c r="G29" s="61">
        <v>0</v>
      </c>
      <c r="H29" s="30"/>
      <c r="I29" s="31">
        <f t="shared" ref="I29:I34" si="3">SUM(C29:G29)</f>
        <v>0</v>
      </c>
      <c r="J29" s="32">
        <f t="shared" ref="J29:J34" si="4">$D$8</f>
        <v>0.15</v>
      </c>
      <c r="K29" s="31">
        <f t="shared" ref="K29:K34" si="5">I29/(1-J29)</f>
        <v>0</v>
      </c>
    </row>
    <row r="30" spans="1:11" x14ac:dyDescent="0.35">
      <c r="B30" t="s">
        <v>155</v>
      </c>
      <c r="C30" s="62">
        <v>0</v>
      </c>
      <c r="D30" s="62">
        <v>0</v>
      </c>
      <c r="E30" s="62">
        <v>0</v>
      </c>
      <c r="F30" s="17">
        <v>0</v>
      </c>
      <c r="G30" s="62">
        <v>0</v>
      </c>
      <c r="I30" s="17">
        <f t="shared" si="3"/>
        <v>0</v>
      </c>
      <c r="J30" s="24">
        <f t="shared" si="4"/>
        <v>0.15</v>
      </c>
      <c r="K30" s="17">
        <f t="shared" si="5"/>
        <v>0</v>
      </c>
    </row>
    <row r="31" spans="1:11" x14ac:dyDescent="0.35">
      <c r="A31" s="30"/>
      <c r="B31" s="30" t="s">
        <v>156</v>
      </c>
      <c r="C31" s="61">
        <v>30093.75</v>
      </c>
      <c r="D31" s="61">
        <v>0</v>
      </c>
      <c r="E31" s="61">
        <v>0</v>
      </c>
      <c r="F31" s="31">
        <v>0</v>
      </c>
      <c r="G31" s="61">
        <v>0</v>
      </c>
      <c r="H31" s="30"/>
      <c r="I31" s="31">
        <f t="shared" si="3"/>
        <v>30093.75</v>
      </c>
      <c r="J31" s="32">
        <f t="shared" si="4"/>
        <v>0.15</v>
      </c>
      <c r="K31" s="31">
        <f t="shared" si="5"/>
        <v>35404.411764705881</v>
      </c>
    </row>
    <row r="32" spans="1:11" x14ac:dyDescent="0.35">
      <c r="B32" t="s">
        <v>157</v>
      </c>
      <c r="C32" s="62">
        <v>0</v>
      </c>
      <c r="D32" s="62">
        <v>0</v>
      </c>
      <c r="E32" s="62">
        <v>0</v>
      </c>
      <c r="F32" s="17">
        <v>0</v>
      </c>
      <c r="G32" s="62">
        <v>0</v>
      </c>
      <c r="I32" s="17">
        <f t="shared" si="3"/>
        <v>0</v>
      </c>
      <c r="J32" s="24">
        <f t="shared" si="4"/>
        <v>0.15</v>
      </c>
      <c r="K32" s="17">
        <f t="shared" si="5"/>
        <v>0</v>
      </c>
    </row>
    <row r="33" spans="1:11" x14ac:dyDescent="0.35">
      <c r="A33" s="30"/>
      <c r="B33" s="30" t="s">
        <v>158</v>
      </c>
      <c r="C33" s="61">
        <v>0</v>
      </c>
      <c r="D33" s="61">
        <v>0</v>
      </c>
      <c r="E33" s="61">
        <v>0</v>
      </c>
      <c r="F33" s="31">
        <v>0</v>
      </c>
      <c r="G33" s="61">
        <v>0</v>
      </c>
      <c r="H33" s="30"/>
      <c r="I33" s="31">
        <f t="shared" si="3"/>
        <v>0</v>
      </c>
      <c r="J33" s="32">
        <f t="shared" si="4"/>
        <v>0.15</v>
      </c>
      <c r="K33" s="31">
        <f t="shared" si="5"/>
        <v>0</v>
      </c>
    </row>
    <row r="34" spans="1:11" x14ac:dyDescent="0.35">
      <c r="B34" t="s">
        <v>159</v>
      </c>
      <c r="C34" s="62">
        <v>20882.349999999999</v>
      </c>
      <c r="D34" s="62">
        <v>0</v>
      </c>
      <c r="E34" s="62">
        <v>0</v>
      </c>
      <c r="F34" s="17">
        <v>0</v>
      </c>
      <c r="G34" s="62">
        <v>0</v>
      </c>
      <c r="I34" s="17">
        <f t="shared" si="3"/>
        <v>20882.349999999999</v>
      </c>
      <c r="J34" s="24">
        <f t="shared" si="4"/>
        <v>0.15</v>
      </c>
      <c r="K34" s="17">
        <f t="shared" si="5"/>
        <v>24567.470588235294</v>
      </c>
    </row>
    <row r="35" spans="1:11" x14ac:dyDescent="0.35">
      <c r="A35" s="63"/>
      <c r="B35" s="63" t="s">
        <v>85</v>
      </c>
      <c r="C35" s="63"/>
      <c r="D35" s="63"/>
      <c r="E35" s="63"/>
      <c r="F35" s="63"/>
      <c r="G35" s="63"/>
      <c r="H35" s="63"/>
      <c r="I35" s="64">
        <f>SUM(I29:I34)</f>
        <v>50976.1</v>
      </c>
      <c r="J35" s="63"/>
      <c r="K35" s="64">
        <f>SUM(K29:K34)</f>
        <v>59971.882352941175</v>
      </c>
    </row>
    <row r="37" spans="1:11" ht="16" customHeight="1" x14ac:dyDescent="0.35">
      <c r="A37" s="22" t="s">
        <v>38</v>
      </c>
      <c r="B37" s="22" t="s">
        <v>160</v>
      </c>
      <c r="C37" s="22" t="s">
        <v>143</v>
      </c>
      <c r="D37" s="22" t="s">
        <v>144</v>
      </c>
      <c r="E37" s="22" t="s">
        <v>145</v>
      </c>
      <c r="F37" s="22" t="s">
        <v>146</v>
      </c>
      <c r="G37" s="22" t="s">
        <v>147</v>
      </c>
      <c r="H37" s="22" t="s">
        <v>38</v>
      </c>
      <c r="I37" s="22" t="s">
        <v>32</v>
      </c>
      <c r="J37" s="22" t="s">
        <v>134</v>
      </c>
      <c r="K37" s="22" t="s">
        <v>41</v>
      </c>
    </row>
    <row r="38" spans="1:11" x14ac:dyDescent="0.35">
      <c r="A38" s="30"/>
      <c r="B38" s="30" t="s">
        <v>161</v>
      </c>
      <c r="C38" s="61">
        <v>30093.75</v>
      </c>
      <c r="D38" s="61">
        <v>0</v>
      </c>
      <c r="E38" s="61">
        <v>0</v>
      </c>
      <c r="F38" s="31">
        <v>0</v>
      </c>
      <c r="G38" s="61">
        <v>0</v>
      </c>
      <c r="H38" s="30"/>
      <c r="I38" s="31">
        <f t="shared" ref="I38:I43" si="6">SUM(C38:G38)</f>
        <v>30093.75</v>
      </c>
      <c r="J38" s="32">
        <f t="shared" ref="J38:J43" si="7">$D$9</f>
        <v>0.15</v>
      </c>
      <c r="K38" s="31">
        <f t="shared" ref="K38:K43" si="8">I38/(1-J38)</f>
        <v>35404.411764705881</v>
      </c>
    </row>
    <row r="39" spans="1:11" x14ac:dyDescent="0.35">
      <c r="B39" t="s">
        <v>162</v>
      </c>
      <c r="C39" s="62">
        <v>0</v>
      </c>
      <c r="D39" s="62">
        <v>0</v>
      </c>
      <c r="E39" s="62">
        <v>0</v>
      </c>
      <c r="F39" s="17">
        <v>0</v>
      </c>
      <c r="G39" s="62">
        <v>0</v>
      </c>
      <c r="I39" s="17">
        <f t="shared" si="6"/>
        <v>0</v>
      </c>
      <c r="J39" s="24">
        <f t="shared" si="7"/>
        <v>0.15</v>
      </c>
      <c r="K39" s="17">
        <f t="shared" si="8"/>
        <v>0</v>
      </c>
    </row>
    <row r="40" spans="1:11" x14ac:dyDescent="0.35">
      <c r="A40" s="30"/>
      <c r="B40" s="30" t="s">
        <v>163</v>
      </c>
      <c r="C40" s="61">
        <v>0</v>
      </c>
      <c r="D40" s="61">
        <v>0</v>
      </c>
      <c r="E40" s="61">
        <v>0</v>
      </c>
      <c r="F40" s="31">
        <v>0</v>
      </c>
      <c r="G40" s="61">
        <v>0</v>
      </c>
      <c r="H40" s="30"/>
      <c r="I40" s="31">
        <f t="shared" si="6"/>
        <v>0</v>
      </c>
      <c r="J40" s="32">
        <f t="shared" si="7"/>
        <v>0.15</v>
      </c>
      <c r="K40" s="31">
        <f t="shared" si="8"/>
        <v>0</v>
      </c>
    </row>
    <row r="41" spans="1:11" x14ac:dyDescent="0.35">
      <c r="B41" t="s">
        <v>164</v>
      </c>
      <c r="C41" s="62">
        <v>0</v>
      </c>
      <c r="D41" s="62">
        <v>0</v>
      </c>
      <c r="E41" s="62">
        <v>0</v>
      </c>
      <c r="F41" s="17">
        <v>0</v>
      </c>
      <c r="G41" s="62">
        <v>0</v>
      </c>
      <c r="I41" s="17">
        <f t="shared" si="6"/>
        <v>0</v>
      </c>
      <c r="J41" s="24">
        <f t="shared" si="7"/>
        <v>0.15</v>
      </c>
      <c r="K41" s="17">
        <f t="shared" si="8"/>
        <v>0</v>
      </c>
    </row>
    <row r="42" spans="1:11" x14ac:dyDescent="0.35">
      <c r="A42" s="30"/>
      <c r="B42" s="30" t="s">
        <v>165</v>
      </c>
      <c r="C42" s="61">
        <v>0</v>
      </c>
      <c r="D42" s="61">
        <v>0</v>
      </c>
      <c r="E42" s="61">
        <v>0</v>
      </c>
      <c r="F42" s="31">
        <v>0</v>
      </c>
      <c r="G42" s="61">
        <v>0</v>
      </c>
      <c r="H42" s="30"/>
      <c r="I42" s="31">
        <f t="shared" si="6"/>
        <v>0</v>
      </c>
      <c r="J42" s="32">
        <f t="shared" si="7"/>
        <v>0.15</v>
      </c>
      <c r="K42" s="31">
        <f t="shared" si="8"/>
        <v>0</v>
      </c>
    </row>
    <row r="43" spans="1:11" x14ac:dyDescent="0.35">
      <c r="B43" t="s">
        <v>166</v>
      </c>
      <c r="C43" s="62">
        <v>0</v>
      </c>
      <c r="D43" s="62">
        <v>0</v>
      </c>
      <c r="E43" s="62">
        <v>0</v>
      </c>
      <c r="F43" s="17">
        <v>0</v>
      </c>
      <c r="G43" s="62">
        <v>0</v>
      </c>
      <c r="I43" s="17">
        <f t="shared" si="6"/>
        <v>0</v>
      </c>
      <c r="J43" s="24">
        <f t="shared" si="7"/>
        <v>0.15</v>
      </c>
      <c r="K43" s="17">
        <f t="shared" si="8"/>
        <v>0</v>
      </c>
    </row>
    <row r="44" spans="1:11" x14ac:dyDescent="0.35">
      <c r="A44" s="63"/>
      <c r="B44" s="63" t="s">
        <v>85</v>
      </c>
      <c r="C44" s="63"/>
      <c r="D44" s="63"/>
      <c r="E44" s="63"/>
      <c r="F44" s="63"/>
      <c r="G44" s="63"/>
      <c r="H44" s="63"/>
      <c r="I44" s="64">
        <f>SUM(I38:I43)</f>
        <v>30093.75</v>
      </c>
      <c r="J44" s="63"/>
      <c r="K44" s="64">
        <f>SUM(K38:K43)</f>
        <v>35404.411764705881</v>
      </c>
    </row>
    <row r="46" spans="1:11" ht="16" customHeight="1" x14ac:dyDescent="0.35">
      <c r="A46" s="22" t="s">
        <v>38</v>
      </c>
      <c r="B46" s="22" t="s">
        <v>167</v>
      </c>
      <c r="C46" s="22" t="s">
        <v>143</v>
      </c>
      <c r="D46" s="22" t="s">
        <v>144</v>
      </c>
      <c r="E46" s="22" t="s">
        <v>145</v>
      </c>
      <c r="F46" s="22" t="s">
        <v>146</v>
      </c>
      <c r="G46" s="22" t="s">
        <v>147</v>
      </c>
      <c r="H46" s="22" t="s">
        <v>38</v>
      </c>
      <c r="I46" s="22" t="s">
        <v>32</v>
      </c>
      <c r="J46" s="22" t="s">
        <v>134</v>
      </c>
      <c r="K46" s="22" t="s">
        <v>41</v>
      </c>
    </row>
    <row r="47" spans="1:11" x14ac:dyDescent="0.35">
      <c r="A47" s="30"/>
      <c r="B47" s="30" t="s">
        <v>168</v>
      </c>
      <c r="C47" s="61">
        <v>4705.88</v>
      </c>
      <c r="D47" s="61">
        <v>0</v>
      </c>
      <c r="E47" s="61">
        <v>0</v>
      </c>
      <c r="F47" s="31">
        <v>0</v>
      </c>
      <c r="G47" s="61">
        <v>0</v>
      </c>
      <c r="H47" s="30"/>
      <c r="I47" s="31">
        <f>SUM(C47:G47)</f>
        <v>4705.88</v>
      </c>
      <c r="J47" s="32">
        <f>$D$11</f>
        <v>0.15</v>
      </c>
      <c r="K47" s="31">
        <f>I47/(1-J47)</f>
        <v>5536.3294117647065</v>
      </c>
    </row>
    <row r="48" spans="1:11" x14ac:dyDescent="0.35">
      <c r="B48" t="s">
        <v>169</v>
      </c>
      <c r="C48" s="62">
        <v>0</v>
      </c>
      <c r="D48" s="62">
        <v>0</v>
      </c>
      <c r="E48" s="62">
        <v>0</v>
      </c>
      <c r="F48" s="17">
        <v>0</v>
      </c>
      <c r="G48" s="62">
        <v>0</v>
      </c>
      <c r="I48" s="17">
        <f>SUM(C48:G48)</f>
        <v>0</v>
      </c>
      <c r="J48" s="24">
        <f>$D$11</f>
        <v>0.15</v>
      </c>
      <c r="K48" s="17">
        <f>I48/(1-J48)</f>
        <v>0</v>
      </c>
    </row>
    <row r="49" spans="1:11" x14ac:dyDescent="0.35">
      <c r="A49" s="30"/>
      <c r="B49" s="30" t="s">
        <v>170</v>
      </c>
      <c r="C49" s="61">
        <v>0</v>
      </c>
      <c r="D49" s="61">
        <v>0</v>
      </c>
      <c r="E49" s="61">
        <v>0</v>
      </c>
      <c r="F49" s="31">
        <v>0</v>
      </c>
      <c r="G49" s="61">
        <v>0</v>
      </c>
      <c r="H49" s="30"/>
      <c r="I49" s="31">
        <f>SUM(C49:G49)</f>
        <v>0</v>
      </c>
      <c r="J49" s="32">
        <f>$D$11</f>
        <v>0.15</v>
      </c>
      <c r="K49" s="31">
        <f>I49/(1-J49)</f>
        <v>0</v>
      </c>
    </row>
    <row r="50" spans="1:11" x14ac:dyDescent="0.35">
      <c r="B50" t="s">
        <v>171</v>
      </c>
      <c r="C50" s="62">
        <v>0</v>
      </c>
      <c r="D50" s="62">
        <v>0</v>
      </c>
      <c r="E50" s="62">
        <v>0</v>
      </c>
      <c r="F50" s="17">
        <v>0</v>
      </c>
      <c r="G50" s="62">
        <v>0</v>
      </c>
      <c r="I50" s="17">
        <f>SUM(C50:G50)</f>
        <v>0</v>
      </c>
      <c r="J50" s="24">
        <f>$D$11</f>
        <v>0.15</v>
      </c>
      <c r="K50" s="17">
        <f>I50/(1-J50)</f>
        <v>0</v>
      </c>
    </row>
    <row r="51" spans="1:11" x14ac:dyDescent="0.35">
      <c r="A51" s="30"/>
      <c r="B51" s="30" t="s">
        <v>172</v>
      </c>
      <c r="C51" s="61">
        <v>0</v>
      </c>
      <c r="D51" s="61">
        <v>0</v>
      </c>
      <c r="E51" s="61">
        <v>0</v>
      </c>
      <c r="F51" s="31">
        <v>0</v>
      </c>
      <c r="G51" s="61">
        <v>0</v>
      </c>
      <c r="H51" s="30"/>
      <c r="I51" s="31">
        <f>SUM(C51:G51)</f>
        <v>0</v>
      </c>
      <c r="J51" s="32">
        <f>$D$11</f>
        <v>0.15</v>
      </c>
      <c r="K51" s="31">
        <f>I51/(1-J51)</f>
        <v>0</v>
      </c>
    </row>
    <row r="52" spans="1:11" x14ac:dyDescent="0.35">
      <c r="A52" s="63"/>
      <c r="B52" s="63" t="s">
        <v>85</v>
      </c>
      <c r="C52" s="63"/>
      <c r="D52" s="63"/>
      <c r="E52" s="63"/>
      <c r="F52" s="63"/>
      <c r="G52" s="63"/>
      <c r="H52" s="63"/>
      <c r="I52" s="64">
        <f>SUM(I47:I51)</f>
        <v>4705.88</v>
      </c>
      <c r="J52" s="63"/>
      <c r="K52" s="64">
        <f>SUM(K47:K51)</f>
        <v>5536.3294117647065</v>
      </c>
    </row>
    <row r="54" spans="1:11" ht="15.5" x14ac:dyDescent="0.35">
      <c r="A54" s="25"/>
      <c r="B54" s="26" t="s">
        <v>173</v>
      </c>
      <c r="C54" s="25"/>
      <c r="D54" s="25"/>
      <c r="E54" s="25"/>
      <c r="F54" s="25"/>
      <c r="G54" s="25"/>
      <c r="H54" s="25"/>
      <c r="I54" s="27">
        <f>I26+I35+I44+I52</f>
        <v>92998.23000000001</v>
      </c>
      <c r="J54" s="25"/>
      <c r="K54" s="27">
        <f>K26+K35+K44+K52</f>
        <v>109409.68235294118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8A745"/>
  </sheetPr>
  <dimension ref="A3:K54"/>
  <sheetViews>
    <sheetView workbookViewId="0"/>
  </sheetViews>
  <sheetFormatPr defaultRowHeight="14.5" x14ac:dyDescent="0.3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5" x14ac:dyDescent="0.35">
      <c r="A3" s="58" t="s">
        <v>131</v>
      </c>
    </row>
    <row r="4" spans="1:5" x14ac:dyDescent="0.35">
      <c r="A4" s="12" t="s">
        <v>10</v>
      </c>
    </row>
    <row r="5" spans="1:5" x14ac:dyDescent="0.35">
      <c r="A5" s="12" t="s">
        <v>132</v>
      </c>
    </row>
    <row r="7" spans="1:5" x14ac:dyDescent="0.35">
      <c r="C7" s="23" t="s">
        <v>133</v>
      </c>
    </row>
    <row r="8" spans="1:5" x14ac:dyDescent="0.35">
      <c r="C8" t="s">
        <v>134</v>
      </c>
      <c r="D8" s="18">
        <v>0.15</v>
      </c>
    </row>
    <row r="9" spans="1:5" x14ac:dyDescent="0.35">
      <c r="C9" t="s">
        <v>135</v>
      </c>
      <c r="D9" s="18">
        <v>0.15</v>
      </c>
    </row>
    <row r="10" spans="1:5" x14ac:dyDescent="0.35">
      <c r="C10" t="s">
        <v>110</v>
      </c>
      <c r="D10" s="18">
        <v>0.15</v>
      </c>
    </row>
    <row r="11" spans="1:5" x14ac:dyDescent="0.35">
      <c r="C11" t="s">
        <v>136</v>
      </c>
      <c r="D11" s="18">
        <v>0.15</v>
      </c>
    </row>
    <row r="15" spans="1:5" ht="15.5" x14ac:dyDescent="0.35">
      <c r="B15" s="59" t="s">
        <v>181</v>
      </c>
    </row>
    <row r="16" spans="1:5" x14ac:dyDescent="0.35">
      <c r="B16" s="2" t="s">
        <v>138</v>
      </c>
      <c r="C16" s="2" t="s">
        <v>139</v>
      </c>
      <c r="D16" s="2" t="s">
        <v>140</v>
      </c>
      <c r="E16" s="2" t="s">
        <v>141</v>
      </c>
    </row>
    <row r="17" spans="1:11" x14ac:dyDescent="0.35">
      <c r="B17" s="45">
        <v>7.91</v>
      </c>
      <c r="C17" s="45">
        <v>16.5</v>
      </c>
      <c r="D17" s="60">
        <v>130.52000000000001</v>
      </c>
      <c r="E17">
        <v>1</v>
      </c>
    </row>
    <row r="19" spans="1:11" ht="16" customHeight="1" x14ac:dyDescent="0.35">
      <c r="A19" s="22" t="s">
        <v>38</v>
      </c>
      <c r="B19" s="22" t="s">
        <v>142</v>
      </c>
      <c r="C19" s="22" t="s">
        <v>143</v>
      </c>
      <c r="D19" s="22" t="s">
        <v>144</v>
      </c>
      <c r="E19" s="22" t="s">
        <v>145</v>
      </c>
      <c r="F19" s="22" t="s">
        <v>146</v>
      </c>
      <c r="G19" s="22" t="s">
        <v>147</v>
      </c>
      <c r="H19" s="22" t="s">
        <v>38</v>
      </c>
      <c r="I19" s="22" t="s">
        <v>32</v>
      </c>
      <c r="J19" s="22" t="s">
        <v>134</v>
      </c>
      <c r="K19" s="22" t="s">
        <v>41</v>
      </c>
    </row>
    <row r="20" spans="1:11" x14ac:dyDescent="0.35">
      <c r="A20" s="30"/>
      <c r="B20" s="30" t="s">
        <v>148</v>
      </c>
      <c r="C20" s="61">
        <v>0</v>
      </c>
      <c r="D20" s="61">
        <v>0</v>
      </c>
      <c r="E20" s="61">
        <v>0</v>
      </c>
      <c r="F20" s="31">
        <v>0</v>
      </c>
      <c r="G20" s="61">
        <v>0</v>
      </c>
      <c r="H20" s="30"/>
      <c r="I20" s="31">
        <f t="shared" ref="I20:I25" si="0">SUM(C20:G20)</f>
        <v>0</v>
      </c>
      <c r="J20" s="32">
        <f t="shared" ref="J20:J25" si="1">$D$8</f>
        <v>0.15</v>
      </c>
      <c r="K20" s="31">
        <f t="shared" ref="K20:K25" si="2">I20/(1-J20)</f>
        <v>0</v>
      </c>
    </row>
    <row r="21" spans="1:11" x14ac:dyDescent="0.35">
      <c r="B21" t="s">
        <v>149</v>
      </c>
      <c r="C21" s="62">
        <v>0</v>
      </c>
      <c r="D21" s="62">
        <v>0</v>
      </c>
      <c r="E21" s="62">
        <v>0</v>
      </c>
      <c r="F21" s="17">
        <v>0</v>
      </c>
      <c r="G21" s="62">
        <v>0</v>
      </c>
      <c r="I21" s="17">
        <f t="shared" si="0"/>
        <v>0</v>
      </c>
      <c r="J21" s="24">
        <f t="shared" si="1"/>
        <v>0.15</v>
      </c>
      <c r="K21" s="17">
        <f t="shared" si="2"/>
        <v>0</v>
      </c>
    </row>
    <row r="22" spans="1:11" x14ac:dyDescent="0.35">
      <c r="A22" s="30"/>
      <c r="B22" s="30" t="s">
        <v>150</v>
      </c>
      <c r="C22" s="61">
        <v>2392.5</v>
      </c>
      <c r="D22" s="61">
        <v>0</v>
      </c>
      <c r="E22" s="61">
        <v>0</v>
      </c>
      <c r="F22" s="31">
        <v>0</v>
      </c>
      <c r="G22" s="61">
        <v>0</v>
      </c>
      <c r="H22" s="30"/>
      <c r="I22" s="31">
        <f t="shared" si="0"/>
        <v>2392.5</v>
      </c>
      <c r="J22" s="32">
        <f t="shared" si="1"/>
        <v>0.15</v>
      </c>
      <c r="K22" s="31">
        <f t="shared" si="2"/>
        <v>2814.7058823529414</v>
      </c>
    </row>
    <row r="23" spans="1:11" x14ac:dyDescent="0.35">
      <c r="B23" t="s">
        <v>151</v>
      </c>
      <c r="C23" s="62">
        <v>0</v>
      </c>
      <c r="D23" s="62">
        <v>0</v>
      </c>
      <c r="E23" s="62">
        <v>0</v>
      </c>
      <c r="F23" s="17">
        <v>0</v>
      </c>
      <c r="G23" s="62">
        <v>0</v>
      </c>
      <c r="I23" s="17">
        <f t="shared" si="0"/>
        <v>0</v>
      </c>
      <c r="J23" s="24">
        <f t="shared" si="1"/>
        <v>0.15</v>
      </c>
      <c r="K23" s="17">
        <f t="shared" si="2"/>
        <v>0</v>
      </c>
    </row>
    <row r="24" spans="1:11" x14ac:dyDescent="0.35">
      <c r="A24" s="30"/>
      <c r="B24" s="30" t="s">
        <v>152</v>
      </c>
      <c r="C24" s="61">
        <v>0</v>
      </c>
      <c r="D24" s="61">
        <v>0</v>
      </c>
      <c r="E24" s="61">
        <v>0</v>
      </c>
      <c r="F24" s="31">
        <v>0</v>
      </c>
      <c r="G24" s="61">
        <v>0</v>
      </c>
      <c r="H24" s="30"/>
      <c r="I24" s="31">
        <f t="shared" si="0"/>
        <v>0</v>
      </c>
      <c r="J24" s="32">
        <f t="shared" si="1"/>
        <v>0.15</v>
      </c>
      <c r="K24" s="31">
        <f t="shared" si="2"/>
        <v>0</v>
      </c>
    </row>
    <row r="25" spans="1:11" x14ac:dyDescent="0.35">
      <c r="B25" t="s">
        <v>152</v>
      </c>
      <c r="C25" s="62">
        <v>0</v>
      </c>
      <c r="D25" s="62">
        <v>0</v>
      </c>
      <c r="E25" s="62">
        <v>0</v>
      </c>
      <c r="F25" s="17">
        <v>0</v>
      </c>
      <c r="G25" s="62">
        <v>0</v>
      </c>
      <c r="I25" s="17">
        <f t="shared" si="0"/>
        <v>0</v>
      </c>
      <c r="J25" s="24">
        <f t="shared" si="1"/>
        <v>0.15</v>
      </c>
      <c r="K25" s="17">
        <f t="shared" si="2"/>
        <v>0</v>
      </c>
    </row>
    <row r="26" spans="1:11" x14ac:dyDescent="0.35">
      <c r="A26" s="63"/>
      <c r="B26" s="63" t="s">
        <v>85</v>
      </c>
      <c r="C26" s="63"/>
      <c r="D26" s="63"/>
      <c r="E26" s="63"/>
      <c r="F26" s="63"/>
      <c r="G26" s="63"/>
      <c r="H26" s="63"/>
      <c r="I26" s="64">
        <f>SUM(I20:I25)</f>
        <v>2392.5</v>
      </c>
      <c r="J26" s="63"/>
      <c r="K26" s="64">
        <f>SUM(K20:K25)</f>
        <v>2814.7058823529414</v>
      </c>
    </row>
    <row r="28" spans="1:11" ht="16" customHeight="1" x14ac:dyDescent="0.35">
      <c r="A28" s="22" t="s">
        <v>38</v>
      </c>
      <c r="B28" s="22" t="s">
        <v>153</v>
      </c>
      <c r="C28" s="22" t="s">
        <v>143</v>
      </c>
      <c r="D28" s="22" t="s">
        <v>144</v>
      </c>
      <c r="E28" s="22" t="s">
        <v>145</v>
      </c>
      <c r="F28" s="22" t="s">
        <v>146</v>
      </c>
      <c r="G28" s="22" t="s">
        <v>147</v>
      </c>
      <c r="H28" s="22" t="s">
        <v>38</v>
      </c>
      <c r="I28" s="22" t="s">
        <v>32</v>
      </c>
      <c r="J28" s="22" t="s">
        <v>134</v>
      </c>
      <c r="K28" s="22" t="s">
        <v>41</v>
      </c>
    </row>
    <row r="29" spans="1:11" x14ac:dyDescent="0.35">
      <c r="A29" s="30"/>
      <c r="B29" s="30" t="s">
        <v>154</v>
      </c>
      <c r="C29" s="61">
        <v>0</v>
      </c>
      <c r="D29" s="61">
        <v>0</v>
      </c>
      <c r="E29" s="61">
        <v>0</v>
      </c>
      <c r="F29" s="31">
        <v>0</v>
      </c>
      <c r="G29" s="61">
        <v>0</v>
      </c>
      <c r="H29" s="30"/>
      <c r="I29" s="31">
        <f t="shared" ref="I29:I34" si="3">SUM(C29:G29)</f>
        <v>0</v>
      </c>
      <c r="J29" s="32">
        <f t="shared" ref="J29:J34" si="4">$D$8</f>
        <v>0.15</v>
      </c>
      <c r="K29" s="31">
        <f t="shared" ref="K29:K34" si="5">I29/(1-J29)</f>
        <v>0</v>
      </c>
    </row>
    <row r="30" spans="1:11" x14ac:dyDescent="0.35">
      <c r="B30" t="s">
        <v>155</v>
      </c>
      <c r="C30" s="62">
        <v>0</v>
      </c>
      <c r="D30" s="62">
        <v>0</v>
      </c>
      <c r="E30" s="62">
        <v>0</v>
      </c>
      <c r="F30" s="17">
        <v>0</v>
      </c>
      <c r="G30" s="62">
        <v>0</v>
      </c>
      <c r="I30" s="17">
        <f t="shared" si="3"/>
        <v>0</v>
      </c>
      <c r="J30" s="24">
        <f t="shared" si="4"/>
        <v>0.15</v>
      </c>
      <c r="K30" s="17">
        <f t="shared" si="5"/>
        <v>0</v>
      </c>
    </row>
    <row r="31" spans="1:11" x14ac:dyDescent="0.35">
      <c r="A31" s="30"/>
      <c r="B31" s="30" t="s">
        <v>156</v>
      </c>
      <c r="C31" s="61">
        <v>9968.75</v>
      </c>
      <c r="D31" s="61">
        <v>0</v>
      </c>
      <c r="E31" s="61">
        <v>0</v>
      </c>
      <c r="F31" s="31">
        <v>0</v>
      </c>
      <c r="G31" s="61">
        <v>0</v>
      </c>
      <c r="H31" s="30"/>
      <c r="I31" s="31">
        <f t="shared" si="3"/>
        <v>9968.75</v>
      </c>
      <c r="J31" s="32">
        <f t="shared" si="4"/>
        <v>0.15</v>
      </c>
      <c r="K31" s="31">
        <f t="shared" si="5"/>
        <v>11727.941176470589</v>
      </c>
    </row>
    <row r="32" spans="1:11" x14ac:dyDescent="0.35">
      <c r="B32" t="s">
        <v>157</v>
      </c>
      <c r="C32" s="62">
        <v>0</v>
      </c>
      <c r="D32" s="62">
        <v>0</v>
      </c>
      <c r="E32" s="62">
        <v>0</v>
      </c>
      <c r="F32" s="17">
        <v>0</v>
      </c>
      <c r="G32" s="62">
        <v>0</v>
      </c>
      <c r="I32" s="17">
        <f t="shared" si="3"/>
        <v>0</v>
      </c>
      <c r="J32" s="24">
        <f t="shared" si="4"/>
        <v>0.15</v>
      </c>
      <c r="K32" s="17">
        <f t="shared" si="5"/>
        <v>0</v>
      </c>
    </row>
    <row r="33" spans="1:11" x14ac:dyDescent="0.35">
      <c r="A33" s="30"/>
      <c r="B33" s="30" t="s">
        <v>158</v>
      </c>
      <c r="C33" s="61">
        <v>0</v>
      </c>
      <c r="D33" s="61">
        <v>0</v>
      </c>
      <c r="E33" s="61">
        <v>0</v>
      </c>
      <c r="F33" s="31">
        <v>0</v>
      </c>
      <c r="G33" s="61">
        <v>0</v>
      </c>
      <c r="H33" s="30"/>
      <c r="I33" s="31">
        <f t="shared" si="3"/>
        <v>0</v>
      </c>
      <c r="J33" s="32">
        <f t="shared" si="4"/>
        <v>0.15</v>
      </c>
      <c r="K33" s="31">
        <f t="shared" si="5"/>
        <v>0</v>
      </c>
    </row>
    <row r="34" spans="1:11" x14ac:dyDescent="0.35">
      <c r="B34" t="s">
        <v>159</v>
      </c>
      <c r="C34" s="62">
        <v>20882.349999999999</v>
      </c>
      <c r="D34" s="62">
        <v>0</v>
      </c>
      <c r="E34" s="62">
        <v>0</v>
      </c>
      <c r="F34" s="17">
        <v>0</v>
      </c>
      <c r="G34" s="62">
        <v>0</v>
      </c>
      <c r="I34" s="17">
        <f t="shared" si="3"/>
        <v>20882.349999999999</v>
      </c>
      <c r="J34" s="24">
        <f t="shared" si="4"/>
        <v>0.15</v>
      </c>
      <c r="K34" s="17">
        <f t="shared" si="5"/>
        <v>24567.470588235294</v>
      </c>
    </row>
    <row r="35" spans="1:11" x14ac:dyDescent="0.35">
      <c r="A35" s="63"/>
      <c r="B35" s="63" t="s">
        <v>85</v>
      </c>
      <c r="C35" s="63"/>
      <c r="D35" s="63"/>
      <c r="E35" s="63"/>
      <c r="F35" s="63"/>
      <c r="G35" s="63"/>
      <c r="H35" s="63"/>
      <c r="I35" s="64">
        <f>SUM(I29:I34)</f>
        <v>30851.1</v>
      </c>
      <c r="J35" s="63"/>
      <c r="K35" s="64">
        <f>SUM(K29:K34)</f>
        <v>36295.411764705881</v>
      </c>
    </row>
    <row r="37" spans="1:11" ht="16" customHeight="1" x14ac:dyDescent="0.35">
      <c r="A37" s="22" t="s">
        <v>38</v>
      </c>
      <c r="B37" s="22" t="s">
        <v>160</v>
      </c>
      <c r="C37" s="22" t="s">
        <v>143</v>
      </c>
      <c r="D37" s="22" t="s">
        <v>144</v>
      </c>
      <c r="E37" s="22" t="s">
        <v>145</v>
      </c>
      <c r="F37" s="22" t="s">
        <v>146</v>
      </c>
      <c r="G37" s="22" t="s">
        <v>147</v>
      </c>
      <c r="H37" s="22" t="s">
        <v>38</v>
      </c>
      <c r="I37" s="22" t="s">
        <v>32</v>
      </c>
      <c r="J37" s="22" t="s">
        <v>134</v>
      </c>
      <c r="K37" s="22" t="s">
        <v>41</v>
      </c>
    </row>
    <row r="38" spans="1:11" x14ac:dyDescent="0.35">
      <c r="A38" s="30"/>
      <c r="B38" s="30" t="s">
        <v>161</v>
      </c>
      <c r="C38" s="61">
        <v>9968.75</v>
      </c>
      <c r="D38" s="61">
        <v>0</v>
      </c>
      <c r="E38" s="61">
        <v>0</v>
      </c>
      <c r="F38" s="31">
        <v>0</v>
      </c>
      <c r="G38" s="61">
        <v>0</v>
      </c>
      <c r="H38" s="30"/>
      <c r="I38" s="31">
        <f t="shared" ref="I38:I43" si="6">SUM(C38:G38)</f>
        <v>9968.75</v>
      </c>
      <c r="J38" s="32">
        <f t="shared" ref="J38:J43" si="7">$D$9</f>
        <v>0.15</v>
      </c>
      <c r="K38" s="31">
        <f t="shared" ref="K38:K43" si="8">I38/(1-J38)</f>
        <v>11727.941176470589</v>
      </c>
    </row>
    <row r="39" spans="1:11" x14ac:dyDescent="0.35">
      <c r="B39" t="s">
        <v>162</v>
      </c>
      <c r="C39" s="62">
        <v>0</v>
      </c>
      <c r="D39" s="62">
        <v>0</v>
      </c>
      <c r="E39" s="62">
        <v>0</v>
      </c>
      <c r="F39" s="17">
        <v>0</v>
      </c>
      <c r="G39" s="62">
        <v>0</v>
      </c>
      <c r="I39" s="17">
        <f t="shared" si="6"/>
        <v>0</v>
      </c>
      <c r="J39" s="24">
        <f t="shared" si="7"/>
        <v>0.15</v>
      </c>
      <c r="K39" s="17">
        <f t="shared" si="8"/>
        <v>0</v>
      </c>
    </row>
    <row r="40" spans="1:11" x14ac:dyDescent="0.35">
      <c r="A40" s="30"/>
      <c r="B40" s="30" t="s">
        <v>163</v>
      </c>
      <c r="C40" s="61">
        <v>0</v>
      </c>
      <c r="D40" s="61">
        <v>0</v>
      </c>
      <c r="E40" s="61">
        <v>0</v>
      </c>
      <c r="F40" s="31">
        <v>0</v>
      </c>
      <c r="G40" s="61">
        <v>0</v>
      </c>
      <c r="H40" s="30"/>
      <c r="I40" s="31">
        <f t="shared" si="6"/>
        <v>0</v>
      </c>
      <c r="J40" s="32">
        <f t="shared" si="7"/>
        <v>0.15</v>
      </c>
      <c r="K40" s="31">
        <f t="shared" si="8"/>
        <v>0</v>
      </c>
    </row>
    <row r="41" spans="1:11" x14ac:dyDescent="0.35">
      <c r="B41" t="s">
        <v>164</v>
      </c>
      <c r="C41" s="62">
        <v>0</v>
      </c>
      <c r="D41" s="62">
        <v>0</v>
      </c>
      <c r="E41" s="62">
        <v>0</v>
      </c>
      <c r="F41" s="17">
        <v>0</v>
      </c>
      <c r="G41" s="62">
        <v>0</v>
      </c>
      <c r="I41" s="17">
        <f t="shared" si="6"/>
        <v>0</v>
      </c>
      <c r="J41" s="24">
        <f t="shared" si="7"/>
        <v>0.15</v>
      </c>
      <c r="K41" s="17">
        <f t="shared" si="8"/>
        <v>0</v>
      </c>
    </row>
    <row r="42" spans="1:11" x14ac:dyDescent="0.35">
      <c r="A42" s="30"/>
      <c r="B42" s="30" t="s">
        <v>165</v>
      </c>
      <c r="C42" s="61">
        <v>0</v>
      </c>
      <c r="D42" s="61">
        <v>0</v>
      </c>
      <c r="E42" s="61">
        <v>0</v>
      </c>
      <c r="F42" s="31">
        <v>0</v>
      </c>
      <c r="G42" s="61">
        <v>0</v>
      </c>
      <c r="H42" s="30"/>
      <c r="I42" s="31">
        <f t="shared" si="6"/>
        <v>0</v>
      </c>
      <c r="J42" s="32">
        <f t="shared" si="7"/>
        <v>0.15</v>
      </c>
      <c r="K42" s="31">
        <f t="shared" si="8"/>
        <v>0</v>
      </c>
    </row>
    <row r="43" spans="1:11" x14ac:dyDescent="0.35">
      <c r="B43" t="s">
        <v>166</v>
      </c>
      <c r="C43" s="62">
        <v>0</v>
      </c>
      <c r="D43" s="62">
        <v>0</v>
      </c>
      <c r="E43" s="62">
        <v>0</v>
      </c>
      <c r="F43" s="17">
        <v>0</v>
      </c>
      <c r="G43" s="62">
        <v>0</v>
      </c>
      <c r="I43" s="17">
        <f t="shared" si="6"/>
        <v>0</v>
      </c>
      <c r="J43" s="24">
        <f t="shared" si="7"/>
        <v>0.15</v>
      </c>
      <c r="K43" s="17">
        <f t="shared" si="8"/>
        <v>0</v>
      </c>
    </row>
    <row r="44" spans="1:11" x14ac:dyDescent="0.35">
      <c r="A44" s="63"/>
      <c r="B44" s="63" t="s">
        <v>85</v>
      </c>
      <c r="C44" s="63"/>
      <c r="D44" s="63"/>
      <c r="E44" s="63"/>
      <c r="F44" s="63"/>
      <c r="G44" s="63"/>
      <c r="H44" s="63"/>
      <c r="I44" s="64">
        <f>SUM(I38:I43)</f>
        <v>9968.75</v>
      </c>
      <c r="J44" s="63"/>
      <c r="K44" s="64">
        <f>SUM(K38:K43)</f>
        <v>11727.941176470589</v>
      </c>
    </row>
    <row r="46" spans="1:11" ht="16" customHeight="1" x14ac:dyDescent="0.35">
      <c r="A46" s="22" t="s">
        <v>38</v>
      </c>
      <c r="B46" s="22" t="s">
        <v>167</v>
      </c>
      <c r="C46" s="22" t="s">
        <v>143</v>
      </c>
      <c r="D46" s="22" t="s">
        <v>144</v>
      </c>
      <c r="E46" s="22" t="s">
        <v>145</v>
      </c>
      <c r="F46" s="22" t="s">
        <v>146</v>
      </c>
      <c r="G46" s="22" t="s">
        <v>147</v>
      </c>
      <c r="H46" s="22" t="s">
        <v>38</v>
      </c>
      <c r="I46" s="22" t="s">
        <v>32</v>
      </c>
      <c r="J46" s="22" t="s">
        <v>134</v>
      </c>
      <c r="K46" s="22" t="s">
        <v>41</v>
      </c>
    </row>
    <row r="47" spans="1:11" x14ac:dyDescent="0.35">
      <c r="A47" s="30"/>
      <c r="B47" s="30" t="s">
        <v>168</v>
      </c>
      <c r="C47" s="61">
        <v>4705.88</v>
      </c>
      <c r="D47" s="61">
        <v>0</v>
      </c>
      <c r="E47" s="61">
        <v>0</v>
      </c>
      <c r="F47" s="31">
        <v>0</v>
      </c>
      <c r="G47" s="61">
        <v>0</v>
      </c>
      <c r="H47" s="30"/>
      <c r="I47" s="31">
        <f>SUM(C47:G47)</f>
        <v>4705.88</v>
      </c>
      <c r="J47" s="32">
        <f>$D$11</f>
        <v>0.15</v>
      </c>
      <c r="K47" s="31">
        <f>I47/(1-J47)</f>
        <v>5536.3294117647065</v>
      </c>
    </row>
    <row r="48" spans="1:11" x14ac:dyDescent="0.35">
      <c r="B48" t="s">
        <v>169</v>
      </c>
      <c r="C48" s="62">
        <v>0</v>
      </c>
      <c r="D48" s="62">
        <v>0</v>
      </c>
      <c r="E48" s="62">
        <v>0</v>
      </c>
      <c r="F48" s="17">
        <v>0</v>
      </c>
      <c r="G48" s="62">
        <v>0</v>
      </c>
      <c r="I48" s="17">
        <f>SUM(C48:G48)</f>
        <v>0</v>
      </c>
      <c r="J48" s="24">
        <f>$D$11</f>
        <v>0.15</v>
      </c>
      <c r="K48" s="17">
        <f>I48/(1-J48)</f>
        <v>0</v>
      </c>
    </row>
    <row r="49" spans="1:11" x14ac:dyDescent="0.35">
      <c r="A49" s="30"/>
      <c r="B49" s="30" t="s">
        <v>170</v>
      </c>
      <c r="C49" s="61">
        <v>0</v>
      </c>
      <c r="D49" s="61">
        <v>0</v>
      </c>
      <c r="E49" s="61">
        <v>0</v>
      </c>
      <c r="F49" s="31">
        <v>0</v>
      </c>
      <c r="G49" s="61">
        <v>0</v>
      </c>
      <c r="H49" s="30"/>
      <c r="I49" s="31">
        <f>SUM(C49:G49)</f>
        <v>0</v>
      </c>
      <c r="J49" s="32">
        <f>$D$11</f>
        <v>0.15</v>
      </c>
      <c r="K49" s="31">
        <f>I49/(1-J49)</f>
        <v>0</v>
      </c>
    </row>
    <row r="50" spans="1:11" x14ac:dyDescent="0.35">
      <c r="B50" t="s">
        <v>171</v>
      </c>
      <c r="C50" s="62">
        <v>0</v>
      </c>
      <c r="D50" s="62">
        <v>0</v>
      </c>
      <c r="E50" s="62">
        <v>0</v>
      </c>
      <c r="F50" s="17">
        <v>0</v>
      </c>
      <c r="G50" s="62">
        <v>0</v>
      </c>
      <c r="I50" s="17">
        <f>SUM(C50:G50)</f>
        <v>0</v>
      </c>
      <c r="J50" s="24">
        <f>$D$11</f>
        <v>0.15</v>
      </c>
      <c r="K50" s="17">
        <f>I50/(1-J50)</f>
        <v>0</v>
      </c>
    </row>
    <row r="51" spans="1:11" x14ac:dyDescent="0.35">
      <c r="A51" s="30"/>
      <c r="B51" s="30" t="s">
        <v>172</v>
      </c>
      <c r="C51" s="61">
        <v>0</v>
      </c>
      <c r="D51" s="61">
        <v>0</v>
      </c>
      <c r="E51" s="61">
        <v>0</v>
      </c>
      <c r="F51" s="31">
        <v>0</v>
      </c>
      <c r="G51" s="61">
        <v>0</v>
      </c>
      <c r="H51" s="30"/>
      <c r="I51" s="31">
        <f>SUM(C51:G51)</f>
        <v>0</v>
      </c>
      <c r="J51" s="32">
        <f>$D$11</f>
        <v>0.15</v>
      </c>
      <c r="K51" s="31">
        <f>I51/(1-J51)</f>
        <v>0</v>
      </c>
    </row>
    <row r="52" spans="1:11" x14ac:dyDescent="0.35">
      <c r="A52" s="63"/>
      <c r="B52" s="63" t="s">
        <v>85</v>
      </c>
      <c r="C52" s="63"/>
      <c r="D52" s="63"/>
      <c r="E52" s="63"/>
      <c r="F52" s="63"/>
      <c r="G52" s="63"/>
      <c r="H52" s="63"/>
      <c r="I52" s="64">
        <f>SUM(I47:I51)</f>
        <v>4705.88</v>
      </c>
      <c r="J52" s="63"/>
      <c r="K52" s="64">
        <f>SUM(K47:K51)</f>
        <v>5536.3294117647065</v>
      </c>
    </row>
    <row r="54" spans="1:11" ht="15.5" x14ac:dyDescent="0.35">
      <c r="A54" s="25"/>
      <c r="B54" s="26" t="s">
        <v>173</v>
      </c>
      <c r="C54" s="25"/>
      <c r="D54" s="25"/>
      <c r="E54" s="25"/>
      <c r="F54" s="25"/>
      <c r="G54" s="25"/>
      <c r="H54" s="25"/>
      <c r="I54" s="27">
        <f>I26+I35+I44+I52</f>
        <v>47918.229999999996</v>
      </c>
      <c r="J54" s="25"/>
      <c r="K54" s="27">
        <f>K26+K35+K44+K52</f>
        <v>56374.388235294122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8A745"/>
  </sheetPr>
  <dimension ref="A3:K54"/>
  <sheetViews>
    <sheetView workbookViewId="0"/>
  </sheetViews>
  <sheetFormatPr defaultRowHeight="14.5" x14ac:dyDescent="0.3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5" x14ac:dyDescent="0.35">
      <c r="A3" s="58" t="s">
        <v>131</v>
      </c>
    </row>
    <row r="4" spans="1:5" x14ac:dyDescent="0.35">
      <c r="A4" s="12" t="s">
        <v>10</v>
      </c>
    </row>
    <row r="5" spans="1:5" x14ac:dyDescent="0.35">
      <c r="A5" s="12" t="s">
        <v>132</v>
      </c>
    </row>
    <row r="7" spans="1:5" x14ac:dyDescent="0.35">
      <c r="C7" s="23" t="s">
        <v>133</v>
      </c>
    </row>
    <row r="8" spans="1:5" x14ac:dyDescent="0.35">
      <c r="C8" t="s">
        <v>134</v>
      </c>
      <c r="D8" s="18">
        <v>0.15</v>
      </c>
    </row>
    <row r="9" spans="1:5" x14ac:dyDescent="0.35">
      <c r="C9" t="s">
        <v>135</v>
      </c>
      <c r="D9" s="18">
        <v>0.15</v>
      </c>
    </row>
    <row r="10" spans="1:5" x14ac:dyDescent="0.35">
      <c r="C10" t="s">
        <v>110</v>
      </c>
      <c r="D10" s="18">
        <v>0.15</v>
      </c>
    </row>
    <row r="11" spans="1:5" x14ac:dyDescent="0.35">
      <c r="C11" t="s">
        <v>136</v>
      </c>
      <c r="D11" s="18">
        <v>0.15</v>
      </c>
    </row>
    <row r="15" spans="1:5" ht="15.5" x14ac:dyDescent="0.35">
      <c r="B15" s="59" t="s">
        <v>182</v>
      </c>
    </row>
    <row r="16" spans="1:5" x14ac:dyDescent="0.35">
      <c r="B16" s="2" t="s">
        <v>138</v>
      </c>
      <c r="C16" s="2" t="s">
        <v>139</v>
      </c>
      <c r="D16" s="2" t="s">
        <v>140</v>
      </c>
      <c r="E16" s="2" t="s">
        <v>141</v>
      </c>
    </row>
    <row r="17" spans="1:11" x14ac:dyDescent="0.35">
      <c r="B17" s="45">
        <v>7.91</v>
      </c>
      <c r="C17" s="45">
        <v>11.83</v>
      </c>
      <c r="D17" s="60">
        <v>93.58</v>
      </c>
      <c r="E17">
        <v>1</v>
      </c>
    </row>
    <row r="19" spans="1:11" ht="16" customHeight="1" x14ac:dyDescent="0.35">
      <c r="A19" s="22" t="s">
        <v>38</v>
      </c>
      <c r="B19" s="22" t="s">
        <v>142</v>
      </c>
      <c r="C19" s="22" t="s">
        <v>143</v>
      </c>
      <c r="D19" s="22" t="s">
        <v>144</v>
      </c>
      <c r="E19" s="22" t="s">
        <v>145</v>
      </c>
      <c r="F19" s="22" t="s">
        <v>146</v>
      </c>
      <c r="G19" s="22" t="s">
        <v>147</v>
      </c>
      <c r="H19" s="22" t="s">
        <v>38</v>
      </c>
      <c r="I19" s="22" t="s">
        <v>32</v>
      </c>
      <c r="J19" s="22" t="s">
        <v>134</v>
      </c>
      <c r="K19" s="22" t="s">
        <v>41</v>
      </c>
    </row>
    <row r="20" spans="1:11" x14ac:dyDescent="0.35">
      <c r="A20" s="30"/>
      <c r="B20" s="30" t="s">
        <v>148</v>
      </c>
      <c r="C20" s="61">
        <v>0</v>
      </c>
      <c r="D20" s="61">
        <v>0</v>
      </c>
      <c r="E20" s="61">
        <v>0</v>
      </c>
      <c r="F20" s="31">
        <v>0</v>
      </c>
      <c r="G20" s="61">
        <v>0</v>
      </c>
      <c r="H20" s="30"/>
      <c r="I20" s="31">
        <f t="shared" ref="I20:I25" si="0">SUM(C20:G20)</f>
        <v>0</v>
      </c>
      <c r="J20" s="32">
        <f t="shared" ref="J20:J25" si="1">$D$8</f>
        <v>0.15</v>
      </c>
      <c r="K20" s="31">
        <f t="shared" ref="K20:K25" si="2">I20/(1-J20)</f>
        <v>0</v>
      </c>
    </row>
    <row r="21" spans="1:11" x14ac:dyDescent="0.35">
      <c r="B21" t="s">
        <v>149</v>
      </c>
      <c r="C21" s="62">
        <v>0</v>
      </c>
      <c r="D21" s="62">
        <v>0</v>
      </c>
      <c r="E21" s="62">
        <v>0</v>
      </c>
      <c r="F21" s="17">
        <v>0</v>
      </c>
      <c r="G21" s="62">
        <v>0</v>
      </c>
      <c r="I21" s="17">
        <f t="shared" si="0"/>
        <v>0</v>
      </c>
      <c r="J21" s="24">
        <f t="shared" si="1"/>
        <v>0.15</v>
      </c>
      <c r="K21" s="17">
        <f t="shared" si="2"/>
        <v>0</v>
      </c>
    </row>
    <row r="22" spans="1:11" x14ac:dyDescent="0.35">
      <c r="A22" s="30"/>
      <c r="B22" s="30" t="s">
        <v>150</v>
      </c>
      <c r="C22" s="61">
        <v>1713.75</v>
      </c>
      <c r="D22" s="61">
        <v>0</v>
      </c>
      <c r="E22" s="61">
        <v>0</v>
      </c>
      <c r="F22" s="31">
        <v>0</v>
      </c>
      <c r="G22" s="61">
        <v>0</v>
      </c>
      <c r="H22" s="30"/>
      <c r="I22" s="31">
        <f t="shared" si="0"/>
        <v>1713.75</v>
      </c>
      <c r="J22" s="32">
        <f t="shared" si="1"/>
        <v>0.15</v>
      </c>
      <c r="K22" s="31">
        <f t="shared" si="2"/>
        <v>2016.1764705882354</v>
      </c>
    </row>
    <row r="23" spans="1:11" x14ac:dyDescent="0.35">
      <c r="B23" t="s">
        <v>151</v>
      </c>
      <c r="C23" s="62">
        <v>0</v>
      </c>
      <c r="D23" s="62">
        <v>0</v>
      </c>
      <c r="E23" s="62">
        <v>0</v>
      </c>
      <c r="F23" s="17">
        <v>0</v>
      </c>
      <c r="G23" s="62">
        <v>0</v>
      </c>
      <c r="I23" s="17">
        <f t="shared" si="0"/>
        <v>0</v>
      </c>
      <c r="J23" s="24">
        <f t="shared" si="1"/>
        <v>0.15</v>
      </c>
      <c r="K23" s="17">
        <f t="shared" si="2"/>
        <v>0</v>
      </c>
    </row>
    <row r="24" spans="1:11" x14ac:dyDescent="0.35">
      <c r="A24" s="30"/>
      <c r="B24" s="30" t="s">
        <v>152</v>
      </c>
      <c r="C24" s="61">
        <v>0</v>
      </c>
      <c r="D24" s="61">
        <v>0</v>
      </c>
      <c r="E24" s="61">
        <v>0</v>
      </c>
      <c r="F24" s="31">
        <v>0</v>
      </c>
      <c r="G24" s="61">
        <v>0</v>
      </c>
      <c r="H24" s="30"/>
      <c r="I24" s="31">
        <f t="shared" si="0"/>
        <v>0</v>
      </c>
      <c r="J24" s="32">
        <f t="shared" si="1"/>
        <v>0.15</v>
      </c>
      <c r="K24" s="31">
        <f t="shared" si="2"/>
        <v>0</v>
      </c>
    </row>
    <row r="25" spans="1:11" x14ac:dyDescent="0.35">
      <c r="B25" t="s">
        <v>152</v>
      </c>
      <c r="C25" s="62">
        <v>0</v>
      </c>
      <c r="D25" s="62">
        <v>0</v>
      </c>
      <c r="E25" s="62">
        <v>0</v>
      </c>
      <c r="F25" s="17">
        <v>0</v>
      </c>
      <c r="G25" s="62">
        <v>0</v>
      </c>
      <c r="I25" s="17">
        <f t="shared" si="0"/>
        <v>0</v>
      </c>
      <c r="J25" s="24">
        <f t="shared" si="1"/>
        <v>0.15</v>
      </c>
      <c r="K25" s="17">
        <f t="shared" si="2"/>
        <v>0</v>
      </c>
    </row>
    <row r="26" spans="1:11" x14ac:dyDescent="0.35">
      <c r="A26" s="63"/>
      <c r="B26" s="63" t="s">
        <v>85</v>
      </c>
      <c r="C26" s="63"/>
      <c r="D26" s="63"/>
      <c r="E26" s="63"/>
      <c r="F26" s="63"/>
      <c r="G26" s="63"/>
      <c r="H26" s="63"/>
      <c r="I26" s="64">
        <f>SUM(I20:I25)</f>
        <v>1713.75</v>
      </c>
      <c r="J26" s="63"/>
      <c r="K26" s="64">
        <f>SUM(K20:K25)</f>
        <v>2016.1764705882354</v>
      </c>
    </row>
    <row r="28" spans="1:11" ht="16" customHeight="1" x14ac:dyDescent="0.35">
      <c r="A28" s="22" t="s">
        <v>38</v>
      </c>
      <c r="B28" s="22" t="s">
        <v>153</v>
      </c>
      <c r="C28" s="22" t="s">
        <v>143</v>
      </c>
      <c r="D28" s="22" t="s">
        <v>144</v>
      </c>
      <c r="E28" s="22" t="s">
        <v>145</v>
      </c>
      <c r="F28" s="22" t="s">
        <v>146</v>
      </c>
      <c r="G28" s="22" t="s">
        <v>147</v>
      </c>
      <c r="H28" s="22" t="s">
        <v>38</v>
      </c>
      <c r="I28" s="22" t="s">
        <v>32</v>
      </c>
      <c r="J28" s="22" t="s">
        <v>134</v>
      </c>
      <c r="K28" s="22" t="s">
        <v>41</v>
      </c>
    </row>
    <row r="29" spans="1:11" x14ac:dyDescent="0.35">
      <c r="A29" s="30"/>
      <c r="B29" s="30" t="s">
        <v>154</v>
      </c>
      <c r="C29" s="61">
        <v>0</v>
      </c>
      <c r="D29" s="61">
        <v>0</v>
      </c>
      <c r="E29" s="61">
        <v>0</v>
      </c>
      <c r="F29" s="31">
        <v>0</v>
      </c>
      <c r="G29" s="61">
        <v>0</v>
      </c>
      <c r="H29" s="30"/>
      <c r="I29" s="31">
        <f t="shared" ref="I29:I34" si="3">SUM(C29:G29)</f>
        <v>0</v>
      </c>
      <c r="J29" s="32">
        <f t="shared" ref="J29:J34" si="4">$D$8</f>
        <v>0.15</v>
      </c>
      <c r="K29" s="31">
        <f t="shared" ref="K29:K34" si="5">I29/(1-J29)</f>
        <v>0</v>
      </c>
    </row>
    <row r="30" spans="1:11" x14ac:dyDescent="0.35">
      <c r="B30" t="s">
        <v>155</v>
      </c>
      <c r="C30" s="62">
        <v>0</v>
      </c>
      <c r="D30" s="62">
        <v>0</v>
      </c>
      <c r="E30" s="62">
        <v>0</v>
      </c>
      <c r="F30" s="17">
        <v>0</v>
      </c>
      <c r="G30" s="62">
        <v>0</v>
      </c>
      <c r="I30" s="17">
        <f t="shared" si="3"/>
        <v>0</v>
      </c>
      <c r="J30" s="24">
        <f t="shared" si="4"/>
        <v>0.15</v>
      </c>
      <c r="K30" s="17">
        <f t="shared" si="5"/>
        <v>0</v>
      </c>
    </row>
    <row r="31" spans="1:11" x14ac:dyDescent="0.35">
      <c r="A31" s="30"/>
      <c r="B31" s="30" t="s">
        <v>156</v>
      </c>
      <c r="C31" s="61">
        <v>7140.63</v>
      </c>
      <c r="D31" s="61">
        <v>0</v>
      </c>
      <c r="E31" s="61">
        <v>0</v>
      </c>
      <c r="F31" s="31">
        <v>0</v>
      </c>
      <c r="G31" s="61">
        <v>0</v>
      </c>
      <c r="H31" s="30"/>
      <c r="I31" s="31">
        <f t="shared" si="3"/>
        <v>7140.63</v>
      </c>
      <c r="J31" s="32">
        <f t="shared" si="4"/>
        <v>0.15</v>
      </c>
      <c r="K31" s="31">
        <f t="shared" si="5"/>
        <v>8400.7411764705885</v>
      </c>
    </row>
    <row r="32" spans="1:11" x14ac:dyDescent="0.35">
      <c r="B32" t="s">
        <v>157</v>
      </c>
      <c r="C32" s="62">
        <v>0</v>
      </c>
      <c r="D32" s="62">
        <v>0</v>
      </c>
      <c r="E32" s="62">
        <v>0</v>
      </c>
      <c r="F32" s="17">
        <v>0</v>
      </c>
      <c r="G32" s="62">
        <v>0</v>
      </c>
      <c r="I32" s="17">
        <f t="shared" si="3"/>
        <v>0</v>
      </c>
      <c r="J32" s="24">
        <f t="shared" si="4"/>
        <v>0.15</v>
      </c>
      <c r="K32" s="17">
        <f t="shared" si="5"/>
        <v>0</v>
      </c>
    </row>
    <row r="33" spans="1:11" x14ac:dyDescent="0.35">
      <c r="A33" s="30"/>
      <c r="B33" s="30" t="s">
        <v>158</v>
      </c>
      <c r="C33" s="61">
        <v>0</v>
      </c>
      <c r="D33" s="61">
        <v>0</v>
      </c>
      <c r="E33" s="61">
        <v>0</v>
      </c>
      <c r="F33" s="31">
        <v>0</v>
      </c>
      <c r="G33" s="61">
        <v>0</v>
      </c>
      <c r="H33" s="30"/>
      <c r="I33" s="31">
        <f t="shared" si="3"/>
        <v>0</v>
      </c>
      <c r="J33" s="32">
        <f t="shared" si="4"/>
        <v>0.15</v>
      </c>
      <c r="K33" s="31">
        <f t="shared" si="5"/>
        <v>0</v>
      </c>
    </row>
    <row r="34" spans="1:11" x14ac:dyDescent="0.35">
      <c r="B34" t="s">
        <v>159</v>
      </c>
      <c r="C34" s="62">
        <v>20882.349999999999</v>
      </c>
      <c r="D34" s="62">
        <v>0</v>
      </c>
      <c r="E34" s="62">
        <v>0</v>
      </c>
      <c r="F34" s="17">
        <v>0</v>
      </c>
      <c r="G34" s="62">
        <v>0</v>
      </c>
      <c r="I34" s="17">
        <f t="shared" si="3"/>
        <v>20882.349999999999</v>
      </c>
      <c r="J34" s="24">
        <f t="shared" si="4"/>
        <v>0.15</v>
      </c>
      <c r="K34" s="17">
        <f t="shared" si="5"/>
        <v>24567.470588235294</v>
      </c>
    </row>
    <row r="35" spans="1:11" x14ac:dyDescent="0.35">
      <c r="A35" s="63"/>
      <c r="B35" s="63" t="s">
        <v>85</v>
      </c>
      <c r="C35" s="63"/>
      <c r="D35" s="63"/>
      <c r="E35" s="63"/>
      <c r="F35" s="63"/>
      <c r="G35" s="63"/>
      <c r="H35" s="63"/>
      <c r="I35" s="64">
        <f>SUM(I29:I34)</f>
        <v>28022.98</v>
      </c>
      <c r="J35" s="63"/>
      <c r="K35" s="64">
        <f>SUM(K29:K34)</f>
        <v>32968.211764705884</v>
      </c>
    </row>
    <row r="37" spans="1:11" ht="16" customHeight="1" x14ac:dyDescent="0.35">
      <c r="A37" s="22" t="s">
        <v>38</v>
      </c>
      <c r="B37" s="22" t="s">
        <v>160</v>
      </c>
      <c r="C37" s="22" t="s">
        <v>143</v>
      </c>
      <c r="D37" s="22" t="s">
        <v>144</v>
      </c>
      <c r="E37" s="22" t="s">
        <v>145</v>
      </c>
      <c r="F37" s="22" t="s">
        <v>146</v>
      </c>
      <c r="G37" s="22" t="s">
        <v>147</v>
      </c>
      <c r="H37" s="22" t="s">
        <v>38</v>
      </c>
      <c r="I37" s="22" t="s">
        <v>32</v>
      </c>
      <c r="J37" s="22" t="s">
        <v>134</v>
      </c>
      <c r="K37" s="22" t="s">
        <v>41</v>
      </c>
    </row>
    <row r="38" spans="1:11" x14ac:dyDescent="0.35">
      <c r="A38" s="30"/>
      <c r="B38" s="30" t="s">
        <v>161</v>
      </c>
      <c r="C38" s="61">
        <v>7140.63</v>
      </c>
      <c r="D38" s="61">
        <v>0</v>
      </c>
      <c r="E38" s="61">
        <v>0</v>
      </c>
      <c r="F38" s="31">
        <v>0</v>
      </c>
      <c r="G38" s="61">
        <v>0</v>
      </c>
      <c r="H38" s="30"/>
      <c r="I38" s="31">
        <f t="shared" ref="I38:I43" si="6">SUM(C38:G38)</f>
        <v>7140.63</v>
      </c>
      <c r="J38" s="32">
        <f t="shared" ref="J38:J43" si="7">$D$9</f>
        <v>0.15</v>
      </c>
      <c r="K38" s="31">
        <f t="shared" ref="K38:K43" si="8">I38/(1-J38)</f>
        <v>8400.7411764705885</v>
      </c>
    </row>
    <row r="39" spans="1:11" x14ac:dyDescent="0.35">
      <c r="B39" t="s">
        <v>162</v>
      </c>
      <c r="C39" s="62">
        <v>0</v>
      </c>
      <c r="D39" s="62">
        <v>0</v>
      </c>
      <c r="E39" s="62">
        <v>0</v>
      </c>
      <c r="F39" s="17">
        <v>0</v>
      </c>
      <c r="G39" s="62">
        <v>0</v>
      </c>
      <c r="I39" s="17">
        <f t="shared" si="6"/>
        <v>0</v>
      </c>
      <c r="J39" s="24">
        <f t="shared" si="7"/>
        <v>0.15</v>
      </c>
      <c r="K39" s="17">
        <f t="shared" si="8"/>
        <v>0</v>
      </c>
    </row>
    <row r="40" spans="1:11" x14ac:dyDescent="0.35">
      <c r="A40" s="30"/>
      <c r="B40" s="30" t="s">
        <v>163</v>
      </c>
      <c r="C40" s="61">
        <v>0</v>
      </c>
      <c r="D40" s="61">
        <v>0</v>
      </c>
      <c r="E40" s="61">
        <v>0</v>
      </c>
      <c r="F40" s="31">
        <v>0</v>
      </c>
      <c r="G40" s="61">
        <v>0</v>
      </c>
      <c r="H40" s="30"/>
      <c r="I40" s="31">
        <f t="shared" si="6"/>
        <v>0</v>
      </c>
      <c r="J40" s="32">
        <f t="shared" si="7"/>
        <v>0.15</v>
      </c>
      <c r="K40" s="31">
        <f t="shared" si="8"/>
        <v>0</v>
      </c>
    </row>
    <row r="41" spans="1:11" x14ac:dyDescent="0.35">
      <c r="B41" t="s">
        <v>164</v>
      </c>
      <c r="C41" s="62">
        <v>0</v>
      </c>
      <c r="D41" s="62">
        <v>0</v>
      </c>
      <c r="E41" s="62">
        <v>0</v>
      </c>
      <c r="F41" s="17">
        <v>0</v>
      </c>
      <c r="G41" s="62">
        <v>0</v>
      </c>
      <c r="I41" s="17">
        <f t="shared" si="6"/>
        <v>0</v>
      </c>
      <c r="J41" s="24">
        <f t="shared" si="7"/>
        <v>0.15</v>
      </c>
      <c r="K41" s="17">
        <f t="shared" si="8"/>
        <v>0</v>
      </c>
    </row>
    <row r="42" spans="1:11" x14ac:dyDescent="0.35">
      <c r="A42" s="30"/>
      <c r="B42" s="30" t="s">
        <v>165</v>
      </c>
      <c r="C42" s="61">
        <v>0</v>
      </c>
      <c r="D42" s="61">
        <v>0</v>
      </c>
      <c r="E42" s="61">
        <v>0</v>
      </c>
      <c r="F42" s="31">
        <v>0</v>
      </c>
      <c r="G42" s="61">
        <v>0</v>
      </c>
      <c r="H42" s="30"/>
      <c r="I42" s="31">
        <f t="shared" si="6"/>
        <v>0</v>
      </c>
      <c r="J42" s="32">
        <f t="shared" si="7"/>
        <v>0.15</v>
      </c>
      <c r="K42" s="31">
        <f t="shared" si="8"/>
        <v>0</v>
      </c>
    </row>
    <row r="43" spans="1:11" x14ac:dyDescent="0.35">
      <c r="B43" t="s">
        <v>166</v>
      </c>
      <c r="C43" s="62">
        <v>0</v>
      </c>
      <c r="D43" s="62">
        <v>0</v>
      </c>
      <c r="E43" s="62">
        <v>0</v>
      </c>
      <c r="F43" s="17">
        <v>0</v>
      </c>
      <c r="G43" s="62">
        <v>0</v>
      </c>
      <c r="I43" s="17">
        <f t="shared" si="6"/>
        <v>0</v>
      </c>
      <c r="J43" s="24">
        <f t="shared" si="7"/>
        <v>0.15</v>
      </c>
      <c r="K43" s="17">
        <f t="shared" si="8"/>
        <v>0</v>
      </c>
    </row>
    <row r="44" spans="1:11" x14ac:dyDescent="0.35">
      <c r="A44" s="63"/>
      <c r="B44" s="63" t="s">
        <v>85</v>
      </c>
      <c r="C44" s="63"/>
      <c r="D44" s="63"/>
      <c r="E44" s="63"/>
      <c r="F44" s="63"/>
      <c r="G44" s="63"/>
      <c r="H44" s="63"/>
      <c r="I44" s="64">
        <f>SUM(I38:I43)</f>
        <v>7140.63</v>
      </c>
      <c r="J44" s="63"/>
      <c r="K44" s="64">
        <f>SUM(K38:K43)</f>
        <v>8400.7411764705885</v>
      </c>
    </row>
    <row r="46" spans="1:11" ht="16" customHeight="1" x14ac:dyDescent="0.35">
      <c r="A46" s="22" t="s">
        <v>38</v>
      </c>
      <c r="B46" s="22" t="s">
        <v>167</v>
      </c>
      <c r="C46" s="22" t="s">
        <v>143</v>
      </c>
      <c r="D46" s="22" t="s">
        <v>144</v>
      </c>
      <c r="E46" s="22" t="s">
        <v>145</v>
      </c>
      <c r="F46" s="22" t="s">
        <v>146</v>
      </c>
      <c r="G46" s="22" t="s">
        <v>147</v>
      </c>
      <c r="H46" s="22" t="s">
        <v>38</v>
      </c>
      <c r="I46" s="22" t="s">
        <v>32</v>
      </c>
      <c r="J46" s="22" t="s">
        <v>134</v>
      </c>
      <c r="K46" s="22" t="s">
        <v>41</v>
      </c>
    </row>
    <row r="47" spans="1:11" x14ac:dyDescent="0.35">
      <c r="A47" s="30"/>
      <c r="B47" s="30" t="s">
        <v>168</v>
      </c>
      <c r="C47" s="61">
        <v>4705.88</v>
      </c>
      <c r="D47" s="61">
        <v>0</v>
      </c>
      <c r="E47" s="61">
        <v>0</v>
      </c>
      <c r="F47" s="31">
        <v>0</v>
      </c>
      <c r="G47" s="61">
        <v>0</v>
      </c>
      <c r="H47" s="30"/>
      <c r="I47" s="31">
        <f>SUM(C47:G47)</f>
        <v>4705.88</v>
      </c>
      <c r="J47" s="32">
        <f>$D$11</f>
        <v>0.15</v>
      </c>
      <c r="K47" s="31">
        <f>I47/(1-J47)</f>
        <v>5536.3294117647065</v>
      </c>
    </row>
    <row r="48" spans="1:11" x14ac:dyDescent="0.35">
      <c r="B48" t="s">
        <v>169</v>
      </c>
      <c r="C48" s="62">
        <v>0</v>
      </c>
      <c r="D48" s="62">
        <v>0</v>
      </c>
      <c r="E48" s="62">
        <v>0</v>
      </c>
      <c r="F48" s="17">
        <v>0</v>
      </c>
      <c r="G48" s="62">
        <v>0</v>
      </c>
      <c r="I48" s="17">
        <f>SUM(C48:G48)</f>
        <v>0</v>
      </c>
      <c r="J48" s="24">
        <f>$D$11</f>
        <v>0.15</v>
      </c>
      <c r="K48" s="17">
        <f>I48/(1-J48)</f>
        <v>0</v>
      </c>
    </row>
    <row r="49" spans="1:11" x14ac:dyDescent="0.35">
      <c r="A49" s="30"/>
      <c r="B49" s="30" t="s">
        <v>170</v>
      </c>
      <c r="C49" s="61">
        <v>0</v>
      </c>
      <c r="D49" s="61">
        <v>0</v>
      </c>
      <c r="E49" s="61">
        <v>0</v>
      </c>
      <c r="F49" s="31">
        <v>0</v>
      </c>
      <c r="G49" s="61">
        <v>0</v>
      </c>
      <c r="H49" s="30"/>
      <c r="I49" s="31">
        <f>SUM(C49:G49)</f>
        <v>0</v>
      </c>
      <c r="J49" s="32">
        <f>$D$11</f>
        <v>0.15</v>
      </c>
      <c r="K49" s="31">
        <f>I49/(1-J49)</f>
        <v>0</v>
      </c>
    </row>
    <row r="50" spans="1:11" x14ac:dyDescent="0.35">
      <c r="B50" t="s">
        <v>171</v>
      </c>
      <c r="C50" s="62">
        <v>0</v>
      </c>
      <c r="D50" s="62">
        <v>0</v>
      </c>
      <c r="E50" s="62">
        <v>0</v>
      </c>
      <c r="F50" s="17">
        <v>0</v>
      </c>
      <c r="G50" s="62">
        <v>0</v>
      </c>
      <c r="I50" s="17">
        <f>SUM(C50:G50)</f>
        <v>0</v>
      </c>
      <c r="J50" s="24">
        <f>$D$11</f>
        <v>0.15</v>
      </c>
      <c r="K50" s="17">
        <f>I50/(1-J50)</f>
        <v>0</v>
      </c>
    </row>
    <row r="51" spans="1:11" x14ac:dyDescent="0.35">
      <c r="A51" s="30"/>
      <c r="B51" s="30" t="s">
        <v>172</v>
      </c>
      <c r="C51" s="61">
        <v>0</v>
      </c>
      <c r="D51" s="61">
        <v>0</v>
      </c>
      <c r="E51" s="61">
        <v>0</v>
      </c>
      <c r="F51" s="31">
        <v>0</v>
      </c>
      <c r="G51" s="61">
        <v>0</v>
      </c>
      <c r="H51" s="30"/>
      <c r="I51" s="31">
        <f>SUM(C51:G51)</f>
        <v>0</v>
      </c>
      <c r="J51" s="32">
        <f>$D$11</f>
        <v>0.15</v>
      </c>
      <c r="K51" s="31">
        <f>I51/(1-J51)</f>
        <v>0</v>
      </c>
    </row>
    <row r="52" spans="1:11" x14ac:dyDescent="0.35">
      <c r="A52" s="63"/>
      <c r="B52" s="63" t="s">
        <v>85</v>
      </c>
      <c r="C52" s="63"/>
      <c r="D52" s="63"/>
      <c r="E52" s="63"/>
      <c r="F52" s="63"/>
      <c r="G52" s="63"/>
      <c r="H52" s="63"/>
      <c r="I52" s="64">
        <f>SUM(I47:I51)</f>
        <v>4705.88</v>
      </c>
      <c r="J52" s="63"/>
      <c r="K52" s="64">
        <f>SUM(K47:K51)</f>
        <v>5536.3294117647065</v>
      </c>
    </row>
    <row r="54" spans="1:11" ht="15.5" x14ac:dyDescent="0.35">
      <c r="A54" s="25"/>
      <c r="B54" s="26" t="s">
        <v>173</v>
      </c>
      <c r="C54" s="25"/>
      <c r="D54" s="25"/>
      <c r="E54" s="25"/>
      <c r="F54" s="25"/>
      <c r="G54" s="25"/>
      <c r="H54" s="25"/>
      <c r="I54" s="27">
        <f>I26+I35+I44+I52</f>
        <v>41583.24</v>
      </c>
      <c r="J54" s="25"/>
      <c r="K54" s="27">
        <f>K26+K35+K44+K52</f>
        <v>48921.458823529421</v>
      </c>
    </row>
  </sheetData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8A745"/>
  </sheetPr>
  <dimension ref="A3:K54"/>
  <sheetViews>
    <sheetView workbookViewId="0"/>
  </sheetViews>
  <sheetFormatPr defaultRowHeight="14.5" x14ac:dyDescent="0.3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5" x14ac:dyDescent="0.35">
      <c r="A3" s="58" t="s">
        <v>131</v>
      </c>
    </row>
    <row r="4" spans="1:5" x14ac:dyDescent="0.35">
      <c r="A4" s="12" t="s">
        <v>10</v>
      </c>
    </row>
    <row r="5" spans="1:5" x14ac:dyDescent="0.35">
      <c r="A5" s="12" t="s">
        <v>132</v>
      </c>
    </row>
    <row r="7" spans="1:5" x14ac:dyDescent="0.35">
      <c r="C7" s="23" t="s">
        <v>133</v>
      </c>
    </row>
    <row r="8" spans="1:5" x14ac:dyDescent="0.35">
      <c r="C8" t="s">
        <v>134</v>
      </c>
      <c r="D8" s="18">
        <v>0.15</v>
      </c>
    </row>
    <row r="9" spans="1:5" x14ac:dyDescent="0.35">
      <c r="C9" t="s">
        <v>135</v>
      </c>
      <c r="D9" s="18">
        <v>0.15</v>
      </c>
    </row>
    <row r="10" spans="1:5" x14ac:dyDescent="0.35">
      <c r="C10" t="s">
        <v>110</v>
      </c>
      <c r="D10" s="18">
        <v>0.15</v>
      </c>
    </row>
    <row r="11" spans="1:5" x14ac:dyDescent="0.35">
      <c r="C11" t="s">
        <v>136</v>
      </c>
      <c r="D11" s="18">
        <v>0.15</v>
      </c>
    </row>
    <row r="15" spans="1:5" ht="15.5" x14ac:dyDescent="0.35">
      <c r="B15" s="59" t="s">
        <v>183</v>
      </c>
    </row>
    <row r="16" spans="1:5" x14ac:dyDescent="0.35">
      <c r="B16" s="2" t="s">
        <v>138</v>
      </c>
      <c r="C16" s="2" t="s">
        <v>139</v>
      </c>
      <c r="D16" s="2" t="s">
        <v>140</v>
      </c>
      <c r="E16" s="2" t="s">
        <v>141</v>
      </c>
    </row>
    <row r="17" spans="1:11" x14ac:dyDescent="0.35">
      <c r="B17" s="45">
        <v>7.91</v>
      </c>
      <c r="C17" s="45">
        <v>7.91</v>
      </c>
      <c r="D17" s="60">
        <v>62.57</v>
      </c>
      <c r="E17">
        <v>1</v>
      </c>
    </row>
    <row r="19" spans="1:11" ht="16" customHeight="1" x14ac:dyDescent="0.35">
      <c r="A19" s="22" t="s">
        <v>38</v>
      </c>
      <c r="B19" s="22" t="s">
        <v>142</v>
      </c>
      <c r="C19" s="22" t="s">
        <v>143</v>
      </c>
      <c r="D19" s="22" t="s">
        <v>144</v>
      </c>
      <c r="E19" s="22" t="s">
        <v>145</v>
      </c>
      <c r="F19" s="22" t="s">
        <v>146</v>
      </c>
      <c r="G19" s="22" t="s">
        <v>147</v>
      </c>
      <c r="H19" s="22" t="s">
        <v>38</v>
      </c>
      <c r="I19" s="22" t="s">
        <v>32</v>
      </c>
      <c r="J19" s="22" t="s">
        <v>134</v>
      </c>
      <c r="K19" s="22" t="s">
        <v>41</v>
      </c>
    </row>
    <row r="20" spans="1:11" x14ac:dyDescent="0.35">
      <c r="A20" s="30"/>
      <c r="B20" s="30" t="s">
        <v>148</v>
      </c>
      <c r="C20" s="61">
        <v>0</v>
      </c>
      <c r="D20" s="61">
        <v>0</v>
      </c>
      <c r="E20" s="61">
        <v>0</v>
      </c>
      <c r="F20" s="31">
        <v>0</v>
      </c>
      <c r="G20" s="61">
        <v>0</v>
      </c>
      <c r="H20" s="30"/>
      <c r="I20" s="31">
        <f t="shared" ref="I20:I25" si="0">SUM(C20:G20)</f>
        <v>0</v>
      </c>
      <c r="J20" s="32">
        <f t="shared" ref="J20:J25" si="1">$D$8</f>
        <v>0.15</v>
      </c>
      <c r="K20" s="31">
        <f t="shared" ref="K20:K25" si="2">I20/(1-J20)</f>
        <v>0</v>
      </c>
    </row>
    <row r="21" spans="1:11" x14ac:dyDescent="0.35">
      <c r="B21" t="s">
        <v>149</v>
      </c>
      <c r="C21" s="62">
        <v>0</v>
      </c>
      <c r="D21" s="62">
        <v>0</v>
      </c>
      <c r="E21" s="62">
        <v>0</v>
      </c>
      <c r="F21" s="17">
        <v>0</v>
      </c>
      <c r="G21" s="62">
        <v>0</v>
      </c>
      <c r="I21" s="17">
        <f t="shared" si="0"/>
        <v>0</v>
      </c>
      <c r="J21" s="24">
        <f t="shared" si="1"/>
        <v>0.15</v>
      </c>
      <c r="K21" s="17">
        <f t="shared" si="2"/>
        <v>0</v>
      </c>
    </row>
    <row r="22" spans="1:11" x14ac:dyDescent="0.35">
      <c r="A22" s="30"/>
      <c r="B22" s="30" t="s">
        <v>150</v>
      </c>
      <c r="C22" s="61">
        <v>1147.5</v>
      </c>
      <c r="D22" s="61">
        <v>0</v>
      </c>
      <c r="E22" s="61">
        <v>0</v>
      </c>
      <c r="F22" s="31">
        <v>0</v>
      </c>
      <c r="G22" s="61">
        <v>0</v>
      </c>
      <c r="H22" s="30"/>
      <c r="I22" s="31">
        <f t="shared" si="0"/>
        <v>1147.5</v>
      </c>
      <c r="J22" s="32">
        <f t="shared" si="1"/>
        <v>0.15</v>
      </c>
      <c r="K22" s="31">
        <f t="shared" si="2"/>
        <v>1350</v>
      </c>
    </row>
    <row r="23" spans="1:11" x14ac:dyDescent="0.35">
      <c r="B23" t="s">
        <v>151</v>
      </c>
      <c r="C23" s="62">
        <v>0</v>
      </c>
      <c r="D23" s="62">
        <v>0</v>
      </c>
      <c r="E23" s="62">
        <v>0</v>
      </c>
      <c r="F23" s="17">
        <v>0</v>
      </c>
      <c r="G23" s="62">
        <v>0</v>
      </c>
      <c r="I23" s="17">
        <f t="shared" si="0"/>
        <v>0</v>
      </c>
      <c r="J23" s="24">
        <f t="shared" si="1"/>
        <v>0.15</v>
      </c>
      <c r="K23" s="17">
        <f t="shared" si="2"/>
        <v>0</v>
      </c>
    </row>
    <row r="24" spans="1:11" x14ac:dyDescent="0.35">
      <c r="A24" s="30"/>
      <c r="B24" s="30" t="s">
        <v>152</v>
      </c>
      <c r="C24" s="61">
        <v>0</v>
      </c>
      <c r="D24" s="61">
        <v>0</v>
      </c>
      <c r="E24" s="61">
        <v>0</v>
      </c>
      <c r="F24" s="31">
        <v>0</v>
      </c>
      <c r="G24" s="61">
        <v>0</v>
      </c>
      <c r="H24" s="30"/>
      <c r="I24" s="31">
        <f t="shared" si="0"/>
        <v>0</v>
      </c>
      <c r="J24" s="32">
        <f t="shared" si="1"/>
        <v>0.15</v>
      </c>
      <c r="K24" s="31">
        <f t="shared" si="2"/>
        <v>0</v>
      </c>
    </row>
    <row r="25" spans="1:11" x14ac:dyDescent="0.35">
      <c r="B25" t="s">
        <v>152</v>
      </c>
      <c r="C25" s="62">
        <v>0</v>
      </c>
      <c r="D25" s="62">
        <v>0</v>
      </c>
      <c r="E25" s="62">
        <v>0</v>
      </c>
      <c r="F25" s="17">
        <v>0</v>
      </c>
      <c r="G25" s="62">
        <v>0</v>
      </c>
      <c r="I25" s="17">
        <f t="shared" si="0"/>
        <v>0</v>
      </c>
      <c r="J25" s="24">
        <f t="shared" si="1"/>
        <v>0.15</v>
      </c>
      <c r="K25" s="17">
        <f t="shared" si="2"/>
        <v>0</v>
      </c>
    </row>
    <row r="26" spans="1:11" x14ac:dyDescent="0.35">
      <c r="A26" s="63"/>
      <c r="B26" s="63" t="s">
        <v>85</v>
      </c>
      <c r="C26" s="63"/>
      <c r="D26" s="63"/>
      <c r="E26" s="63"/>
      <c r="F26" s="63"/>
      <c r="G26" s="63"/>
      <c r="H26" s="63"/>
      <c r="I26" s="64">
        <f>SUM(I20:I25)</f>
        <v>1147.5</v>
      </c>
      <c r="J26" s="63"/>
      <c r="K26" s="64">
        <f>SUM(K20:K25)</f>
        <v>1350</v>
      </c>
    </row>
    <row r="28" spans="1:11" ht="16" customHeight="1" x14ac:dyDescent="0.35">
      <c r="A28" s="22" t="s">
        <v>38</v>
      </c>
      <c r="B28" s="22" t="s">
        <v>153</v>
      </c>
      <c r="C28" s="22" t="s">
        <v>143</v>
      </c>
      <c r="D28" s="22" t="s">
        <v>144</v>
      </c>
      <c r="E28" s="22" t="s">
        <v>145</v>
      </c>
      <c r="F28" s="22" t="s">
        <v>146</v>
      </c>
      <c r="G28" s="22" t="s">
        <v>147</v>
      </c>
      <c r="H28" s="22" t="s">
        <v>38</v>
      </c>
      <c r="I28" s="22" t="s">
        <v>32</v>
      </c>
      <c r="J28" s="22" t="s">
        <v>134</v>
      </c>
      <c r="K28" s="22" t="s">
        <v>41</v>
      </c>
    </row>
    <row r="29" spans="1:11" x14ac:dyDescent="0.35">
      <c r="A29" s="30"/>
      <c r="B29" s="30" t="s">
        <v>154</v>
      </c>
      <c r="C29" s="61">
        <v>0</v>
      </c>
      <c r="D29" s="61">
        <v>0</v>
      </c>
      <c r="E29" s="61">
        <v>0</v>
      </c>
      <c r="F29" s="31">
        <v>0</v>
      </c>
      <c r="G29" s="61">
        <v>0</v>
      </c>
      <c r="H29" s="30"/>
      <c r="I29" s="31">
        <f t="shared" ref="I29:I34" si="3">SUM(C29:G29)</f>
        <v>0</v>
      </c>
      <c r="J29" s="32">
        <f t="shared" ref="J29:J34" si="4">$D$8</f>
        <v>0.15</v>
      </c>
      <c r="K29" s="31">
        <f t="shared" ref="K29:K34" si="5">I29/(1-J29)</f>
        <v>0</v>
      </c>
    </row>
    <row r="30" spans="1:11" x14ac:dyDescent="0.35">
      <c r="B30" t="s">
        <v>155</v>
      </c>
      <c r="C30" s="62">
        <v>0</v>
      </c>
      <c r="D30" s="62">
        <v>0</v>
      </c>
      <c r="E30" s="62">
        <v>0</v>
      </c>
      <c r="F30" s="17">
        <v>0</v>
      </c>
      <c r="G30" s="62">
        <v>0</v>
      </c>
      <c r="I30" s="17">
        <f t="shared" si="3"/>
        <v>0</v>
      </c>
      <c r="J30" s="24">
        <f t="shared" si="4"/>
        <v>0.15</v>
      </c>
      <c r="K30" s="17">
        <f t="shared" si="5"/>
        <v>0</v>
      </c>
    </row>
    <row r="31" spans="1:11" x14ac:dyDescent="0.35">
      <c r="A31" s="30"/>
      <c r="B31" s="30" t="s">
        <v>156</v>
      </c>
      <c r="C31" s="61">
        <v>4781.25</v>
      </c>
      <c r="D31" s="61">
        <v>0</v>
      </c>
      <c r="E31" s="61">
        <v>0</v>
      </c>
      <c r="F31" s="31">
        <v>0</v>
      </c>
      <c r="G31" s="61">
        <v>0</v>
      </c>
      <c r="H31" s="30"/>
      <c r="I31" s="31">
        <f t="shared" si="3"/>
        <v>4781.25</v>
      </c>
      <c r="J31" s="32">
        <f t="shared" si="4"/>
        <v>0.15</v>
      </c>
      <c r="K31" s="31">
        <f t="shared" si="5"/>
        <v>5625</v>
      </c>
    </row>
    <row r="32" spans="1:11" x14ac:dyDescent="0.35">
      <c r="B32" t="s">
        <v>157</v>
      </c>
      <c r="C32" s="62">
        <v>0</v>
      </c>
      <c r="D32" s="62">
        <v>0</v>
      </c>
      <c r="E32" s="62">
        <v>0</v>
      </c>
      <c r="F32" s="17">
        <v>0</v>
      </c>
      <c r="G32" s="62">
        <v>0</v>
      </c>
      <c r="I32" s="17">
        <f t="shared" si="3"/>
        <v>0</v>
      </c>
      <c r="J32" s="24">
        <f t="shared" si="4"/>
        <v>0.15</v>
      </c>
      <c r="K32" s="17">
        <f t="shared" si="5"/>
        <v>0</v>
      </c>
    </row>
    <row r="33" spans="1:11" x14ac:dyDescent="0.35">
      <c r="A33" s="30"/>
      <c r="B33" s="30" t="s">
        <v>158</v>
      </c>
      <c r="C33" s="61">
        <v>0</v>
      </c>
      <c r="D33" s="61">
        <v>0</v>
      </c>
      <c r="E33" s="61">
        <v>0</v>
      </c>
      <c r="F33" s="31">
        <v>0</v>
      </c>
      <c r="G33" s="61">
        <v>0</v>
      </c>
      <c r="H33" s="30"/>
      <c r="I33" s="31">
        <f t="shared" si="3"/>
        <v>0</v>
      </c>
      <c r="J33" s="32">
        <f t="shared" si="4"/>
        <v>0.15</v>
      </c>
      <c r="K33" s="31">
        <f t="shared" si="5"/>
        <v>0</v>
      </c>
    </row>
    <row r="34" spans="1:11" x14ac:dyDescent="0.35">
      <c r="B34" t="s">
        <v>159</v>
      </c>
      <c r="C34" s="62">
        <v>20882.349999999999</v>
      </c>
      <c r="D34" s="62">
        <v>0</v>
      </c>
      <c r="E34" s="62">
        <v>0</v>
      </c>
      <c r="F34" s="17">
        <v>0</v>
      </c>
      <c r="G34" s="62">
        <v>0</v>
      </c>
      <c r="I34" s="17">
        <f t="shared" si="3"/>
        <v>20882.349999999999</v>
      </c>
      <c r="J34" s="24">
        <f t="shared" si="4"/>
        <v>0.15</v>
      </c>
      <c r="K34" s="17">
        <f t="shared" si="5"/>
        <v>24567.470588235294</v>
      </c>
    </row>
    <row r="35" spans="1:11" x14ac:dyDescent="0.35">
      <c r="A35" s="63"/>
      <c r="B35" s="63" t="s">
        <v>85</v>
      </c>
      <c r="C35" s="63"/>
      <c r="D35" s="63"/>
      <c r="E35" s="63"/>
      <c r="F35" s="63"/>
      <c r="G35" s="63"/>
      <c r="H35" s="63"/>
      <c r="I35" s="64">
        <f>SUM(I29:I34)</f>
        <v>25663.599999999999</v>
      </c>
      <c r="J35" s="63"/>
      <c r="K35" s="64">
        <f>SUM(K29:K34)</f>
        <v>30192.470588235294</v>
      </c>
    </row>
    <row r="37" spans="1:11" ht="16" customHeight="1" x14ac:dyDescent="0.35">
      <c r="A37" s="22" t="s">
        <v>38</v>
      </c>
      <c r="B37" s="22" t="s">
        <v>160</v>
      </c>
      <c r="C37" s="22" t="s">
        <v>143</v>
      </c>
      <c r="D37" s="22" t="s">
        <v>144</v>
      </c>
      <c r="E37" s="22" t="s">
        <v>145</v>
      </c>
      <c r="F37" s="22" t="s">
        <v>146</v>
      </c>
      <c r="G37" s="22" t="s">
        <v>147</v>
      </c>
      <c r="H37" s="22" t="s">
        <v>38</v>
      </c>
      <c r="I37" s="22" t="s">
        <v>32</v>
      </c>
      <c r="J37" s="22" t="s">
        <v>134</v>
      </c>
      <c r="K37" s="22" t="s">
        <v>41</v>
      </c>
    </row>
    <row r="38" spans="1:11" x14ac:dyDescent="0.35">
      <c r="A38" s="30"/>
      <c r="B38" s="30" t="s">
        <v>161</v>
      </c>
      <c r="C38" s="61">
        <v>4781.25</v>
      </c>
      <c r="D38" s="61">
        <v>0</v>
      </c>
      <c r="E38" s="61">
        <v>0</v>
      </c>
      <c r="F38" s="31">
        <v>0</v>
      </c>
      <c r="G38" s="61">
        <v>0</v>
      </c>
      <c r="H38" s="30"/>
      <c r="I38" s="31">
        <f t="shared" ref="I38:I43" si="6">SUM(C38:G38)</f>
        <v>4781.25</v>
      </c>
      <c r="J38" s="32">
        <f t="shared" ref="J38:J43" si="7">$D$9</f>
        <v>0.15</v>
      </c>
      <c r="K38" s="31">
        <f t="shared" ref="K38:K43" si="8">I38/(1-J38)</f>
        <v>5625</v>
      </c>
    </row>
    <row r="39" spans="1:11" x14ac:dyDescent="0.35">
      <c r="B39" t="s">
        <v>162</v>
      </c>
      <c r="C39" s="62">
        <v>0</v>
      </c>
      <c r="D39" s="62">
        <v>0</v>
      </c>
      <c r="E39" s="62">
        <v>0</v>
      </c>
      <c r="F39" s="17">
        <v>0</v>
      </c>
      <c r="G39" s="62">
        <v>0</v>
      </c>
      <c r="I39" s="17">
        <f t="shared" si="6"/>
        <v>0</v>
      </c>
      <c r="J39" s="24">
        <f t="shared" si="7"/>
        <v>0.15</v>
      </c>
      <c r="K39" s="17">
        <f t="shared" si="8"/>
        <v>0</v>
      </c>
    </row>
    <row r="40" spans="1:11" x14ac:dyDescent="0.35">
      <c r="A40" s="30"/>
      <c r="B40" s="30" t="s">
        <v>163</v>
      </c>
      <c r="C40" s="61">
        <v>0</v>
      </c>
      <c r="D40" s="61">
        <v>0</v>
      </c>
      <c r="E40" s="61">
        <v>0</v>
      </c>
      <c r="F40" s="31">
        <v>0</v>
      </c>
      <c r="G40" s="61">
        <v>0</v>
      </c>
      <c r="H40" s="30"/>
      <c r="I40" s="31">
        <f t="shared" si="6"/>
        <v>0</v>
      </c>
      <c r="J40" s="32">
        <f t="shared" si="7"/>
        <v>0.15</v>
      </c>
      <c r="K40" s="31">
        <f t="shared" si="8"/>
        <v>0</v>
      </c>
    </row>
    <row r="41" spans="1:11" x14ac:dyDescent="0.35">
      <c r="B41" t="s">
        <v>164</v>
      </c>
      <c r="C41" s="62">
        <v>0</v>
      </c>
      <c r="D41" s="62">
        <v>0</v>
      </c>
      <c r="E41" s="62">
        <v>0</v>
      </c>
      <c r="F41" s="17">
        <v>0</v>
      </c>
      <c r="G41" s="62">
        <v>0</v>
      </c>
      <c r="I41" s="17">
        <f t="shared" si="6"/>
        <v>0</v>
      </c>
      <c r="J41" s="24">
        <f t="shared" si="7"/>
        <v>0.15</v>
      </c>
      <c r="K41" s="17">
        <f t="shared" si="8"/>
        <v>0</v>
      </c>
    </row>
    <row r="42" spans="1:11" x14ac:dyDescent="0.35">
      <c r="A42" s="30"/>
      <c r="B42" s="30" t="s">
        <v>165</v>
      </c>
      <c r="C42" s="61">
        <v>0</v>
      </c>
      <c r="D42" s="61">
        <v>0</v>
      </c>
      <c r="E42" s="61">
        <v>0</v>
      </c>
      <c r="F42" s="31">
        <v>0</v>
      </c>
      <c r="G42" s="61">
        <v>0</v>
      </c>
      <c r="H42" s="30"/>
      <c r="I42" s="31">
        <f t="shared" si="6"/>
        <v>0</v>
      </c>
      <c r="J42" s="32">
        <f t="shared" si="7"/>
        <v>0.15</v>
      </c>
      <c r="K42" s="31">
        <f t="shared" si="8"/>
        <v>0</v>
      </c>
    </row>
    <row r="43" spans="1:11" x14ac:dyDescent="0.35">
      <c r="B43" t="s">
        <v>166</v>
      </c>
      <c r="C43" s="62">
        <v>0</v>
      </c>
      <c r="D43" s="62">
        <v>0</v>
      </c>
      <c r="E43" s="62">
        <v>0</v>
      </c>
      <c r="F43" s="17">
        <v>0</v>
      </c>
      <c r="G43" s="62">
        <v>0</v>
      </c>
      <c r="I43" s="17">
        <f t="shared" si="6"/>
        <v>0</v>
      </c>
      <c r="J43" s="24">
        <f t="shared" si="7"/>
        <v>0.15</v>
      </c>
      <c r="K43" s="17">
        <f t="shared" si="8"/>
        <v>0</v>
      </c>
    </row>
    <row r="44" spans="1:11" x14ac:dyDescent="0.35">
      <c r="A44" s="63"/>
      <c r="B44" s="63" t="s">
        <v>85</v>
      </c>
      <c r="C44" s="63"/>
      <c r="D44" s="63"/>
      <c r="E44" s="63"/>
      <c r="F44" s="63"/>
      <c r="G44" s="63"/>
      <c r="H44" s="63"/>
      <c r="I44" s="64">
        <f>SUM(I38:I43)</f>
        <v>4781.25</v>
      </c>
      <c r="J44" s="63"/>
      <c r="K44" s="64">
        <f>SUM(K38:K43)</f>
        <v>5625</v>
      </c>
    </row>
    <row r="46" spans="1:11" ht="16" customHeight="1" x14ac:dyDescent="0.35">
      <c r="A46" s="22" t="s">
        <v>38</v>
      </c>
      <c r="B46" s="22" t="s">
        <v>167</v>
      </c>
      <c r="C46" s="22" t="s">
        <v>143</v>
      </c>
      <c r="D46" s="22" t="s">
        <v>144</v>
      </c>
      <c r="E46" s="22" t="s">
        <v>145</v>
      </c>
      <c r="F46" s="22" t="s">
        <v>146</v>
      </c>
      <c r="G46" s="22" t="s">
        <v>147</v>
      </c>
      <c r="H46" s="22" t="s">
        <v>38</v>
      </c>
      <c r="I46" s="22" t="s">
        <v>32</v>
      </c>
      <c r="J46" s="22" t="s">
        <v>134</v>
      </c>
      <c r="K46" s="22" t="s">
        <v>41</v>
      </c>
    </row>
    <row r="47" spans="1:11" x14ac:dyDescent="0.35">
      <c r="A47" s="30"/>
      <c r="B47" s="30" t="s">
        <v>168</v>
      </c>
      <c r="C47" s="61">
        <v>4705.88</v>
      </c>
      <c r="D47" s="61">
        <v>0</v>
      </c>
      <c r="E47" s="61">
        <v>0</v>
      </c>
      <c r="F47" s="31">
        <v>0</v>
      </c>
      <c r="G47" s="61">
        <v>0</v>
      </c>
      <c r="H47" s="30"/>
      <c r="I47" s="31">
        <f>SUM(C47:G47)</f>
        <v>4705.88</v>
      </c>
      <c r="J47" s="32">
        <f>$D$11</f>
        <v>0.15</v>
      </c>
      <c r="K47" s="31">
        <f>I47/(1-J47)</f>
        <v>5536.3294117647065</v>
      </c>
    </row>
    <row r="48" spans="1:11" x14ac:dyDescent="0.35">
      <c r="B48" t="s">
        <v>169</v>
      </c>
      <c r="C48" s="62">
        <v>0</v>
      </c>
      <c r="D48" s="62">
        <v>0</v>
      </c>
      <c r="E48" s="62">
        <v>0</v>
      </c>
      <c r="F48" s="17">
        <v>0</v>
      </c>
      <c r="G48" s="62">
        <v>0</v>
      </c>
      <c r="I48" s="17">
        <f>SUM(C48:G48)</f>
        <v>0</v>
      </c>
      <c r="J48" s="24">
        <f>$D$11</f>
        <v>0.15</v>
      </c>
      <c r="K48" s="17">
        <f>I48/(1-J48)</f>
        <v>0</v>
      </c>
    </row>
    <row r="49" spans="1:11" x14ac:dyDescent="0.35">
      <c r="A49" s="30"/>
      <c r="B49" s="30" t="s">
        <v>170</v>
      </c>
      <c r="C49" s="61">
        <v>0</v>
      </c>
      <c r="D49" s="61">
        <v>0</v>
      </c>
      <c r="E49" s="61">
        <v>0</v>
      </c>
      <c r="F49" s="31">
        <v>0</v>
      </c>
      <c r="G49" s="61">
        <v>0</v>
      </c>
      <c r="H49" s="30"/>
      <c r="I49" s="31">
        <f>SUM(C49:G49)</f>
        <v>0</v>
      </c>
      <c r="J49" s="32">
        <f>$D$11</f>
        <v>0.15</v>
      </c>
      <c r="K49" s="31">
        <f>I49/(1-J49)</f>
        <v>0</v>
      </c>
    </row>
    <row r="50" spans="1:11" x14ac:dyDescent="0.35">
      <c r="B50" t="s">
        <v>171</v>
      </c>
      <c r="C50" s="62">
        <v>0</v>
      </c>
      <c r="D50" s="62">
        <v>0</v>
      </c>
      <c r="E50" s="62">
        <v>0</v>
      </c>
      <c r="F50" s="17">
        <v>0</v>
      </c>
      <c r="G50" s="62">
        <v>0</v>
      </c>
      <c r="I50" s="17">
        <f>SUM(C50:G50)</f>
        <v>0</v>
      </c>
      <c r="J50" s="24">
        <f>$D$11</f>
        <v>0.15</v>
      </c>
      <c r="K50" s="17">
        <f>I50/(1-J50)</f>
        <v>0</v>
      </c>
    </row>
    <row r="51" spans="1:11" x14ac:dyDescent="0.35">
      <c r="A51" s="30"/>
      <c r="B51" s="30" t="s">
        <v>172</v>
      </c>
      <c r="C51" s="61">
        <v>0</v>
      </c>
      <c r="D51" s="61">
        <v>0</v>
      </c>
      <c r="E51" s="61">
        <v>0</v>
      </c>
      <c r="F51" s="31">
        <v>0</v>
      </c>
      <c r="G51" s="61">
        <v>0</v>
      </c>
      <c r="H51" s="30"/>
      <c r="I51" s="31">
        <f>SUM(C51:G51)</f>
        <v>0</v>
      </c>
      <c r="J51" s="32">
        <f>$D$11</f>
        <v>0.15</v>
      </c>
      <c r="K51" s="31">
        <f>I51/(1-J51)</f>
        <v>0</v>
      </c>
    </row>
    <row r="52" spans="1:11" x14ac:dyDescent="0.35">
      <c r="A52" s="63"/>
      <c r="B52" s="63" t="s">
        <v>85</v>
      </c>
      <c r="C52" s="63"/>
      <c r="D52" s="63"/>
      <c r="E52" s="63"/>
      <c r="F52" s="63"/>
      <c r="G52" s="63"/>
      <c r="H52" s="63"/>
      <c r="I52" s="64">
        <f>SUM(I47:I51)</f>
        <v>4705.88</v>
      </c>
      <c r="J52" s="63"/>
      <c r="K52" s="64">
        <f>SUM(K47:K51)</f>
        <v>5536.3294117647065</v>
      </c>
    </row>
    <row r="54" spans="1:11" ht="15.5" x14ac:dyDescent="0.35">
      <c r="A54" s="25"/>
      <c r="B54" s="26" t="s">
        <v>173</v>
      </c>
      <c r="C54" s="25"/>
      <c r="D54" s="25"/>
      <c r="E54" s="25"/>
      <c r="F54" s="25"/>
      <c r="G54" s="25"/>
      <c r="H54" s="25"/>
      <c r="I54" s="27">
        <f>I26+I35+I44+I52</f>
        <v>36298.229999999996</v>
      </c>
      <c r="J54" s="25"/>
      <c r="K54" s="27">
        <f>K26+K35+K44+K52</f>
        <v>42703.8</v>
      </c>
    </row>
  </sheetData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8A745"/>
  </sheetPr>
  <dimension ref="A1:I23"/>
  <sheetViews>
    <sheetView workbookViewId="0"/>
  </sheetViews>
  <sheetFormatPr defaultRowHeight="14.5" x14ac:dyDescent="0.3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spans="1:9" ht="24" customHeight="1" x14ac:dyDescent="0.35">
      <c r="A1" s="88" t="s">
        <v>184</v>
      </c>
      <c r="B1" s="88"/>
      <c r="C1" s="88"/>
      <c r="D1" s="88"/>
      <c r="E1" s="88"/>
      <c r="F1" s="88"/>
      <c r="G1" s="88"/>
      <c r="H1" s="88"/>
      <c r="I1" s="88"/>
    </row>
    <row r="4" spans="1:9" ht="18.649999999999999" customHeight="1" x14ac:dyDescent="0.35">
      <c r="A4" s="22" t="s">
        <v>38</v>
      </c>
      <c r="B4" s="22" t="s">
        <v>91</v>
      </c>
      <c r="C4" s="22" t="s">
        <v>185</v>
      </c>
      <c r="D4" s="22" t="s">
        <v>186</v>
      </c>
      <c r="E4" s="22" t="s">
        <v>187</v>
      </c>
      <c r="F4" s="22" t="s">
        <v>188</v>
      </c>
      <c r="G4" s="22" t="s">
        <v>189</v>
      </c>
      <c r="H4" s="22" t="s">
        <v>190</v>
      </c>
      <c r="I4" s="22" t="s">
        <v>191</v>
      </c>
    </row>
    <row r="5" spans="1:9" x14ac:dyDescent="0.35">
      <c r="A5" s="30"/>
      <c r="B5" s="38" t="s">
        <v>192</v>
      </c>
      <c r="C5" s="43">
        <v>1920</v>
      </c>
      <c r="D5" s="43">
        <v>1080</v>
      </c>
      <c r="E5" s="30">
        <v>8</v>
      </c>
      <c r="F5" s="30"/>
      <c r="G5" s="43">
        <v>650000</v>
      </c>
      <c r="H5" s="43">
        <v>455000</v>
      </c>
      <c r="I5" s="43">
        <v>320000</v>
      </c>
    </row>
    <row r="6" spans="1:9" x14ac:dyDescent="0.35">
      <c r="B6" s="23" t="s">
        <v>193</v>
      </c>
      <c r="C6" s="49">
        <v>3840</v>
      </c>
      <c r="D6" s="49">
        <v>2160</v>
      </c>
      <c r="E6">
        <v>16</v>
      </c>
      <c r="G6" s="49">
        <v>650000</v>
      </c>
      <c r="H6" s="49">
        <v>455000</v>
      </c>
      <c r="I6" s="49">
        <v>320000</v>
      </c>
    </row>
    <row r="7" spans="1:9" x14ac:dyDescent="0.35">
      <c r="A7" s="30"/>
      <c r="B7" s="38" t="s">
        <v>194</v>
      </c>
      <c r="C7" s="43">
        <v>7680</v>
      </c>
      <c r="D7" s="43">
        <v>4320</v>
      </c>
      <c r="E7" s="30">
        <v>20</v>
      </c>
      <c r="F7" s="30"/>
      <c r="G7" s="43">
        <v>1200000</v>
      </c>
      <c r="H7" s="43">
        <v>960000</v>
      </c>
      <c r="I7" s="43">
        <v>650000</v>
      </c>
    </row>
    <row r="10" spans="1:9" ht="15.5" x14ac:dyDescent="0.35">
      <c r="B10" s="59" t="s">
        <v>195</v>
      </c>
    </row>
    <row r="11" spans="1:9" ht="18.649999999999999" customHeight="1" x14ac:dyDescent="0.35">
      <c r="A11" s="1" t="s">
        <v>38</v>
      </c>
      <c r="B11" s="1" t="s">
        <v>91</v>
      </c>
      <c r="C11" s="1" t="s">
        <v>185</v>
      </c>
      <c r="D11" s="1" t="s">
        <v>186</v>
      </c>
      <c r="E11" s="1" t="s">
        <v>102</v>
      </c>
      <c r="F11" s="1" t="s">
        <v>196</v>
      </c>
      <c r="G11" s="1" t="s">
        <v>197</v>
      </c>
      <c r="H11" s="1" t="s">
        <v>198</v>
      </c>
      <c r="I11" s="1" t="s">
        <v>199</v>
      </c>
    </row>
    <row r="12" spans="1:9" x14ac:dyDescent="0.35">
      <c r="A12" s="30"/>
      <c r="B12" s="30" t="str">
        <f>'LED Cost Sheet'!A4</f>
        <v>Underpass 1 — 9A Underpass 1-4</v>
      </c>
      <c r="C12" s="43">
        <f>'LED Cost Sheet'!H4</f>
        <v>6.3</v>
      </c>
      <c r="D12" s="43" t="str">
        <f>'LED Cost Sheet'!G4</f>
        <v>2.5mm</v>
      </c>
      <c r="E12" s="30">
        <f>'LED Cost Sheet'!I4</f>
        <v>18.11</v>
      </c>
      <c r="F12" s="43" t="e">
        <f t="shared" ref="F12:F22" si="0">C12*D12*E12</f>
        <v>#VALUE!</v>
      </c>
      <c r="G12" s="30">
        <f t="shared" ref="G12:G22" si="1">IFERROR(CEILING(F12/650000,1),0)</f>
        <v>0</v>
      </c>
      <c r="H12" s="30" t="str">
        <f t="shared" ref="H12:H22" si="2">IF(G12&gt;8,"MCTRL4K","660 Pro")</f>
        <v>660 Pro</v>
      </c>
      <c r="I12" s="30">
        <f t="shared" ref="I12:I22" si="3">IFERROR(CEILING(G12/IF(G12&gt;8,16,8),1),0)</f>
        <v>0</v>
      </c>
    </row>
    <row r="13" spans="1:9" x14ac:dyDescent="0.35">
      <c r="B13" t="str">
        <f>'LED Cost Sheet'!A5</f>
        <v>Underpass 2 — 9A Underpass 1-4</v>
      </c>
      <c r="C13" s="49">
        <f>'LED Cost Sheet'!H5</f>
        <v>7.48</v>
      </c>
      <c r="D13" s="49" t="str">
        <f>'LED Cost Sheet'!G5</f>
        <v>2.5mm</v>
      </c>
      <c r="E13">
        <f>'LED Cost Sheet'!I5</f>
        <v>29.92</v>
      </c>
      <c r="F13" s="49" t="e">
        <f t="shared" si="0"/>
        <v>#VALUE!</v>
      </c>
      <c r="G13">
        <f t="shared" si="1"/>
        <v>0</v>
      </c>
      <c r="H13" t="str">
        <f t="shared" si="2"/>
        <v>660 Pro</v>
      </c>
      <c r="I13">
        <f t="shared" si="3"/>
        <v>0</v>
      </c>
    </row>
    <row r="14" spans="1:9" x14ac:dyDescent="0.35">
      <c r="A14" s="30"/>
      <c r="B14" s="30" t="str">
        <f>'LED Cost Sheet'!A6</f>
        <v>Underpass 3 — 9A Underpass 1-4</v>
      </c>
      <c r="C14" s="43">
        <f>'LED Cost Sheet'!H6</f>
        <v>7.48</v>
      </c>
      <c r="D14" s="43" t="str">
        <f>'LED Cost Sheet'!G6</f>
        <v>2.5mm</v>
      </c>
      <c r="E14" s="30">
        <f>'LED Cost Sheet'!I6</f>
        <v>29.92</v>
      </c>
      <c r="F14" s="43" t="e">
        <f t="shared" si="0"/>
        <v>#VALUE!</v>
      </c>
      <c r="G14" s="30">
        <f t="shared" si="1"/>
        <v>0</v>
      </c>
      <c r="H14" s="30" t="str">
        <f t="shared" si="2"/>
        <v>660 Pro</v>
      </c>
      <c r="I14" s="30">
        <f t="shared" si="3"/>
        <v>0</v>
      </c>
    </row>
    <row r="15" spans="1:9" x14ac:dyDescent="0.35">
      <c r="B15" t="str">
        <f>'LED Cost Sheet'!A7</f>
        <v>Underpass 4 — 9A Underpass 1-4</v>
      </c>
      <c r="C15" s="49">
        <f>'LED Cost Sheet'!H7</f>
        <v>12.6</v>
      </c>
      <c r="D15" s="49" t="str">
        <f>'LED Cost Sheet'!G7</f>
        <v>2.5mm</v>
      </c>
      <c r="E15">
        <f>'LED Cost Sheet'!I7</f>
        <v>29.92</v>
      </c>
      <c r="F15" s="49" t="e">
        <f t="shared" si="0"/>
        <v>#VALUE!</v>
      </c>
      <c r="G15">
        <f t="shared" si="1"/>
        <v>0</v>
      </c>
      <c r="H15" t="str">
        <f t="shared" si="2"/>
        <v>660 Pro</v>
      </c>
      <c r="I15">
        <f t="shared" si="3"/>
        <v>0</v>
      </c>
    </row>
    <row r="16" spans="1:9" x14ac:dyDescent="0.35">
      <c r="A16" s="30"/>
      <c r="B16" s="30" t="str">
        <f>'LED Cost Sheet'!A8</f>
        <v>Concourse — Concourse</v>
      </c>
      <c r="C16" s="43">
        <f>'LED Cost Sheet'!H8</f>
        <v>9.4499999999999993</v>
      </c>
      <c r="D16" s="43" t="str">
        <f>'LED Cost Sheet'!G8</f>
        <v>2.5mm</v>
      </c>
      <c r="E16" s="30">
        <f>'LED Cost Sheet'!I8</f>
        <v>280.31</v>
      </c>
      <c r="F16" s="43" t="e">
        <f t="shared" si="0"/>
        <v>#VALUE!</v>
      </c>
      <c r="G16" s="30">
        <f t="shared" si="1"/>
        <v>0</v>
      </c>
      <c r="H16" s="30" t="str">
        <f t="shared" si="2"/>
        <v>660 Pro</v>
      </c>
      <c r="I16" s="30">
        <f t="shared" si="3"/>
        <v>0</v>
      </c>
    </row>
    <row r="17" spans="1:9" x14ac:dyDescent="0.35">
      <c r="B17" t="str">
        <f>'LED Cost Sheet'!A9</f>
        <v>T4-B1 (6-9) — T4-B1</v>
      </c>
      <c r="C17" s="49">
        <f>'LED Cost Sheet'!H9</f>
        <v>7.87</v>
      </c>
      <c r="D17" s="49" t="str">
        <f>'LED Cost Sheet'!G9</f>
        <v>2.5mm</v>
      </c>
      <c r="E17">
        <f>'LED Cost Sheet'!I9</f>
        <v>8.66</v>
      </c>
      <c r="F17" s="49" t="e">
        <f t="shared" si="0"/>
        <v>#VALUE!</v>
      </c>
      <c r="G17">
        <f t="shared" si="1"/>
        <v>0</v>
      </c>
      <c r="H17" t="str">
        <f t="shared" si="2"/>
        <v>660 Pro</v>
      </c>
      <c r="I17">
        <f t="shared" si="3"/>
        <v>0</v>
      </c>
    </row>
    <row r="18" spans="1:9" x14ac:dyDescent="0.35">
      <c r="A18" s="30"/>
      <c r="B18" s="30" t="str">
        <f>'LED Cost Sheet'!A10</f>
        <v>T4-B2 (10-18) — T4-B2</v>
      </c>
      <c r="C18" s="43">
        <f>'LED Cost Sheet'!H10</f>
        <v>7.87</v>
      </c>
      <c r="D18" s="43" t="str">
        <f>'LED Cost Sheet'!G10</f>
        <v>2.5mm</v>
      </c>
      <c r="E18" s="30">
        <f>'LED Cost Sheet'!I10</f>
        <v>8.66</v>
      </c>
      <c r="F18" s="43" t="e">
        <f t="shared" si="0"/>
        <v>#VALUE!</v>
      </c>
      <c r="G18" s="30">
        <f t="shared" si="1"/>
        <v>0</v>
      </c>
      <c r="H18" s="30" t="str">
        <f t="shared" si="2"/>
        <v>660 Pro</v>
      </c>
      <c r="I18" s="30">
        <f t="shared" si="3"/>
        <v>0</v>
      </c>
    </row>
    <row r="19" spans="1:9" x14ac:dyDescent="0.35">
      <c r="B19" t="str">
        <f>'LED Cost Sheet'!A11</f>
        <v>T4 Lobby Elevator — T4 Lobby Elevator</v>
      </c>
      <c r="C19" s="49">
        <f>'LED Cost Sheet'!H11</f>
        <v>71.599999999999994</v>
      </c>
      <c r="D19" s="49" t="str">
        <f>'LED Cost Sheet'!G11</f>
        <v>2.5mm</v>
      </c>
      <c r="E19">
        <f>'LED Cost Sheet'!I11</f>
        <v>5.5</v>
      </c>
      <c r="F19" s="49" t="e">
        <f t="shared" si="0"/>
        <v>#VALUE!</v>
      </c>
      <c r="G19">
        <f t="shared" si="1"/>
        <v>0</v>
      </c>
      <c r="H19" t="str">
        <f t="shared" si="2"/>
        <v>660 Pro</v>
      </c>
      <c r="I19">
        <f t="shared" si="3"/>
        <v>0</v>
      </c>
    </row>
    <row r="20" spans="1:9" x14ac:dyDescent="0.35">
      <c r="A20" s="30"/>
      <c r="B20" s="30" t="str">
        <f>'LED Cost Sheet'!A12</f>
        <v>T2-B1M Screen 20 — T2-B1M</v>
      </c>
      <c r="C20" s="43">
        <f>'LED Cost Sheet'!H12</f>
        <v>7.91</v>
      </c>
      <c r="D20" s="43" t="str">
        <f>'LED Cost Sheet'!G12</f>
        <v>2.5mm</v>
      </c>
      <c r="E20" s="30">
        <f>'LED Cost Sheet'!I12</f>
        <v>16.5</v>
      </c>
      <c r="F20" s="43" t="e">
        <f t="shared" si="0"/>
        <v>#VALUE!</v>
      </c>
      <c r="G20" s="30">
        <f t="shared" si="1"/>
        <v>0</v>
      </c>
      <c r="H20" s="30" t="str">
        <f t="shared" si="2"/>
        <v>660 Pro</v>
      </c>
      <c r="I20" s="30">
        <f t="shared" si="3"/>
        <v>0</v>
      </c>
    </row>
    <row r="21" spans="1:9" x14ac:dyDescent="0.35">
      <c r="B21" t="str">
        <f>'LED Cost Sheet'!A13</f>
        <v>T2-B1M Screen 21 — T2-B1M</v>
      </c>
      <c r="C21" s="49">
        <f>'LED Cost Sheet'!H13</f>
        <v>7.91</v>
      </c>
      <c r="D21" s="49" t="str">
        <f>'LED Cost Sheet'!G13</f>
        <v>2.5mm</v>
      </c>
      <c r="E21">
        <f>'LED Cost Sheet'!I13</f>
        <v>11.83</v>
      </c>
      <c r="F21" s="49" t="e">
        <f t="shared" si="0"/>
        <v>#VALUE!</v>
      </c>
      <c r="G21">
        <f t="shared" si="1"/>
        <v>0</v>
      </c>
      <c r="H21" t="str">
        <f t="shared" si="2"/>
        <v>660 Pro</v>
      </c>
      <c r="I21">
        <f t="shared" si="3"/>
        <v>0</v>
      </c>
    </row>
    <row r="22" spans="1:9" x14ac:dyDescent="0.35">
      <c r="A22" s="30"/>
      <c r="B22" s="30" t="str">
        <f>'LED Cost Sheet'!A14</f>
        <v>T2-B1M Screen 22 — T2-B1M</v>
      </c>
      <c r="C22" s="43">
        <f>'LED Cost Sheet'!H14</f>
        <v>7.91</v>
      </c>
      <c r="D22" s="43" t="str">
        <f>'LED Cost Sheet'!G14</f>
        <v>2.5mm</v>
      </c>
      <c r="E22" s="30">
        <f>'LED Cost Sheet'!I14</f>
        <v>7.91</v>
      </c>
      <c r="F22" s="43" t="e">
        <f t="shared" si="0"/>
        <v>#VALUE!</v>
      </c>
      <c r="G22" s="30">
        <f t="shared" si="1"/>
        <v>0</v>
      </c>
      <c r="H22" s="30" t="str">
        <f t="shared" si="2"/>
        <v>660 Pro</v>
      </c>
      <c r="I22" s="30">
        <f t="shared" si="3"/>
        <v>0</v>
      </c>
    </row>
    <row r="23" spans="1:9" x14ac:dyDescent="0.35">
      <c r="A23" s="51"/>
      <c r="B23" s="51" t="s">
        <v>200</v>
      </c>
      <c r="C23" s="51"/>
      <c r="D23" s="51"/>
      <c r="E23" s="51"/>
      <c r="F23" s="52" t="e">
        <f>SUM(F12:F22)</f>
        <v>#VALUE!</v>
      </c>
      <c r="G23" s="51">
        <f>SUM(G12:G22)</f>
        <v>0</v>
      </c>
      <c r="H23" s="51"/>
      <c r="I23" s="51">
        <f>SUM(I12:I22)</f>
        <v>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8A745"/>
  </sheetPr>
  <dimension ref="A1:H66"/>
  <sheetViews>
    <sheetView workbookViewId="0"/>
  </sheetViews>
  <sheetFormatPr defaultRowHeight="14.5" x14ac:dyDescent="0.3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spans="1:8" ht="24" customHeight="1" x14ac:dyDescent="0.35">
      <c r="A1" s="88" t="s">
        <v>201</v>
      </c>
      <c r="B1" s="88"/>
      <c r="C1" s="88"/>
      <c r="D1" s="88"/>
    </row>
    <row r="2" spans="1:8" x14ac:dyDescent="0.35">
      <c r="A2" s="89" t="s">
        <v>202</v>
      </c>
      <c r="B2" s="89"/>
      <c r="C2" s="89"/>
      <c r="D2" s="89"/>
    </row>
    <row r="6" spans="1:8" ht="18.649999999999999" customHeight="1" x14ac:dyDescent="0.35">
      <c r="A6" s="22" t="s">
        <v>77</v>
      </c>
      <c r="B6" s="22" t="s">
        <v>203</v>
      </c>
      <c r="C6" s="22" t="s">
        <v>40</v>
      </c>
      <c r="D6" s="22" t="s">
        <v>102</v>
      </c>
      <c r="E6" s="22" t="s">
        <v>32</v>
      </c>
      <c r="F6" s="22" t="s">
        <v>204</v>
      </c>
      <c r="G6" s="22" t="s">
        <v>41</v>
      </c>
      <c r="H6" s="22" t="s">
        <v>42</v>
      </c>
    </row>
    <row r="7" spans="1:8" s="30" customFormat="1" x14ac:dyDescent="0.35">
      <c r="A7" s="38" t="s">
        <v>44</v>
      </c>
    </row>
    <row r="8" spans="1:8" x14ac:dyDescent="0.35">
      <c r="A8" s="30" t="s">
        <v>205</v>
      </c>
      <c r="B8" s="30" t="s">
        <v>206</v>
      </c>
      <c r="C8" s="61">
        <v>450</v>
      </c>
      <c r="D8" s="40">
        <v>1</v>
      </c>
      <c r="E8" s="31">
        <f>C8*D8</f>
        <v>450</v>
      </c>
      <c r="F8" s="65">
        <v>0.15</v>
      </c>
      <c r="G8" s="31">
        <f>IFERROR(E8/(1-F8),0)</f>
        <v>529.41176470588232</v>
      </c>
      <c r="H8" s="31">
        <f>IFERROR(G8-E8,0)</f>
        <v>79.41176470588232</v>
      </c>
    </row>
    <row r="9" spans="1:8" x14ac:dyDescent="0.35">
      <c r="A9" t="s">
        <v>205</v>
      </c>
      <c r="B9" t="s">
        <v>207</v>
      </c>
      <c r="C9" s="62">
        <v>68.45</v>
      </c>
      <c r="D9" s="46">
        <v>1</v>
      </c>
      <c r="E9" s="17">
        <f>C9*D9</f>
        <v>68.45</v>
      </c>
      <c r="F9" s="18">
        <v>0.15</v>
      </c>
      <c r="G9" s="17">
        <f>IFERROR(E9/(1-F9),0)</f>
        <v>80.529411764705884</v>
      </c>
      <c r="H9" s="17">
        <f>IFERROR(G9-E9,0)</f>
        <v>12.079411764705881</v>
      </c>
    </row>
    <row r="10" spans="1:8" x14ac:dyDescent="0.35">
      <c r="B10" s="23" t="s">
        <v>208</v>
      </c>
      <c r="E10" s="50">
        <f>SUM(E8:E9)</f>
        <v>518.45000000000005</v>
      </c>
      <c r="G10" s="17">
        <f>SUM(G8:G9)</f>
        <v>609.94117647058818</v>
      </c>
      <c r="H10" s="17">
        <f>IFERROR(G10-E10,0)</f>
        <v>91.49117647058813</v>
      </c>
    </row>
    <row r="12" spans="1:8" s="30" customFormat="1" x14ac:dyDescent="0.35">
      <c r="A12" s="38" t="s">
        <v>56</v>
      </c>
    </row>
    <row r="13" spans="1:8" x14ac:dyDescent="0.35">
      <c r="A13" t="s">
        <v>205</v>
      </c>
      <c r="B13" t="s">
        <v>206</v>
      </c>
      <c r="C13" s="62">
        <v>450</v>
      </c>
      <c r="D13" s="46">
        <v>1</v>
      </c>
      <c r="E13" s="17">
        <f>C13*D13</f>
        <v>450</v>
      </c>
      <c r="F13" s="18">
        <v>0.15</v>
      </c>
      <c r="G13" s="17">
        <f>IFERROR(E13/(1-F13),0)</f>
        <v>529.41176470588232</v>
      </c>
      <c r="H13" s="17">
        <f>IFERROR(G13-E13,0)</f>
        <v>79.41176470588232</v>
      </c>
    </row>
    <row r="14" spans="1:8" x14ac:dyDescent="0.35">
      <c r="A14" s="30" t="s">
        <v>205</v>
      </c>
      <c r="B14" s="30" t="s">
        <v>207</v>
      </c>
      <c r="C14" s="61">
        <v>134.28</v>
      </c>
      <c r="D14" s="40">
        <v>1</v>
      </c>
      <c r="E14" s="31">
        <f>C14*D14</f>
        <v>134.28</v>
      </c>
      <c r="F14" s="65">
        <v>0.15</v>
      </c>
      <c r="G14" s="31">
        <f>IFERROR(E14/(1-F14),0)</f>
        <v>157.97647058823529</v>
      </c>
      <c r="H14" s="31">
        <f>IFERROR(G14-E14,0)</f>
        <v>23.696470588235286</v>
      </c>
    </row>
    <row r="15" spans="1:8" x14ac:dyDescent="0.35">
      <c r="B15" s="23" t="s">
        <v>208</v>
      </c>
      <c r="E15" s="50">
        <f>SUM(E13:E14)</f>
        <v>584.28</v>
      </c>
      <c r="G15" s="17">
        <f>SUM(G13:G14)</f>
        <v>687.38823529411764</v>
      </c>
      <c r="H15" s="17">
        <f>IFERROR(G15-E15,0)</f>
        <v>103.10823529411766</v>
      </c>
    </row>
    <row r="17" spans="1:8" s="30" customFormat="1" x14ac:dyDescent="0.35">
      <c r="A17" s="38" t="s">
        <v>57</v>
      </c>
    </row>
    <row r="18" spans="1:8" x14ac:dyDescent="0.35">
      <c r="A18" s="30" t="s">
        <v>205</v>
      </c>
      <c r="B18" s="30" t="s">
        <v>206</v>
      </c>
      <c r="C18" s="61">
        <v>450</v>
      </c>
      <c r="D18" s="40">
        <v>1</v>
      </c>
      <c r="E18" s="31">
        <f>C18*D18</f>
        <v>450</v>
      </c>
      <c r="F18" s="65">
        <v>0.15</v>
      </c>
      <c r="G18" s="31">
        <f>IFERROR(E18/(1-F18),0)</f>
        <v>529.41176470588232</v>
      </c>
      <c r="H18" s="31">
        <f>IFERROR(G18-E18,0)</f>
        <v>79.41176470588232</v>
      </c>
    </row>
    <row r="19" spans="1:8" x14ac:dyDescent="0.35">
      <c r="A19" t="s">
        <v>205</v>
      </c>
      <c r="B19" t="s">
        <v>207</v>
      </c>
      <c r="C19" s="62">
        <v>134.28</v>
      </c>
      <c r="D19" s="46">
        <v>1</v>
      </c>
      <c r="E19" s="17">
        <f>C19*D19</f>
        <v>134.28</v>
      </c>
      <c r="F19" s="18">
        <v>0.15</v>
      </c>
      <c r="G19" s="17">
        <f>IFERROR(E19/(1-F19),0)</f>
        <v>157.97647058823529</v>
      </c>
      <c r="H19" s="17">
        <f>IFERROR(G19-E19,0)</f>
        <v>23.696470588235286</v>
      </c>
    </row>
    <row r="20" spans="1:8" x14ac:dyDescent="0.35">
      <c r="B20" s="23" t="s">
        <v>208</v>
      </c>
      <c r="E20" s="50">
        <f>SUM(E18:E19)</f>
        <v>584.28</v>
      </c>
      <c r="G20" s="17">
        <f>SUM(G18:G19)</f>
        <v>687.38823529411764</v>
      </c>
      <c r="H20" s="17">
        <f>IFERROR(G20-E20,0)</f>
        <v>103.10823529411766</v>
      </c>
    </row>
    <row r="22" spans="1:8" s="30" customFormat="1" x14ac:dyDescent="0.35">
      <c r="A22" s="38" t="s">
        <v>58</v>
      </c>
    </row>
    <row r="23" spans="1:8" x14ac:dyDescent="0.35">
      <c r="A23" t="s">
        <v>205</v>
      </c>
      <c r="B23" t="s">
        <v>206</v>
      </c>
      <c r="C23" s="62">
        <v>8400</v>
      </c>
      <c r="D23" s="46">
        <v>1</v>
      </c>
      <c r="E23" s="17">
        <f>C23*D23</f>
        <v>8400</v>
      </c>
      <c r="F23" s="18">
        <v>0.15</v>
      </c>
      <c r="G23" s="17">
        <f>IFERROR(E23/(1-F23),0)</f>
        <v>9882.3529411764703</v>
      </c>
      <c r="H23" s="17">
        <f>IFERROR(G23-E23,0)</f>
        <v>1482.3529411764703</v>
      </c>
    </row>
    <row r="24" spans="1:8" x14ac:dyDescent="0.35">
      <c r="A24" s="30" t="s">
        <v>205</v>
      </c>
      <c r="B24" s="30" t="s">
        <v>207</v>
      </c>
      <c r="C24" s="61">
        <v>226.19</v>
      </c>
      <c r="D24" s="40">
        <v>1</v>
      </c>
      <c r="E24" s="31">
        <f>C24*D24</f>
        <v>226.19</v>
      </c>
      <c r="F24" s="65">
        <v>0.15</v>
      </c>
      <c r="G24" s="31">
        <f>IFERROR(E24/(1-F24),0)</f>
        <v>266.10588235294119</v>
      </c>
      <c r="H24" s="31">
        <f>IFERROR(G24-E24,0)</f>
        <v>39.915882352941196</v>
      </c>
    </row>
    <row r="25" spans="1:8" x14ac:dyDescent="0.35">
      <c r="A25" t="s">
        <v>205</v>
      </c>
      <c r="B25" t="s">
        <v>209</v>
      </c>
      <c r="C25" s="62">
        <v>12000</v>
      </c>
      <c r="D25" s="46">
        <v>1</v>
      </c>
      <c r="E25" s="17">
        <f>C25*D25</f>
        <v>12000</v>
      </c>
      <c r="F25" s="18">
        <v>0.15</v>
      </c>
      <c r="G25" s="17">
        <f>IFERROR(E25/(1-F25),0)</f>
        <v>14117.64705882353</v>
      </c>
      <c r="H25" s="17">
        <f>IFERROR(G25-E25,0)</f>
        <v>2117.6470588235297</v>
      </c>
    </row>
    <row r="26" spans="1:8" x14ac:dyDescent="0.35">
      <c r="B26" s="23" t="s">
        <v>208</v>
      </c>
      <c r="E26" s="50">
        <f>SUM(E23:E25)</f>
        <v>20626.190000000002</v>
      </c>
      <c r="G26" s="17">
        <f>SUM(G23:G25)</f>
        <v>24266.105882352942</v>
      </c>
      <c r="H26" s="17">
        <f>IFERROR(G26-E26,0)</f>
        <v>3639.9158823529397</v>
      </c>
    </row>
    <row r="28" spans="1:8" s="30" customFormat="1" x14ac:dyDescent="0.35">
      <c r="A28" s="38" t="s">
        <v>59</v>
      </c>
    </row>
    <row r="29" spans="1:8" x14ac:dyDescent="0.35">
      <c r="A29" t="s">
        <v>205</v>
      </c>
      <c r="B29" t="s">
        <v>206</v>
      </c>
      <c r="C29" s="62">
        <v>33600</v>
      </c>
      <c r="D29" s="46">
        <v>1</v>
      </c>
      <c r="E29" s="17">
        <f>C29*D29</f>
        <v>33600</v>
      </c>
      <c r="F29" s="18">
        <v>0.15</v>
      </c>
      <c r="G29" s="17">
        <f>IFERROR(E29/(1-F29),0)</f>
        <v>39529.411764705881</v>
      </c>
      <c r="H29" s="17">
        <f>IFERROR(G29-E29,0)</f>
        <v>5929.4117647058811</v>
      </c>
    </row>
    <row r="30" spans="1:8" x14ac:dyDescent="0.35">
      <c r="A30" s="30" t="s">
        <v>205</v>
      </c>
      <c r="B30" s="30" t="s">
        <v>207</v>
      </c>
      <c r="C30" s="61">
        <v>1589.36</v>
      </c>
      <c r="D30" s="40">
        <v>1</v>
      </c>
      <c r="E30" s="31">
        <f>C30*D30</f>
        <v>1589.36</v>
      </c>
      <c r="F30" s="65">
        <v>0.15</v>
      </c>
      <c r="G30" s="31">
        <f>IFERROR(E30/(1-F30),0)</f>
        <v>1869.835294117647</v>
      </c>
      <c r="H30" s="31">
        <f>IFERROR(G30-E30,0)</f>
        <v>280.47529411764708</v>
      </c>
    </row>
    <row r="31" spans="1:8" x14ac:dyDescent="0.35">
      <c r="A31" t="s">
        <v>205</v>
      </c>
      <c r="B31" t="s">
        <v>209</v>
      </c>
      <c r="C31" s="62">
        <v>12000</v>
      </c>
      <c r="D31" s="46">
        <v>1</v>
      </c>
      <c r="E31" s="17">
        <f>C31*D31</f>
        <v>12000</v>
      </c>
      <c r="F31" s="18">
        <v>0.15</v>
      </c>
      <c r="G31" s="17">
        <f>IFERROR(E31/(1-F31),0)</f>
        <v>14117.64705882353</v>
      </c>
      <c r="H31" s="17">
        <f>IFERROR(G31-E31,0)</f>
        <v>2117.6470588235297</v>
      </c>
    </row>
    <row r="32" spans="1:8" x14ac:dyDescent="0.35">
      <c r="B32" s="23" t="s">
        <v>208</v>
      </c>
      <c r="E32" s="50">
        <f>SUM(E29:E31)</f>
        <v>47189.36</v>
      </c>
      <c r="G32" s="17">
        <f>SUM(G29:G31)</f>
        <v>55516.894117647062</v>
      </c>
      <c r="H32" s="17">
        <f>IFERROR(G32-E32,0)</f>
        <v>8327.5341176470611</v>
      </c>
    </row>
    <row r="34" spans="1:8" s="30" customFormat="1" x14ac:dyDescent="0.35">
      <c r="A34" s="38" t="s">
        <v>60</v>
      </c>
    </row>
    <row r="35" spans="1:8" x14ac:dyDescent="0.35">
      <c r="A35" t="s">
        <v>205</v>
      </c>
      <c r="B35" t="s">
        <v>206</v>
      </c>
      <c r="C35" s="62">
        <v>450</v>
      </c>
      <c r="D35" s="46">
        <v>1</v>
      </c>
      <c r="E35" s="17">
        <f>C35*D35</f>
        <v>450</v>
      </c>
      <c r="F35" s="18">
        <v>0.15</v>
      </c>
      <c r="G35" s="17">
        <f>IFERROR(E35/(1-F35),0)</f>
        <v>529.41176470588232</v>
      </c>
      <c r="H35" s="17">
        <f>IFERROR(G35-E35,0)</f>
        <v>79.41176470588232</v>
      </c>
    </row>
    <row r="36" spans="1:8" x14ac:dyDescent="0.35">
      <c r="A36" s="30" t="s">
        <v>205</v>
      </c>
      <c r="B36" s="30" t="s">
        <v>207</v>
      </c>
      <c r="C36" s="61">
        <v>163.57</v>
      </c>
      <c r="D36" s="40">
        <v>1</v>
      </c>
      <c r="E36" s="31">
        <f>C36*D36</f>
        <v>163.57</v>
      </c>
      <c r="F36" s="65">
        <v>0.15</v>
      </c>
      <c r="G36" s="31">
        <f>IFERROR(E36/(1-F36),0)</f>
        <v>192.43529411764706</v>
      </c>
      <c r="H36" s="31">
        <f>IFERROR(G36-E36,0)</f>
        <v>28.865294117647068</v>
      </c>
    </row>
    <row r="37" spans="1:8" x14ac:dyDescent="0.35">
      <c r="B37" s="23" t="s">
        <v>208</v>
      </c>
      <c r="E37" s="50">
        <f>SUM(E35:E36)</f>
        <v>613.56999999999994</v>
      </c>
      <c r="G37" s="17">
        <f>SUM(G35:G36)</f>
        <v>721.84705882352932</v>
      </c>
      <c r="H37" s="17">
        <f>IFERROR(G37-E37,0)</f>
        <v>108.27705882352939</v>
      </c>
    </row>
    <row r="39" spans="1:8" s="30" customFormat="1" x14ac:dyDescent="0.35">
      <c r="A39" s="38" t="s">
        <v>61</v>
      </c>
    </row>
    <row r="40" spans="1:8" x14ac:dyDescent="0.35">
      <c r="A40" s="30" t="s">
        <v>205</v>
      </c>
      <c r="B40" s="30" t="s">
        <v>206</v>
      </c>
      <c r="C40" s="61">
        <v>8400</v>
      </c>
      <c r="D40" s="40">
        <v>1</v>
      </c>
      <c r="E40" s="31">
        <f>C40*D40</f>
        <v>8400</v>
      </c>
      <c r="F40" s="65">
        <v>0.15</v>
      </c>
      <c r="G40" s="31">
        <f>IFERROR(E40/(1-F40),0)</f>
        <v>9882.3529411764703</v>
      </c>
      <c r="H40" s="31">
        <f>IFERROR(G40-E40,0)</f>
        <v>1482.3529411764703</v>
      </c>
    </row>
    <row r="41" spans="1:8" x14ac:dyDescent="0.35">
      <c r="A41" t="s">
        <v>205</v>
      </c>
      <c r="B41" t="s">
        <v>207</v>
      </c>
      <c r="C41" s="62">
        <v>368.03</v>
      </c>
      <c r="D41" s="46">
        <v>1</v>
      </c>
      <c r="E41" s="17">
        <f>C41*D41</f>
        <v>368.03</v>
      </c>
      <c r="F41" s="18">
        <v>0.15</v>
      </c>
      <c r="G41" s="17">
        <f>IFERROR(E41/(1-F41),0)</f>
        <v>432.97647058823526</v>
      </c>
      <c r="H41" s="17">
        <f>IFERROR(G41-E41,0)</f>
        <v>64.946470588235286</v>
      </c>
    </row>
    <row r="42" spans="1:8" x14ac:dyDescent="0.35">
      <c r="A42" s="30" t="s">
        <v>205</v>
      </c>
      <c r="B42" s="30" t="s">
        <v>209</v>
      </c>
      <c r="C42" s="61">
        <v>12000</v>
      </c>
      <c r="D42" s="40">
        <v>1</v>
      </c>
      <c r="E42" s="31">
        <f>C42*D42</f>
        <v>12000</v>
      </c>
      <c r="F42" s="65">
        <v>0.15</v>
      </c>
      <c r="G42" s="31">
        <f>IFERROR(E42/(1-F42),0)</f>
        <v>14117.64705882353</v>
      </c>
      <c r="H42" s="31">
        <f>IFERROR(G42-E42,0)</f>
        <v>2117.6470588235297</v>
      </c>
    </row>
    <row r="43" spans="1:8" x14ac:dyDescent="0.35">
      <c r="B43" s="23" t="s">
        <v>208</v>
      </c>
      <c r="E43" s="50">
        <f>SUM(E40:E42)</f>
        <v>20768.03</v>
      </c>
      <c r="G43" s="17">
        <f>SUM(G40:G42)</f>
        <v>24432.976470588233</v>
      </c>
      <c r="H43" s="17">
        <f>IFERROR(G43-E43,0)</f>
        <v>3664.9464705882347</v>
      </c>
    </row>
    <row r="45" spans="1:8" s="30" customFormat="1" x14ac:dyDescent="0.35">
      <c r="A45" s="38" t="s">
        <v>62</v>
      </c>
    </row>
    <row r="46" spans="1:8" x14ac:dyDescent="0.35">
      <c r="A46" s="30" t="s">
        <v>205</v>
      </c>
      <c r="B46" s="30" t="s">
        <v>206</v>
      </c>
      <c r="C46" s="61">
        <v>8400</v>
      </c>
      <c r="D46" s="40">
        <v>1</v>
      </c>
      <c r="E46" s="31">
        <f>C46*D46</f>
        <v>8400</v>
      </c>
      <c r="F46" s="65">
        <v>0.15</v>
      </c>
      <c r="G46" s="31">
        <f>IFERROR(E46/(1-F46),0)</f>
        <v>9882.3529411764703</v>
      </c>
      <c r="H46" s="31">
        <f>IFERROR(G46-E46,0)</f>
        <v>1482.3529411764703</v>
      </c>
    </row>
    <row r="47" spans="1:8" x14ac:dyDescent="0.35">
      <c r="A47" t="s">
        <v>205</v>
      </c>
      <c r="B47" t="s">
        <v>207</v>
      </c>
      <c r="C47" s="62">
        <v>236.28</v>
      </c>
      <c r="D47" s="46">
        <v>1</v>
      </c>
      <c r="E47" s="17">
        <f>C47*D47</f>
        <v>236.28</v>
      </c>
      <c r="F47" s="18">
        <v>0.15</v>
      </c>
      <c r="G47" s="17">
        <f>IFERROR(E47/(1-F47),0)</f>
        <v>277.97647058823532</v>
      </c>
      <c r="H47" s="17">
        <f>IFERROR(G47-E47,0)</f>
        <v>41.696470588235314</v>
      </c>
    </row>
    <row r="48" spans="1:8" x14ac:dyDescent="0.35">
      <c r="A48" s="30" t="s">
        <v>205</v>
      </c>
      <c r="B48" s="30" t="s">
        <v>209</v>
      </c>
      <c r="C48" s="61">
        <v>12000</v>
      </c>
      <c r="D48" s="40">
        <v>1</v>
      </c>
      <c r="E48" s="31">
        <f>C48*D48</f>
        <v>12000</v>
      </c>
      <c r="F48" s="65">
        <v>0.15</v>
      </c>
      <c r="G48" s="31">
        <f>IFERROR(E48/(1-F48),0)</f>
        <v>14117.64705882353</v>
      </c>
      <c r="H48" s="31">
        <f>IFERROR(G48-E48,0)</f>
        <v>2117.6470588235297</v>
      </c>
    </row>
    <row r="49" spans="1:8" x14ac:dyDescent="0.35">
      <c r="B49" s="23" t="s">
        <v>208</v>
      </c>
      <c r="E49" s="50">
        <f>SUM(E46:E48)</f>
        <v>20636.28</v>
      </c>
      <c r="G49" s="17">
        <f>SUM(G46:G48)</f>
        <v>24277.976470588233</v>
      </c>
      <c r="H49" s="17">
        <f>IFERROR(G49-E49,0)</f>
        <v>3641.6964705882347</v>
      </c>
    </row>
    <row r="51" spans="1:8" s="30" customFormat="1" x14ac:dyDescent="0.35">
      <c r="A51" s="38" t="s">
        <v>63</v>
      </c>
    </row>
    <row r="52" spans="1:8" x14ac:dyDescent="0.35">
      <c r="A52" s="30" t="s">
        <v>205</v>
      </c>
      <c r="B52" s="30" t="s">
        <v>206</v>
      </c>
      <c r="C52" s="61">
        <v>450</v>
      </c>
      <c r="D52" s="40">
        <v>1</v>
      </c>
      <c r="E52" s="31">
        <f>C52*D52</f>
        <v>450</v>
      </c>
      <c r="F52" s="65">
        <v>0.15</v>
      </c>
      <c r="G52" s="31">
        <f>IFERROR(E52/(1-F52),0)</f>
        <v>529.41176470588232</v>
      </c>
      <c r="H52" s="31">
        <f>IFERROR(G52-E52,0)</f>
        <v>79.41176470588232</v>
      </c>
    </row>
    <row r="53" spans="1:8" x14ac:dyDescent="0.35">
      <c r="A53" t="s">
        <v>205</v>
      </c>
      <c r="B53" t="s">
        <v>207</v>
      </c>
      <c r="C53" s="62">
        <v>78.31</v>
      </c>
      <c r="D53" s="46">
        <v>1</v>
      </c>
      <c r="E53" s="17">
        <f>C53*D53</f>
        <v>78.31</v>
      </c>
      <c r="F53" s="18">
        <v>0.15</v>
      </c>
      <c r="G53" s="17">
        <f>IFERROR(E53/(1-F53),0)</f>
        <v>92.129411764705893</v>
      </c>
      <c r="H53" s="17">
        <f>IFERROR(G53-E53,0)</f>
        <v>13.81941176470589</v>
      </c>
    </row>
    <row r="54" spans="1:8" x14ac:dyDescent="0.35">
      <c r="B54" s="23" t="s">
        <v>208</v>
      </c>
      <c r="E54" s="50">
        <f>SUM(E52:E53)</f>
        <v>528.30999999999995</v>
      </c>
      <c r="G54" s="17">
        <f>SUM(G52:G53)</f>
        <v>621.5411764705882</v>
      </c>
      <c r="H54" s="17">
        <f>IFERROR(G54-E54,0)</f>
        <v>93.231176470588252</v>
      </c>
    </row>
    <row r="56" spans="1:8" s="30" customFormat="1" x14ac:dyDescent="0.35">
      <c r="A56" s="38" t="s">
        <v>64</v>
      </c>
    </row>
    <row r="57" spans="1:8" x14ac:dyDescent="0.35">
      <c r="A57" t="s">
        <v>205</v>
      </c>
      <c r="B57" t="s">
        <v>206</v>
      </c>
      <c r="C57" s="62">
        <v>450</v>
      </c>
      <c r="D57" s="46">
        <v>1</v>
      </c>
      <c r="E57" s="17">
        <f>C57*D57</f>
        <v>450</v>
      </c>
      <c r="F57" s="18">
        <v>0.15</v>
      </c>
      <c r="G57" s="17">
        <f>IFERROR(E57/(1-F57),0)</f>
        <v>529.41176470588232</v>
      </c>
      <c r="H57" s="17">
        <f>IFERROR(G57-E57,0)</f>
        <v>79.41176470588232</v>
      </c>
    </row>
    <row r="58" spans="1:8" x14ac:dyDescent="0.35">
      <c r="A58" s="30" t="s">
        <v>205</v>
      </c>
      <c r="B58" s="30" t="s">
        <v>207</v>
      </c>
      <c r="C58" s="61">
        <v>56.15</v>
      </c>
      <c r="D58" s="40">
        <v>1</v>
      </c>
      <c r="E58" s="31">
        <f>C58*D58</f>
        <v>56.15</v>
      </c>
      <c r="F58" s="65">
        <v>0.15</v>
      </c>
      <c r="G58" s="31">
        <f>IFERROR(E58/(1-F58),0)</f>
        <v>66.058823529411768</v>
      </c>
      <c r="H58" s="31">
        <f>IFERROR(G58-E58,0)</f>
        <v>9.9088235294117695</v>
      </c>
    </row>
    <row r="59" spans="1:8" x14ac:dyDescent="0.35">
      <c r="B59" s="23" t="s">
        <v>208</v>
      </c>
      <c r="E59" s="50">
        <f>SUM(E57:E58)</f>
        <v>506.15</v>
      </c>
      <c r="G59" s="17">
        <f>SUM(G57:G58)</f>
        <v>595.47058823529414</v>
      </c>
      <c r="H59" s="17">
        <f>IFERROR(G59-E59,0)</f>
        <v>89.320588235294167</v>
      </c>
    </row>
    <row r="61" spans="1:8" s="30" customFormat="1" x14ac:dyDescent="0.35">
      <c r="A61" s="38" t="s">
        <v>65</v>
      </c>
    </row>
    <row r="62" spans="1:8" x14ac:dyDescent="0.35">
      <c r="A62" s="30" t="s">
        <v>205</v>
      </c>
      <c r="B62" s="30" t="s">
        <v>206</v>
      </c>
      <c r="C62" s="61">
        <v>450</v>
      </c>
      <c r="D62" s="40">
        <v>1</v>
      </c>
      <c r="E62" s="31">
        <f>C62*D62</f>
        <v>450</v>
      </c>
      <c r="F62" s="65">
        <v>0.15</v>
      </c>
      <c r="G62" s="31">
        <f>IFERROR(E62/(1-F62),0)</f>
        <v>529.41176470588232</v>
      </c>
      <c r="H62" s="31">
        <f>IFERROR(G62-E62,0)</f>
        <v>79.41176470588232</v>
      </c>
    </row>
    <row r="63" spans="1:8" x14ac:dyDescent="0.35">
      <c r="A63" t="s">
        <v>205</v>
      </c>
      <c r="B63" t="s">
        <v>207</v>
      </c>
      <c r="C63" s="62">
        <v>37.54</v>
      </c>
      <c r="D63" s="46">
        <v>1</v>
      </c>
      <c r="E63" s="17">
        <f>C63*D63</f>
        <v>37.54</v>
      </c>
      <c r="F63" s="18">
        <v>0.15</v>
      </c>
      <c r="G63" s="17">
        <f>IFERROR(E63/(1-F63),0)</f>
        <v>44.164705882352941</v>
      </c>
      <c r="H63" s="17">
        <f>IFERROR(G63-E63,0)</f>
        <v>6.6247058823529414</v>
      </c>
    </row>
    <row r="64" spans="1:8" x14ac:dyDescent="0.35">
      <c r="B64" s="23" t="s">
        <v>208</v>
      </c>
      <c r="E64" s="50">
        <f>SUM(E62:E63)</f>
        <v>487.54</v>
      </c>
      <c r="G64" s="17">
        <f>SUM(G62:G63)</f>
        <v>573.57647058823522</v>
      </c>
      <c r="H64" s="17">
        <f>IFERROR(G64-E64,0)</f>
        <v>86.036470588235204</v>
      </c>
    </row>
    <row r="66" spans="1:8" x14ac:dyDescent="0.35">
      <c r="A66" s="25" t="s">
        <v>210</v>
      </c>
      <c r="B66" s="25"/>
      <c r="C66" s="25"/>
      <c r="D66" s="25"/>
      <c r="E66" s="66">
        <f>E10+E15+E20+E26+E32+E37+E43+E49+E54+E59+E64</f>
        <v>113042.43999999999</v>
      </c>
      <c r="F66" s="25"/>
      <c r="G66" s="66">
        <f>G10+G15+G20+G26+G32+G37+G43+G49+G54+G59+G64</f>
        <v>132991.10588235297</v>
      </c>
      <c r="H66" s="66">
        <f>IFERROR(G66-E66,0)</f>
        <v>19948.665882352987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107"/>
  </sheetPr>
  <dimension ref="A1:G30"/>
  <sheetViews>
    <sheetView workbookViewId="0"/>
  </sheetViews>
  <sheetFormatPr defaultRowHeight="14.5" x14ac:dyDescent="0.3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spans="1:7" ht="24" customHeight="1" x14ac:dyDescent="0.35">
      <c r="A1" s="88" t="s">
        <v>211</v>
      </c>
      <c r="B1" s="88"/>
      <c r="C1" s="88"/>
      <c r="D1" s="88"/>
      <c r="E1" s="88"/>
      <c r="F1" s="88"/>
      <c r="G1" s="88"/>
    </row>
    <row r="4" spans="1:7" ht="16" customHeight="1" x14ac:dyDescent="0.35">
      <c r="A4" s="1" t="s">
        <v>38</v>
      </c>
      <c r="B4" s="1" t="s">
        <v>212</v>
      </c>
      <c r="C4" s="1" t="s">
        <v>40</v>
      </c>
      <c r="D4" s="1" t="s">
        <v>213</v>
      </c>
      <c r="E4" s="1" t="s">
        <v>32</v>
      </c>
    </row>
    <row r="5" spans="1:7" x14ac:dyDescent="0.35">
      <c r="A5" s="30"/>
      <c r="B5" s="30" t="s">
        <v>214</v>
      </c>
      <c r="C5" s="31">
        <v>300</v>
      </c>
      <c r="D5" s="67">
        <v>0</v>
      </c>
      <c r="E5" s="31">
        <v>0</v>
      </c>
      <c r="G5" s="68" t="s">
        <v>38</v>
      </c>
    </row>
    <row r="6" spans="1:7" x14ac:dyDescent="0.35">
      <c r="B6" t="s">
        <v>215</v>
      </c>
      <c r="C6" s="17">
        <v>1000</v>
      </c>
      <c r="D6" s="69">
        <v>0</v>
      </c>
      <c r="E6" s="17">
        <v>0</v>
      </c>
      <c r="G6" s="68" t="s">
        <v>38</v>
      </c>
    </row>
    <row r="7" spans="1:7" x14ac:dyDescent="0.35">
      <c r="A7" s="30"/>
      <c r="B7" s="30" t="s">
        <v>216</v>
      </c>
      <c r="C7" s="31">
        <v>125</v>
      </c>
      <c r="D7" s="67">
        <v>0</v>
      </c>
      <c r="E7" s="31">
        <v>0</v>
      </c>
      <c r="G7" s="68" t="s">
        <v>38</v>
      </c>
    </row>
    <row r="8" spans="1:7" x14ac:dyDescent="0.35">
      <c r="B8" t="s">
        <v>217</v>
      </c>
      <c r="C8" s="17">
        <v>100</v>
      </c>
      <c r="D8" s="69">
        <v>0</v>
      </c>
      <c r="E8" s="17">
        <v>0</v>
      </c>
      <c r="G8" s="68" t="s">
        <v>38</v>
      </c>
    </row>
    <row r="9" spans="1:7" x14ac:dyDescent="0.35">
      <c r="A9" s="30"/>
      <c r="B9" s="30" t="s">
        <v>218</v>
      </c>
      <c r="C9" s="31">
        <v>10000</v>
      </c>
      <c r="D9" s="67">
        <v>0</v>
      </c>
      <c r="E9" s="31">
        <v>0</v>
      </c>
      <c r="G9" s="68" t="s">
        <v>219</v>
      </c>
    </row>
    <row r="10" spans="1:7" x14ac:dyDescent="0.35">
      <c r="A10" s="63"/>
      <c r="B10" s="63" t="s">
        <v>220</v>
      </c>
      <c r="C10" s="63"/>
      <c r="D10" s="63"/>
      <c r="E10" s="64">
        <v>0</v>
      </c>
    </row>
    <row r="11" spans="1:7" x14ac:dyDescent="0.35">
      <c r="A11" s="33"/>
      <c r="B11" s="33" t="s">
        <v>200</v>
      </c>
      <c r="C11" s="33" t="s">
        <v>221</v>
      </c>
      <c r="D11" s="33"/>
      <c r="E11" s="34">
        <v>0</v>
      </c>
    </row>
    <row r="13" spans="1:7" ht="16" customHeight="1" x14ac:dyDescent="0.35">
      <c r="A13" s="1" t="s">
        <v>38</v>
      </c>
      <c r="B13" s="1" t="s">
        <v>222</v>
      </c>
      <c r="C13" s="1" t="s">
        <v>40</v>
      </c>
      <c r="D13" s="1" t="s">
        <v>213</v>
      </c>
      <c r="E13" s="1" t="s">
        <v>32</v>
      </c>
    </row>
    <row r="14" spans="1:7" x14ac:dyDescent="0.35">
      <c r="A14" s="30"/>
      <c r="B14" s="30" t="s">
        <v>214</v>
      </c>
      <c r="C14" s="31">
        <v>300</v>
      </c>
      <c r="D14" s="67">
        <v>0</v>
      </c>
      <c r="E14" s="31">
        <v>0</v>
      </c>
      <c r="G14" s="68" t="s">
        <v>38</v>
      </c>
    </row>
    <row r="15" spans="1:7" x14ac:dyDescent="0.35">
      <c r="B15" t="s">
        <v>215</v>
      </c>
      <c r="C15" s="17">
        <v>1000</v>
      </c>
      <c r="D15" s="69">
        <v>0</v>
      </c>
      <c r="E15" s="17">
        <v>0</v>
      </c>
      <c r="G15" s="68" t="s">
        <v>38</v>
      </c>
    </row>
    <row r="16" spans="1:7" x14ac:dyDescent="0.35">
      <c r="A16" s="30"/>
      <c r="B16" s="30" t="s">
        <v>216</v>
      </c>
      <c r="C16" s="31">
        <v>125</v>
      </c>
      <c r="D16" s="67">
        <v>0</v>
      </c>
      <c r="E16" s="31">
        <v>0</v>
      </c>
      <c r="G16" s="68" t="s">
        <v>38</v>
      </c>
    </row>
    <row r="17" spans="1:7" x14ac:dyDescent="0.35">
      <c r="B17" t="s">
        <v>217</v>
      </c>
      <c r="C17" s="17">
        <v>100</v>
      </c>
      <c r="D17" s="69">
        <v>0</v>
      </c>
      <c r="E17" s="17">
        <v>0</v>
      </c>
      <c r="G17" s="68" t="s">
        <v>38</v>
      </c>
    </row>
    <row r="18" spans="1:7" x14ac:dyDescent="0.35">
      <c r="A18" s="30"/>
      <c r="B18" s="30" t="s">
        <v>218</v>
      </c>
      <c r="C18" s="31">
        <v>10000</v>
      </c>
      <c r="D18" s="67">
        <v>0</v>
      </c>
      <c r="E18" s="31">
        <v>0</v>
      </c>
      <c r="G18" s="68" t="s">
        <v>219</v>
      </c>
    </row>
    <row r="19" spans="1:7" x14ac:dyDescent="0.35">
      <c r="A19" s="63"/>
      <c r="B19" s="63" t="s">
        <v>220</v>
      </c>
      <c r="C19" s="63"/>
      <c r="D19" s="63"/>
      <c r="E19" s="64">
        <v>0</v>
      </c>
    </row>
    <row r="20" spans="1:7" x14ac:dyDescent="0.35">
      <c r="A20" s="33"/>
      <c r="B20" s="33" t="s">
        <v>200</v>
      </c>
      <c r="C20" s="33" t="s">
        <v>221</v>
      </c>
      <c r="D20" s="33"/>
      <c r="E20" s="34">
        <v>0</v>
      </c>
    </row>
    <row r="22" spans="1:7" ht="16" customHeight="1" x14ac:dyDescent="0.35">
      <c r="A22" s="1" t="s">
        <v>38</v>
      </c>
      <c r="B22" s="1" t="s">
        <v>223</v>
      </c>
      <c r="C22" s="1" t="s">
        <v>40</v>
      </c>
      <c r="D22" s="1" t="s">
        <v>213</v>
      </c>
      <c r="E22" s="1" t="s">
        <v>32</v>
      </c>
    </row>
    <row r="23" spans="1:7" x14ac:dyDescent="0.35">
      <c r="A23" s="30"/>
      <c r="B23" s="30" t="s">
        <v>214</v>
      </c>
      <c r="C23" s="31">
        <v>300</v>
      </c>
      <c r="D23" s="67">
        <v>0</v>
      </c>
      <c r="E23" s="31">
        <v>0</v>
      </c>
      <c r="G23" s="68" t="s">
        <v>38</v>
      </c>
    </row>
    <row r="24" spans="1:7" x14ac:dyDescent="0.35">
      <c r="B24" t="s">
        <v>215</v>
      </c>
      <c r="C24" s="17">
        <v>1000</v>
      </c>
      <c r="D24" s="69">
        <v>0</v>
      </c>
      <c r="E24" s="17">
        <v>0</v>
      </c>
      <c r="G24" s="68" t="s">
        <v>38</v>
      </c>
    </row>
    <row r="25" spans="1:7" x14ac:dyDescent="0.35">
      <c r="A25" s="30"/>
      <c r="B25" s="30" t="s">
        <v>216</v>
      </c>
      <c r="C25" s="31">
        <v>125</v>
      </c>
      <c r="D25" s="67">
        <v>0</v>
      </c>
      <c r="E25" s="31">
        <v>0</v>
      </c>
      <c r="G25" s="68" t="s">
        <v>38</v>
      </c>
    </row>
    <row r="26" spans="1:7" x14ac:dyDescent="0.35">
      <c r="B26" t="s">
        <v>217</v>
      </c>
      <c r="C26" s="17">
        <v>100</v>
      </c>
      <c r="D26" s="69">
        <v>0</v>
      </c>
      <c r="E26" s="17">
        <v>0</v>
      </c>
      <c r="G26" s="68" t="s">
        <v>38</v>
      </c>
    </row>
    <row r="27" spans="1:7" x14ac:dyDescent="0.35">
      <c r="A27" s="30"/>
      <c r="B27" s="30" t="s">
        <v>218</v>
      </c>
      <c r="C27" s="31">
        <v>10000</v>
      </c>
      <c r="D27" s="67">
        <v>0</v>
      </c>
      <c r="E27" s="31">
        <v>0</v>
      </c>
      <c r="G27" s="68" t="s">
        <v>219</v>
      </c>
    </row>
    <row r="28" spans="1:7" x14ac:dyDescent="0.35">
      <c r="B28" t="s">
        <v>224</v>
      </c>
      <c r="C28" s="17">
        <v>1500</v>
      </c>
      <c r="D28" s="69">
        <v>0</v>
      </c>
      <c r="E28" s="17">
        <v>0</v>
      </c>
      <c r="G28" s="68" t="s">
        <v>38</v>
      </c>
    </row>
    <row r="29" spans="1:7" x14ac:dyDescent="0.35">
      <c r="A29" s="63"/>
      <c r="B29" s="63" t="s">
        <v>220</v>
      </c>
      <c r="C29" s="63"/>
      <c r="D29" s="63"/>
      <c r="E29" s="64">
        <v>0</v>
      </c>
    </row>
    <row r="30" spans="1:7" x14ac:dyDescent="0.35">
      <c r="A30" s="33"/>
      <c r="B30" s="33" t="s">
        <v>200</v>
      </c>
      <c r="C30" s="33" t="s">
        <v>221</v>
      </c>
      <c r="D30" s="33"/>
      <c r="E30" s="34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28A745"/>
  </sheetPr>
  <dimension ref="A1:I26"/>
  <sheetViews>
    <sheetView workbookViewId="0"/>
  </sheetViews>
  <sheetFormatPr defaultRowHeight="14.5" x14ac:dyDescent="0.3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spans="1:9" ht="24" customHeight="1" x14ac:dyDescent="0.35">
      <c r="A1" s="88" t="s">
        <v>225</v>
      </c>
      <c r="B1" s="88"/>
      <c r="C1" s="88"/>
      <c r="D1" s="88"/>
      <c r="E1" s="88"/>
      <c r="F1" s="88"/>
      <c r="G1" s="88"/>
    </row>
    <row r="4" spans="1:9" ht="15.5" x14ac:dyDescent="0.35">
      <c r="B4" s="59" t="s">
        <v>226</v>
      </c>
    </row>
    <row r="5" spans="1:9" x14ac:dyDescent="0.35">
      <c r="B5" s="70" t="s">
        <v>227</v>
      </c>
    </row>
    <row r="6" spans="1:9" ht="16" customHeight="1" x14ac:dyDescent="0.35">
      <c r="A6" s="22" t="s">
        <v>38</v>
      </c>
      <c r="B6" s="22" t="s">
        <v>77</v>
      </c>
      <c r="C6" s="22" t="s">
        <v>228</v>
      </c>
      <c r="D6" s="22" t="s">
        <v>40</v>
      </c>
      <c r="E6" s="22" t="s">
        <v>213</v>
      </c>
      <c r="F6" s="22" t="s">
        <v>32</v>
      </c>
      <c r="G6" s="22" t="s">
        <v>204</v>
      </c>
      <c r="H6" s="22" t="s">
        <v>41</v>
      </c>
      <c r="I6" s="22" t="s">
        <v>42</v>
      </c>
    </row>
    <row r="7" spans="1:9" x14ac:dyDescent="0.35">
      <c r="A7" s="30"/>
      <c r="B7" s="4" t="s">
        <v>229</v>
      </c>
      <c r="C7" s="30" t="s">
        <v>230</v>
      </c>
      <c r="D7" s="61">
        <v>0</v>
      </c>
      <c r="E7" s="67">
        <v>0</v>
      </c>
      <c r="F7" s="31">
        <f t="shared" ref="F7:F20" si="0">D7*E7</f>
        <v>0</v>
      </c>
      <c r="G7" s="32">
        <v>0.1</v>
      </c>
      <c r="H7" s="31">
        <f t="shared" ref="H7:H20" si="1">IFERROR(F7/(1-G7),0)</f>
        <v>0</v>
      </c>
      <c r="I7" s="31">
        <f t="shared" ref="I7:I20" si="2">IFERROR(H7-F7,0)</f>
        <v>0</v>
      </c>
    </row>
    <row r="8" spans="1:9" x14ac:dyDescent="0.35">
      <c r="B8" s="2" t="s">
        <v>229</v>
      </c>
      <c r="C8" t="s">
        <v>231</v>
      </c>
      <c r="D8" s="62">
        <v>0</v>
      </c>
      <c r="E8" s="69">
        <v>0</v>
      </c>
      <c r="F8" s="17">
        <f t="shared" si="0"/>
        <v>0</v>
      </c>
      <c r="G8" s="24">
        <v>0.1</v>
      </c>
      <c r="H8" s="17">
        <f t="shared" si="1"/>
        <v>0</v>
      </c>
      <c r="I8" s="17">
        <f t="shared" si="2"/>
        <v>0</v>
      </c>
    </row>
    <row r="9" spans="1:9" x14ac:dyDescent="0.35">
      <c r="A9" s="30"/>
      <c r="B9" s="4" t="s">
        <v>229</v>
      </c>
      <c r="C9" s="30" t="s">
        <v>232</v>
      </c>
      <c r="D9" s="61">
        <v>0</v>
      </c>
      <c r="E9" s="67">
        <v>0</v>
      </c>
      <c r="F9" s="31">
        <f t="shared" si="0"/>
        <v>0</v>
      </c>
      <c r="G9" s="32">
        <v>0.1</v>
      </c>
      <c r="H9" s="31">
        <f t="shared" si="1"/>
        <v>0</v>
      </c>
      <c r="I9" s="31">
        <f t="shared" si="2"/>
        <v>0</v>
      </c>
    </row>
    <row r="10" spans="1:9" x14ac:dyDescent="0.35">
      <c r="B10" s="2" t="s">
        <v>229</v>
      </c>
      <c r="C10" t="s">
        <v>233</v>
      </c>
      <c r="D10" s="62">
        <v>0</v>
      </c>
      <c r="E10" s="69">
        <v>0</v>
      </c>
      <c r="F10" s="17">
        <f t="shared" si="0"/>
        <v>0</v>
      </c>
      <c r="G10" s="24">
        <v>0.1</v>
      </c>
      <c r="H10" s="17">
        <f t="shared" si="1"/>
        <v>0</v>
      </c>
      <c r="I10" s="17">
        <f t="shared" si="2"/>
        <v>0</v>
      </c>
    </row>
    <row r="11" spans="1:9" x14ac:dyDescent="0.35">
      <c r="A11" s="30"/>
      <c r="B11" s="4" t="s">
        <v>234</v>
      </c>
      <c r="C11" s="30" t="s">
        <v>230</v>
      </c>
      <c r="D11" s="61">
        <v>0</v>
      </c>
      <c r="E11" s="67">
        <v>0</v>
      </c>
      <c r="F11" s="31">
        <f t="shared" si="0"/>
        <v>0</v>
      </c>
      <c r="G11" s="32">
        <v>0.1</v>
      </c>
      <c r="H11" s="31">
        <f t="shared" si="1"/>
        <v>0</v>
      </c>
      <c r="I11" s="31">
        <f t="shared" si="2"/>
        <v>0</v>
      </c>
    </row>
    <row r="12" spans="1:9" x14ac:dyDescent="0.35">
      <c r="B12" s="2" t="s">
        <v>234</v>
      </c>
      <c r="C12" t="s">
        <v>231</v>
      </c>
      <c r="D12" s="62">
        <v>0</v>
      </c>
      <c r="E12" s="69">
        <v>0</v>
      </c>
      <c r="F12" s="17">
        <f t="shared" si="0"/>
        <v>0</v>
      </c>
      <c r="G12" s="24">
        <v>0.1</v>
      </c>
      <c r="H12" s="17">
        <f t="shared" si="1"/>
        <v>0</v>
      </c>
      <c r="I12" s="17">
        <f t="shared" si="2"/>
        <v>0</v>
      </c>
    </row>
    <row r="13" spans="1:9" x14ac:dyDescent="0.35">
      <c r="A13" s="30"/>
      <c r="B13" s="4" t="s">
        <v>234</v>
      </c>
      <c r="C13" s="30" t="s">
        <v>232</v>
      </c>
      <c r="D13" s="61">
        <v>0</v>
      </c>
      <c r="E13" s="67">
        <v>0</v>
      </c>
      <c r="F13" s="31">
        <f t="shared" si="0"/>
        <v>0</v>
      </c>
      <c r="G13" s="32">
        <v>0.1</v>
      </c>
      <c r="H13" s="31">
        <f t="shared" si="1"/>
        <v>0</v>
      </c>
      <c r="I13" s="31">
        <f t="shared" si="2"/>
        <v>0</v>
      </c>
    </row>
    <row r="14" spans="1:9" x14ac:dyDescent="0.35">
      <c r="B14" s="2" t="s">
        <v>235</v>
      </c>
      <c r="C14" t="s">
        <v>236</v>
      </c>
      <c r="D14" s="62">
        <v>0</v>
      </c>
      <c r="E14" s="69">
        <v>0</v>
      </c>
      <c r="F14" s="17">
        <f t="shared" si="0"/>
        <v>0</v>
      </c>
      <c r="G14" s="24">
        <v>0.1</v>
      </c>
      <c r="H14" s="17">
        <f t="shared" si="1"/>
        <v>0</v>
      </c>
      <c r="I14" s="17">
        <f t="shared" si="2"/>
        <v>0</v>
      </c>
    </row>
    <row r="15" spans="1:9" x14ac:dyDescent="0.35">
      <c r="A15" s="30"/>
      <c r="B15" s="4" t="s">
        <v>235</v>
      </c>
      <c r="C15" s="30" t="s">
        <v>237</v>
      </c>
      <c r="D15" s="61">
        <v>0</v>
      </c>
      <c r="E15" s="67">
        <v>0</v>
      </c>
      <c r="F15" s="31">
        <f t="shared" si="0"/>
        <v>0</v>
      </c>
      <c r="G15" s="32">
        <v>0.1</v>
      </c>
      <c r="H15" s="31">
        <f t="shared" si="1"/>
        <v>0</v>
      </c>
      <c r="I15" s="31">
        <f t="shared" si="2"/>
        <v>0</v>
      </c>
    </row>
    <row r="16" spans="1:9" x14ac:dyDescent="0.35">
      <c r="B16" s="2" t="s">
        <v>235</v>
      </c>
      <c r="C16" t="s">
        <v>238</v>
      </c>
      <c r="D16" s="62">
        <v>0</v>
      </c>
      <c r="E16" s="69">
        <v>0</v>
      </c>
      <c r="F16" s="17">
        <f t="shared" si="0"/>
        <v>0</v>
      </c>
      <c r="G16" s="24">
        <v>0.1</v>
      </c>
      <c r="H16" s="17">
        <f t="shared" si="1"/>
        <v>0</v>
      </c>
      <c r="I16" s="17">
        <f t="shared" si="2"/>
        <v>0</v>
      </c>
    </row>
    <row r="17" spans="1:9" x14ac:dyDescent="0.35">
      <c r="A17" s="30"/>
      <c r="B17" s="5" t="s">
        <v>38</v>
      </c>
      <c r="C17" s="30" t="s">
        <v>239</v>
      </c>
      <c r="D17" s="61">
        <v>0</v>
      </c>
      <c r="E17" s="67">
        <v>0</v>
      </c>
      <c r="F17" s="31">
        <f t="shared" si="0"/>
        <v>0</v>
      </c>
      <c r="G17" s="32">
        <v>0.1</v>
      </c>
      <c r="H17" s="31">
        <f t="shared" si="1"/>
        <v>0</v>
      </c>
      <c r="I17" s="31">
        <f t="shared" si="2"/>
        <v>0</v>
      </c>
    </row>
    <row r="18" spans="1:9" x14ac:dyDescent="0.35">
      <c r="B18" s="3" t="s">
        <v>38</v>
      </c>
      <c r="C18" t="s">
        <v>240</v>
      </c>
      <c r="D18" s="62">
        <v>0</v>
      </c>
      <c r="E18" s="69">
        <v>0</v>
      </c>
      <c r="F18" s="17">
        <f t="shared" si="0"/>
        <v>0</v>
      </c>
      <c r="G18" s="24">
        <v>0.1</v>
      </c>
      <c r="H18" s="17">
        <f t="shared" si="1"/>
        <v>0</v>
      </c>
      <c r="I18" s="17">
        <f t="shared" si="2"/>
        <v>0</v>
      </c>
    </row>
    <row r="19" spans="1:9" x14ac:dyDescent="0.35">
      <c r="A19" s="30"/>
      <c r="B19" s="5" t="s">
        <v>38</v>
      </c>
      <c r="C19" s="30" t="s">
        <v>109</v>
      </c>
      <c r="D19" s="61">
        <v>0</v>
      </c>
      <c r="E19" s="67">
        <v>0</v>
      </c>
      <c r="F19" s="31">
        <f t="shared" si="0"/>
        <v>0</v>
      </c>
      <c r="G19" s="32">
        <v>0.1</v>
      </c>
      <c r="H19" s="31">
        <f t="shared" si="1"/>
        <v>0</v>
      </c>
      <c r="I19" s="31">
        <f t="shared" si="2"/>
        <v>0</v>
      </c>
    </row>
    <row r="20" spans="1:9" x14ac:dyDescent="0.35">
      <c r="B20" s="3" t="s">
        <v>38</v>
      </c>
      <c r="C20" t="s">
        <v>241</v>
      </c>
      <c r="D20" s="62">
        <v>0</v>
      </c>
      <c r="E20" s="69">
        <v>0</v>
      </c>
      <c r="F20" s="17">
        <f t="shared" si="0"/>
        <v>0</v>
      </c>
      <c r="G20" s="24">
        <v>0.1</v>
      </c>
      <c r="H20" s="17">
        <f t="shared" si="1"/>
        <v>0</v>
      </c>
      <c r="I20" s="17">
        <f t="shared" si="2"/>
        <v>0</v>
      </c>
    </row>
    <row r="22" spans="1:9" x14ac:dyDescent="0.35">
      <c r="A22" s="51"/>
      <c r="B22" s="51"/>
      <c r="C22" s="51" t="s">
        <v>242</v>
      </c>
      <c r="D22" s="51"/>
      <c r="E22" s="51"/>
      <c r="F22" s="53">
        <f>SUM(F7:F20)</f>
        <v>0</v>
      </c>
      <c r="G22" s="51"/>
      <c r="H22" s="53">
        <f>SUM(H7:H20)</f>
        <v>0</v>
      </c>
      <c r="I22" s="53">
        <f>IFERROR(H22-F22,0)</f>
        <v>0</v>
      </c>
    </row>
    <row r="24" spans="1:9" x14ac:dyDescent="0.35">
      <c r="B24" t="s">
        <v>86</v>
      </c>
      <c r="F24" s="62">
        <v>0</v>
      </c>
    </row>
    <row r="25" spans="1:9" x14ac:dyDescent="0.35">
      <c r="B25" t="s">
        <v>87</v>
      </c>
      <c r="F25" s="62">
        <v>0</v>
      </c>
    </row>
    <row r="26" spans="1:9" x14ac:dyDescent="0.35">
      <c r="A26" s="25"/>
      <c r="B26" s="71" t="s">
        <v>243</v>
      </c>
      <c r="C26" s="71" t="s">
        <v>221</v>
      </c>
      <c r="D26" s="25"/>
      <c r="E26" s="25"/>
      <c r="F26" s="72">
        <f>F22+F24+F25</f>
        <v>0</v>
      </c>
      <c r="G26" s="25"/>
      <c r="H26" s="72">
        <f>H22</f>
        <v>0</v>
      </c>
      <c r="I26" s="72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28A745"/>
  </sheetPr>
  <dimension ref="A1:I27"/>
  <sheetViews>
    <sheetView workbookViewId="0"/>
  </sheetViews>
  <sheetFormatPr defaultRowHeight="14.5" x14ac:dyDescent="0.3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spans="1:9" ht="24" customHeight="1" x14ac:dyDescent="0.35">
      <c r="A1" s="88" t="s">
        <v>244</v>
      </c>
      <c r="B1" s="88"/>
      <c r="C1" s="88"/>
      <c r="D1" s="88"/>
      <c r="E1" s="88"/>
      <c r="F1" s="88"/>
      <c r="G1" s="88"/>
    </row>
    <row r="4" spans="1:9" ht="15.5" x14ac:dyDescent="0.35">
      <c r="B4" s="59" t="s">
        <v>245</v>
      </c>
    </row>
    <row r="5" spans="1:9" x14ac:dyDescent="0.35">
      <c r="B5" s="70" t="s">
        <v>227</v>
      </c>
    </row>
    <row r="6" spans="1:9" ht="16" customHeight="1" x14ac:dyDescent="0.35">
      <c r="A6" s="22" t="s">
        <v>38</v>
      </c>
      <c r="B6" s="22" t="s">
        <v>77</v>
      </c>
      <c r="C6" s="22" t="s">
        <v>228</v>
      </c>
      <c r="D6" s="22" t="s">
        <v>40</v>
      </c>
      <c r="E6" s="22" t="s">
        <v>213</v>
      </c>
      <c r="F6" s="22" t="s">
        <v>32</v>
      </c>
      <c r="G6" s="22" t="s">
        <v>204</v>
      </c>
      <c r="H6" s="22" t="s">
        <v>41</v>
      </c>
      <c r="I6" s="22" t="s">
        <v>42</v>
      </c>
    </row>
    <row r="7" spans="1:9" x14ac:dyDescent="0.35">
      <c r="A7" s="30"/>
      <c r="B7" s="4" t="s">
        <v>246</v>
      </c>
      <c r="C7" s="30" t="s">
        <v>247</v>
      </c>
      <c r="D7" s="61">
        <v>0</v>
      </c>
      <c r="E7" s="67">
        <v>0</v>
      </c>
      <c r="F7" s="31">
        <f t="shared" ref="F7:F21" si="0">D7*E7</f>
        <v>0</v>
      </c>
      <c r="G7" s="32">
        <v>0.1</v>
      </c>
      <c r="H7" s="31">
        <f t="shared" ref="H7:H21" si="1">IFERROR(F7/(1-G7),0)</f>
        <v>0</v>
      </c>
      <c r="I7" s="31">
        <f t="shared" ref="I7:I21" si="2">IFERROR(H7-F7,0)</f>
        <v>0</v>
      </c>
    </row>
    <row r="8" spans="1:9" x14ac:dyDescent="0.35">
      <c r="B8" s="2" t="s">
        <v>246</v>
      </c>
      <c r="C8" t="s">
        <v>248</v>
      </c>
      <c r="D8" s="62">
        <v>0</v>
      </c>
      <c r="E8" s="69">
        <v>0</v>
      </c>
      <c r="F8" s="17">
        <f t="shared" si="0"/>
        <v>0</v>
      </c>
      <c r="G8" s="24">
        <v>0.1</v>
      </c>
      <c r="H8" s="17">
        <f t="shared" si="1"/>
        <v>0</v>
      </c>
      <c r="I8" s="17">
        <f t="shared" si="2"/>
        <v>0</v>
      </c>
    </row>
    <row r="9" spans="1:9" x14ac:dyDescent="0.35">
      <c r="A9" s="30"/>
      <c r="B9" s="4" t="s">
        <v>246</v>
      </c>
      <c r="C9" s="30" t="s">
        <v>249</v>
      </c>
      <c r="D9" s="61">
        <v>0</v>
      </c>
      <c r="E9" s="67">
        <v>0</v>
      </c>
      <c r="F9" s="31">
        <f t="shared" si="0"/>
        <v>0</v>
      </c>
      <c r="G9" s="32">
        <v>0.1</v>
      </c>
      <c r="H9" s="31">
        <f t="shared" si="1"/>
        <v>0</v>
      </c>
      <c r="I9" s="31">
        <f t="shared" si="2"/>
        <v>0</v>
      </c>
    </row>
    <row r="10" spans="1:9" x14ac:dyDescent="0.35">
      <c r="B10" s="2" t="s">
        <v>246</v>
      </c>
      <c r="C10" t="s">
        <v>250</v>
      </c>
      <c r="D10" s="62">
        <v>0</v>
      </c>
      <c r="E10" s="69">
        <v>0</v>
      </c>
      <c r="F10" s="17">
        <f t="shared" si="0"/>
        <v>0</v>
      </c>
      <c r="G10" s="24">
        <v>0.1</v>
      </c>
      <c r="H10" s="17">
        <f t="shared" si="1"/>
        <v>0</v>
      </c>
      <c r="I10" s="17">
        <f t="shared" si="2"/>
        <v>0</v>
      </c>
    </row>
    <row r="11" spans="1:9" x14ac:dyDescent="0.35">
      <c r="A11" s="30"/>
      <c r="B11" s="4" t="s">
        <v>246</v>
      </c>
      <c r="C11" s="30" t="s">
        <v>251</v>
      </c>
      <c r="D11" s="61">
        <v>0</v>
      </c>
      <c r="E11" s="67">
        <v>0</v>
      </c>
      <c r="F11" s="31">
        <f t="shared" si="0"/>
        <v>0</v>
      </c>
      <c r="G11" s="32">
        <v>0.1</v>
      </c>
      <c r="H11" s="31">
        <f t="shared" si="1"/>
        <v>0</v>
      </c>
      <c r="I11" s="31">
        <f t="shared" si="2"/>
        <v>0</v>
      </c>
    </row>
    <row r="12" spans="1:9" x14ac:dyDescent="0.35">
      <c r="B12" s="2" t="s">
        <v>252</v>
      </c>
      <c r="C12" t="s">
        <v>253</v>
      </c>
      <c r="D12" s="62">
        <v>0</v>
      </c>
      <c r="E12" s="69">
        <v>0</v>
      </c>
      <c r="F12" s="17">
        <f t="shared" si="0"/>
        <v>0</v>
      </c>
      <c r="G12" s="24">
        <v>0.1</v>
      </c>
      <c r="H12" s="17">
        <f t="shared" si="1"/>
        <v>0</v>
      </c>
      <c r="I12" s="17">
        <f t="shared" si="2"/>
        <v>0</v>
      </c>
    </row>
    <row r="13" spans="1:9" x14ac:dyDescent="0.35">
      <c r="A13" s="30"/>
      <c r="B13" s="4" t="s">
        <v>252</v>
      </c>
      <c r="C13" s="30" t="s">
        <v>254</v>
      </c>
      <c r="D13" s="61">
        <v>0</v>
      </c>
      <c r="E13" s="67">
        <v>0</v>
      </c>
      <c r="F13" s="31">
        <f t="shared" si="0"/>
        <v>0</v>
      </c>
      <c r="G13" s="32">
        <v>0.1</v>
      </c>
      <c r="H13" s="31">
        <f t="shared" si="1"/>
        <v>0</v>
      </c>
      <c r="I13" s="31">
        <f t="shared" si="2"/>
        <v>0</v>
      </c>
    </row>
    <row r="14" spans="1:9" x14ac:dyDescent="0.35">
      <c r="B14" s="2" t="s">
        <v>252</v>
      </c>
      <c r="C14" t="s">
        <v>255</v>
      </c>
      <c r="D14" s="62">
        <v>0</v>
      </c>
      <c r="E14" s="69">
        <v>0</v>
      </c>
      <c r="F14" s="17">
        <f t="shared" si="0"/>
        <v>0</v>
      </c>
      <c r="G14" s="24">
        <v>0.1</v>
      </c>
      <c r="H14" s="17">
        <f t="shared" si="1"/>
        <v>0</v>
      </c>
      <c r="I14" s="17">
        <f t="shared" si="2"/>
        <v>0</v>
      </c>
    </row>
    <row r="15" spans="1:9" x14ac:dyDescent="0.35">
      <c r="A15" s="30"/>
      <c r="B15" s="4" t="s">
        <v>256</v>
      </c>
      <c r="C15" s="30" t="s">
        <v>236</v>
      </c>
      <c r="D15" s="61">
        <v>0</v>
      </c>
      <c r="E15" s="67">
        <v>0</v>
      </c>
      <c r="F15" s="31">
        <f t="shared" si="0"/>
        <v>0</v>
      </c>
      <c r="G15" s="32">
        <v>0.1</v>
      </c>
      <c r="H15" s="31">
        <f t="shared" si="1"/>
        <v>0</v>
      </c>
      <c r="I15" s="31">
        <f t="shared" si="2"/>
        <v>0</v>
      </c>
    </row>
    <row r="16" spans="1:9" x14ac:dyDescent="0.35">
      <c r="B16" s="2" t="s">
        <v>256</v>
      </c>
      <c r="C16" t="s">
        <v>257</v>
      </c>
      <c r="D16" s="62">
        <v>0</v>
      </c>
      <c r="E16" s="69">
        <v>0</v>
      </c>
      <c r="F16" s="17">
        <f t="shared" si="0"/>
        <v>0</v>
      </c>
      <c r="G16" s="24">
        <v>0.1</v>
      </c>
      <c r="H16" s="17">
        <f t="shared" si="1"/>
        <v>0</v>
      </c>
      <c r="I16" s="17">
        <f t="shared" si="2"/>
        <v>0</v>
      </c>
    </row>
    <row r="17" spans="1:9" x14ac:dyDescent="0.35">
      <c r="A17" s="30"/>
      <c r="B17" s="4" t="s">
        <v>256</v>
      </c>
      <c r="C17" s="30" t="s">
        <v>238</v>
      </c>
      <c r="D17" s="61">
        <v>0</v>
      </c>
      <c r="E17" s="67">
        <v>0</v>
      </c>
      <c r="F17" s="31">
        <f t="shared" si="0"/>
        <v>0</v>
      </c>
      <c r="G17" s="32">
        <v>0.1</v>
      </c>
      <c r="H17" s="31">
        <f t="shared" si="1"/>
        <v>0</v>
      </c>
      <c r="I17" s="31">
        <f t="shared" si="2"/>
        <v>0</v>
      </c>
    </row>
    <row r="18" spans="1:9" x14ac:dyDescent="0.35">
      <c r="B18" s="3" t="s">
        <v>38</v>
      </c>
      <c r="C18" t="s">
        <v>239</v>
      </c>
      <c r="D18" s="62">
        <v>0</v>
      </c>
      <c r="E18" s="69">
        <v>0</v>
      </c>
      <c r="F18" s="17">
        <f t="shared" si="0"/>
        <v>0</v>
      </c>
      <c r="G18" s="24">
        <v>0.1</v>
      </c>
      <c r="H18" s="17">
        <f t="shared" si="1"/>
        <v>0</v>
      </c>
      <c r="I18" s="17">
        <f t="shared" si="2"/>
        <v>0</v>
      </c>
    </row>
    <row r="19" spans="1:9" x14ac:dyDescent="0.35">
      <c r="A19" s="30"/>
      <c r="B19" s="5" t="s">
        <v>38</v>
      </c>
      <c r="C19" s="30" t="s">
        <v>240</v>
      </c>
      <c r="D19" s="61">
        <v>0</v>
      </c>
      <c r="E19" s="67">
        <v>0</v>
      </c>
      <c r="F19" s="31">
        <f t="shared" si="0"/>
        <v>0</v>
      </c>
      <c r="G19" s="32">
        <v>0.1</v>
      </c>
      <c r="H19" s="31">
        <f t="shared" si="1"/>
        <v>0</v>
      </c>
      <c r="I19" s="31">
        <f t="shared" si="2"/>
        <v>0</v>
      </c>
    </row>
    <row r="20" spans="1:9" x14ac:dyDescent="0.35">
      <c r="B20" s="3" t="s">
        <v>38</v>
      </c>
      <c r="C20" t="s">
        <v>109</v>
      </c>
      <c r="D20" s="62">
        <v>0</v>
      </c>
      <c r="E20" s="69">
        <v>0</v>
      </c>
      <c r="F20" s="17">
        <f t="shared" si="0"/>
        <v>0</v>
      </c>
      <c r="G20" s="24">
        <v>0.1</v>
      </c>
      <c r="H20" s="17">
        <f t="shared" si="1"/>
        <v>0</v>
      </c>
      <c r="I20" s="17">
        <f t="shared" si="2"/>
        <v>0</v>
      </c>
    </row>
    <row r="21" spans="1:9" x14ac:dyDescent="0.35">
      <c r="A21" s="30"/>
      <c r="B21" s="5" t="s">
        <v>38</v>
      </c>
      <c r="C21" s="30" t="s">
        <v>241</v>
      </c>
      <c r="D21" s="61">
        <v>0</v>
      </c>
      <c r="E21" s="67">
        <v>0</v>
      </c>
      <c r="F21" s="31">
        <f t="shared" si="0"/>
        <v>0</v>
      </c>
      <c r="G21" s="32">
        <v>0.1</v>
      </c>
      <c r="H21" s="31">
        <f t="shared" si="1"/>
        <v>0</v>
      </c>
      <c r="I21" s="31">
        <f t="shared" si="2"/>
        <v>0</v>
      </c>
    </row>
    <row r="23" spans="1:9" x14ac:dyDescent="0.35">
      <c r="A23" s="51"/>
      <c r="B23" s="51"/>
      <c r="C23" s="51" t="s">
        <v>258</v>
      </c>
      <c r="D23" s="51"/>
      <c r="E23" s="51"/>
      <c r="F23" s="53">
        <f>SUM(F7:F21)</f>
        <v>0</v>
      </c>
      <c r="G23" s="51"/>
      <c r="H23" s="53">
        <f>SUM(H7:H21)</f>
        <v>0</v>
      </c>
      <c r="I23" s="53">
        <f>IFERROR(H23-F23,0)</f>
        <v>0</v>
      </c>
    </row>
    <row r="25" spans="1:9" x14ac:dyDescent="0.35">
      <c r="B25" t="s">
        <v>86</v>
      </c>
      <c r="F25" s="62">
        <v>0</v>
      </c>
    </row>
    <row r="26" spans="1:9" x14ac:dyDescent="0.35">
      <c r="B26" t="s">
        <v>87</v>
      </c>
      <c r="F26" s="62">
        <v>0</v>
      </c>
    </row>
    <row r="27" spans="1:9" x14ac:dyDescent="0.35">
      <c r="A27" s="25"/>
      <c r="B27" s="71" t="s">
        <v>243</v>
      </c>
      <c r="C27" s="71" t="s">
        <v>221</v>
      </c>
      <c r="D27" s="25"/>
      <c r="E27" s="25"/>
      <c r="F27" s="72">
        <f>F23+F25+F26</f>
        <v>0</v>
      </c>
      <c r="G27" s="25"/>
      <c r="H27" s="72">
        <f>H23</f>
        <v>0</v>
      </c>
      <c r="I27" s="72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F766E"/>
  </sheetPr>
  <dimension ref="A1:E17"/>
  <sheetViews>
    <sheetView workbookViewId="0"/>
  </sheetViews>
  <sheetFormatPr defaultRowHeight="14.5" x14ac:dyDescent="0.35"/>
  <cols>
    <col min="1" max="1" width="24" customWidth="1"/>
    <col min="2" max="2" width="18" customWidth="1"/>
    <col min="3" max="5" width="16" customWidth="1"/>
  </cols>
  <sheetData>
    <row r="1" spans="1:5" ht="24" customHeight="1" x14ac:dyDescent="0.35">
      <c r="A1" s="88" t="s">
        <v>259</v>
      </c>
      <c r="B1" s="88"/>
      <c r="C1" s="88"/>
      <c r="D1" s="88"/>
      <c r="E1" s="88"/>
    </row>
    <row r="2" spans="1:5" x14ac:dyDescent="0.35">
      <c r="A2" s="89" t="s">
        <v>260</v>
      </c>
      <c r="B2" s="89"/>
      <c r="C2" s="89"/>
      <c r="D2" s="89"/>
      <c r="E2" s="89"/>
    </row>
    <row r="4" spans="1:5" x14ac:dyDescent="0.35">
      <c r="A4" t="s">
        <v>261</v>
      </c>
      <c r="B4" s="69">
        <v>3</v>
      </c>
      <c r="C4" s="73" t="s">
        <v>262</v>
      </c>
    </row>
    <row r="5" spans="1:5" x14ac:dyDescent="0.35">
      <c r="A5" t="s">
        <v>263</v>
      </c>
      <c r="B5" s="62">
        <v>0</v>
      </c>
      <c r="C5" s="73" t="s">
        <v>264</v>
      </c>
    </row>
    <row r="6" spans="1:5" x14ac:dyDescent="0.35">
      <c r="A6" t="s">
        <v>265</v>
      </c>
      <c r="B6" s="18">
        <v>0.03</v>
      </c>
      <c r="C6" s="73" t="s">
        <v>266</v>
      </c>
    </row>
    <row r="7" spans="1:5" x14ac:dyDescent="0.35">
      <c r="A7" t="s">
        <v>43</v>
      </c>
      <c r="B7" s="18">
        <v>0.15</v>
      </c>
      <c r="C7" s="73" t="s">
        <v>267</v>
      </c>
    </row>
    <row r="10" spans="1:5" x14ac:dyDescent="0.35">
      <c r="A10" s="22" t="s">
        <v>268</v>
      </c>
      <c r="B10" s="22" t="s">
        <v>40</v>
      </c>
      <c r="C10" s="22" t="s">
        <v>41</v>
      </c>
      <c r="D10" s="22" t="s">
        <v>42</v>
      </c>
      <c r="E10" s="22" t="s">
        <v>269</v>
      </c>
    </row>
    <row r="11" spans="1:5" x14ac:dyDescent="0.35">
      <c r="A11" s="30" t="str">
        <f>IF($B$4&gt;=1,"Year 1","")</f>
        <v>Year 1</v>
      </c>
      <c r="B11" s="31">
        <f>$B$5</f>
        <v>0</v>
      </c>
      <c r="C11" s="31">
        <f>IF(A11="",0,IFERROR(B11/(1-$B$7),0))</f>
        <v>0</v>
      </c>
      <c r="D11" s="31">
        <f>IF(A11="",0,IFERROR(C11-B11,0))</f>
        <v>0</v>
      </c>
      <c r="E11" s="30" t="s">
        <v>270</v>
      </c>
    </row>
    <row r="12" spans="1:5" x14ac:dyDescent="0.35">
      <c r="A12" t="str">
        <f>IF($B$4&gt;=2,"Year 2","")</f>
        <v>Year 2</v>
      </c>
      <c r="B12" s="17">
        <f>IF(A12="",0,B11*(1+$B$6))</f>
        <v>0</v>
      </c>
      <c r="C12" s="17">
        <f>IF(A12="",0,IFERROR(B12/(1-$B$7),0))</f>
        <v>0</v>
      </c>
      <c r="D12" s="17">
        <f>IF(A12="",0,IFERROR(C12-B12,0))</f>
        <v>0</v>
      </c>
      <c r="E12" t="s">
        <v>270</v>
      </c>
    </row>
    <row r="13" spans="1:5" x14ac:dyDescent="0.35">
      <c r="A13" s="30" t="str">
        <f>IF($B$4&gt;=3,"Year 3","")</f>
        <v>Year 3</v>
      </c>
      <c r="B13" s="31">
        <f>IF(A13="",0,B12*(1+$B$6))</f>
        <v>0</v>
      </c>
      <c r="C13" s="31">
        <f>IF(A13="",0,IFERROR(B13/(1-$B$7),0))</f>
        <v>0</v>
      </c>
      <c r="D13" s="31">
        <f>IF(A13="",0,IFERROR(C13-B13,0))</f>
        <v>0</v>
      </c>
      <c r="E13" s="30" t="s">
        <v>270</v>
      </c>
    </row>
    <row r="14" spans="1:5" x14ac:dyDescent="0.35">
      <c r="A14" t="str">
        <f>IF($B$4&gt;=4,"Year 4","")</f>
        <v/>
      </c>
      <c r="B14" s="17">
        <f>IF(A14="",0,B13*(1+$B$6))</f>
        <v>0</v>
      </c>
      <c r="C14" s="17">
        <f>IF(A14="",0,IFERROR(B14/(1-$B$7),0))</f>
        <v>0</v>
      </c>
      <c r="D14" s="17">
        <f>IF(A14="",0,IFERROR(C14-B14,0))</f>
        <v>0</v>
      </c>
      <c r="E14" t="s">
        <v>38</v>
      </c>
    </row>
    <row r="15" spans="1:5" x14ac:dyDescent="0.35">
      <c r="A15" s="30" t="str">
        <f>IF($B$4&gt;=5,"Year 5","")</f>
        <v/>
      </c>
      <c r="B15" s="31">
        <f>IF(A15="",0,B14*(1+$B$6))</f>
        <v>0</v>
      </c>
      <c r="C15" s="31">
        <f>IF(A15="",0,IFERROR(B15/(1-$B$7),0))</f>
        <v>0</v>
      </c>
      <c r="D15" s="31">
        <f>IF(A15="",0,IFERROR(C15-B15,0))</f>
        <v>0</v>
      </c>
      <c r="E15" s="30" t="s">
        <v>38</v>
      </c>
    </row>
    <row r="17" spans="1:5" x14ac:dyDescent="0.35">
      <c r="A17" s="51" t="s">
        <v>271</v>
      </c>
      <c r="B17" s="53">
        <f>SUM(B11:B15)</f>
        <v>0</v>
      </c>
      <c r="C17" s="53">
        <f>SUM(C11:C15)</f>
        <v>0</v>
      </c>
      <c r="D17" s="53">
        <f>IFERROR(C17-B17,0)</f>
        <v>0</v>
      </c>
      <c r="E17" s="51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28A745"/>
  </sheetPr>
  <dimension ref="A1:I10"/>
  <sheetViews>
    <sheetView workbookViewId="0"/>
  </sheetViews>
  <sheetFormatPr defaultRowHeight="14.5" x14ac:dyDescent="0.3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spans="1:9" ht="24" customHeight="1" x14ac:dyDescent="0.35">
      <c r="A1" s="88" t="s">
        <v>272</v>
      </c>
      <c r="B1" s="88"/>
      <c r="C1" s="88"/>
      <c r="D1" s="88"/>
      <c r="E1" s="88"/>
      <c r="F1" s="88"/>
      <c r="G1" s="88"/>
      <c r="H1" s="88"/>
    </row>
    <row r="4" spans="1:9" x14ac:dyDescent="0.35">
      <c r="A4" s="22" t="s">
        <v>38</v>
      </c>
      <c r="B4" s="22" t="s">
        <v>77</v>
      </c>
      <c r="C4" s="22" t="s">
        <v>228</v>
      </c>
      <c r="D4" s="22" t="s">
        <v>40</v>
      </c>
      <c r="E4" s="22" t="s">
        <v>213</v>
      </c>
      <c r="F4" s="22" t="s">
        <v>32</v>
      </c>
      <c r="G4" s="22" t="s">
        <v>204</v>
      </c>
      <c r="H4" s="22" t="s">
        <v>41</v>
      </c>
      <c r="I4" s="22" t="s">
        <v>42</v>
      </c>
    </row>
    <row r="5" spans="1:9" x14ac:dyDescent="0.35">
      <c r="A5" s="30"/>
      <c r="B5" s="30" t="s">
        <v>273</v>
      </c>
      <c r="C5" s="30" t="s">
        <v>274</v>
      </c>
      <c r="D5" s="61">
        <v>0</v>
      </c>
      <c r="E5" s="67">
        <v>1</v>
      </c>
      <c r="F5" s="31">
        <f>D5*E5</f>
        <v>0</v>
      </c>
      <c r="G5" s="65">
        <v>0.15</v>
      </c>
      <c r="H5" s="31">
        <f>IFERROR(F5/(1-G5),0)</f>
        <v>0</v>
      </c>
      <c r="I5" s="31">
        <f>IFERROR(H5-F5,0)</f>
        <v>0</v>
      </c>
    </row>
    <row r="6" spans="1:9" x14ac:dyDescent="0.35">
      <c r="B6" t="s">
        <v>275</v>
      </c>
      <c r="C6" t="s">
        <v>71</v>
      </c>
      <c r="D6" s="62">
        <v>0</v>
      </c>
      <c r="E6" s="69">
        <v>1</v>
      </c>
      <c r="F6" s="17">
        <f>D6*E6</f>
        <v>0</v>
      </c>
      <c r="G6" s="18">
        <v>0.15</v>
      </c>
      <c r="H6" s="17">
        <f>IFERROR(F6/(1-G6),0)</f>
        <v>0</v>
      </c>
      <c r="I6" s="17">
        <f>IFERROR(H6-F6,0)</f>
        <v>0</v>
      </c>
    </row>
    <row r="7" spans="1:9" x14ac:dyDescent="0.35">
      <c r="A7" s="30"/>
      <c r="B7" s="30" t="s">
        <v>276</v>
      </c>
      <c r="C7" s="30" t="s">
        <v>72</v>
      </c>
      <c r="D7" s="61">
        <v>0</v>
      </c>
      <c r="E7" s="67">
        <v>1</v>
      </c>
      <c r="F7" s="31">
        <f>D7*E7</f>
        <v>0</v>
      </c>
      <c r="G7" s="65">
        <v>0.15</v>
      </c>
      <c r="H7" s="31">
        <f>IFERROR(F7/(1-G7),0)</f>
        <v>0</v>
      </c>
      <c r="I7" s="31">
        <f>IFERROR(H7-F7,0)</f>
        <v>0</v>
      </c>
    </row>
    <row r="8" spans="1:9" x14ac:dyDescent="0.35">
      <c r="B8" t="s">
        <v>166</v>
      </c>
      <c r="C8" t="s">
        <v>73</v>
      </c>
      <c r="D8" s="62">
        <v>0</v>
      </c>
      <c r="E8" s="69">
        <v>1</v>
      </c>
      <c r="F8" s="17">
        <f>D8*E8</f>
        <v>0</v>
      </c>
      <c r="G8" s="18">
        <v>0.15</v>
      </c>
      <c r="H8" s="17">
        <f>IFERROR(F8/(1-G8),0)</f>
        <v>0</v>
      </c>
      <c r="I8" s="17">
        <f>IFERROR(H8-F8,0)</f>
        <v>0</v>
      </c>
    </row>
    <row r="10" spans="1:9" x14ac:dyDescent="0.35">
      <c r="A10" s="51"/>
      <c r="B10" s="51"/>
      <c r="C10" s="51" t="s">
        <v>277</v>
      </c>
      <c r="D10" s="51"/>
      <c r="E10" s="51"/>
      <c r="F10" s="53">
        <f>SUM(F5:F8)</f>
        <v>0</v>
      </c>
      <c r="G10" s="51"/>
      <c r="H10" s="53">
        <f>SUM(H5:H8)</f>
        <v>0</v>
      </c>
      <c r="I10" s="53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107"/>
  </sheetPr>
  <dimension ref="A1:D55"/>
  <sheetViews>
    <sheetView workbookViewId="0"/>
  </sheetViews>
  <sheetFormatPr defaultRowHeight="14.5" x14ac:dyDescent="0.3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1:4" ht="18.5" x14ac:dyDescent="0.45">
      <c r="B1" s="74" t="s">
        <v>278</v>
      </c>
    </row>
    <row r="2" spans="1:4" x14ac:dyDescent="0.35">
      <c r="B2" t="s">
        <v>279</v>
      </c>
    </row>
    <row r="4" spans="1:4" ht="16" customHeight="1" x14ac:dyDescent="0.35">
      <c r="B4" s="75" t="s">
        <v>280</v>
      </c>
      <c r="C4" s="76" t="s">
        <v>281</v>
      </c>
      <c r="D4" s="76" t="s">
        <v>282</v>
      </c>
    </row>
    <row r="5" spans="1:4" ht="26.5" x14ac:dyDescent="0.35">
      <c r="A5" s="30"/>
      <c r="B5" s="77" t="s">
        <v>283</v>
      </c>
      <c r="C5" s="40" t="s">
        <v>38</v>
      </c>
      <c r="D5" s="40" t="s">
        <v>284</v>
      </c>
    </row>
    <row r="6" spans="1:4" x14ac:dyDescent="0.35">
      <c r="B6" s="78" t="s">
        <v>285</v>
      </c>
      <c r="C6" s="46" t="s">
        <v>286</v>
      </c>
      <c r="D6" s="46" t="s">
        <v>38</v>
      </c>
    </row>
    <row r="7" spans="1:4" x14ac:dyDescent="0.35">
      <c r="A7" s="30"/>
      <c r="B7" s="77" t="s">
        <v>287</v>
      </c>
      <c r="C7" s="40" t="s">
        <v>286</v>
      </c>
      <c r="D7" s="40" t="s">
        <v>38</v>
      </c>
    </row>
    <row r="8" spans="1:4" x14ac:dyDescent="0.35">
      <c r="B8" s="78" t="s">
        <v>288</v>
      </c>
      <c r="C8" s="46" t="s">
        <v>284</v>
      </c>
      <c r="D8" s="46" t="s">
        <v>38</v>
      </c>
    </row>
    <row r="9" spans="1:4" x14ac:dyDescent="0.35">
      <c r="A9" s="30"/>
      <c r="B9" s="77" t="s">
        <v>289</v>
      </c>
      <c r="C9" s="40" t="s">
        <v>284</v>
      </c>
      <c r="D9" s="40" t="s">
        <v>38</v>
      </c>
    </row>
    <row r="10" spans="1:4" x14ac:dyDescent="0.35">
      <c r="B10" s="78" t="s">
        <v>290</v>
      </c>
      <c r="C10" s="46" t="s">
        <v>38</v>
      </c>
      <c r="D10" s="46" t="s">
        <v>284</v>
      </c>
    </row>
    <row r="11" spans="1:4" x14ac:dyDescent="0.35">
      <c r="A11" s="30"/>
      <c r="B11" s="77" t="s">
        <v>291</v>
      </c>
      <c r="C11" s="40" t="s">
        <v>38</v>
      </c>
      <c r="D11" s="40" t="s">
        <v>284</v>
      </c>
    </row>
    <row r="13" spans="1:4" ht="16" customHeight="1" x14ac:dyDescent="0.35">
      <c r="B13" s="75" t="s">
        <v>292</v>
      </c>
      <c r="C13" s="76" t="s">
        <v>281</v>
      </c>
      <c r="D13" s="76" t="s">
        <v>282</v>
      </c>
    </row>
    <row r="14" spans="1:4" ht="26.5" x14ac:dyDescent="0.35">
      <c r="A14" s="30"/>
      <c r="B14" s="77" t="s">
        <v>293</v>
      </c>
      <c r="C14" s="40" t="s">
        <v>38</v>
      </c>
      <c r="D14" s="40" t="s">
        <v>284</v>
      </c>
    </row>
    <row r="15" spans="1:4" ht="26.5" x14ac:dyDescent="0.35">
      <c r="B15" s="78" t="s">
        <v>294</v>
      </c>
      <c r="C15" s="46" t="s">
        <v>284</v>
      </c>
      <c r="D15" s="46" t="s">
        <v>38</v>
      </c>
    </row>
    <row r="16" spans="1:4" x14ac:dyDescent="0.35">
      <c r="A16" s="30"/>
      <c r="B16" s="77" t="s">
        <v>295</v>
      </c>
      <c r="C16" s="40" t="s">
        <v>284</v>
      </c>
      <c r="D16" s="40" t="s">
        <v>38</v>
      </c>
    </row>
    <row r="17" spans="1:4" x14ac:dyDescent="0.35">
      <c r="B17" s="78" t="s">
        <v>296</v>
      </c>
      <c r="C17" s="46" t="s">
        <v>38</v>
      </c>
      <c r="D17" s="46" t="s">
        <v>284</v>
      </c>
    </row>
    <row r="18" spans="1:4" x14ac:dyDescent="0.35">
      <c r="A18" s="30"/>
      <c r="B18" s="77" t="s">
        <v>297</v>
      </c>
      <c r="C18" s="40" t="s">
        <v>38</v>
      </c>
      <c r="D18" s="40" t="s">
        <v>284</v>
      </c>
    </row>
    <row r="20" spans="1:4" ht="16" customHeight="1" x14ac:dyDescent="0.35">
      <c r="B20" s="75" t="s">
        <v>298</v>
      </c>
      <c r="C20" s="76" t="s">
        <v>281</v>
      </c>
      <c r="D20" s="76" t="s">
        <v>282</v>
      </c>
    </row>
    <row r="21" spans="1:4" x14ac:dyDescent="0.35">
      <c r="A21" s="30"/>
      <c r="B21" s="77" t="s">
        <v>299</v>
      </c>
      <c r="C21" s="40" t="s">
        <v>300</v>
      </c>
      <c r="D21" s="40" t="s">
        <v>38</v>
      </c>
    </row>
    <row r="22" spans="1:4" x14ac:dyDescent="0.35">
      <c r="B22" s="78" t="s">
        <v>301</v>
      </c>
      <c r="C22" s="46" t="s">
        <v>38</v>
      </c>
      <c r="D22" s="46" t="s">
        <v>284</v>
      </c>
    </row>
    <row r="23" spans="1:4" x14ac:dyDescent="0.35">
      <c r="A23" s="30"/>
      <c r="B23" s="77" t="s">
        <v>302</v>
      </c>
      <c r="C23" s="40" t="s">
        <v>300</v>
      </c>
      <c r="D23" s="40" t="s">
        <v>38</v>
      </c>
    </row>
    <row r="24" spans="1:4" x14ac:dyDescent="0.35">
      <c r="B24" s="78" t="s">
        <v>303</v>
      </c>
      <c r="C24" s="46" t="s">
        <v>284</v>
      </c>
      <c r="D24" s="46" t="s">
        <v>38</v>
      </c>
    </row>
    <row r="25" spans="1:4" x14ac:dyDescent="0.35">
      <c r="A25" s="30"/>
      <c r="B25" s="77" t="s">
        <v>304</v>
      </c>
      <c r="C25" s="40" t="s">
        <v>284</v>
      </c>
      <c r="D25" s="40" t="s">
        <v>38</v>
      </c>
    </row>
    <row r="26" spans="1:4" x14ac:dyDescent="0.35">
      <c r="B26" s="78" t="s">
        <v>305</v>
      </c>
      <c r="C26" s="46" t="s">
        <v>38</v>
      </c>
      <c r="D26" s="46" t="s">
        <v>284</v>
      </c>
    </row>
    <row r="28" spans="1:4" ht="16" customHeight="1" x14ac:dyDescent="0.35">
      <c r="B28" s="75" t="s">
        <v>306</v>
      </c>
      <c r="C28" s="76" t="s">
        <v>281</v>
      </c>
      <c r="D28" s="76" t="s">
        <v>282</v>
      </c>
    </row>
    <row r="29" spans="1:4" x14ac:dyDescent="0.35">
      <c r="A29" s="30"/>
      <c r="B29" s="77" t="s">
        <v>307</v>
      </c>
      <c r="C29" s="40" t="s">
        <v>284</v>
      </c>
      <c r="D29" s="40" t="s">
        <v>38</v>
      </c>
    </row>
    <row r="30" spans="1:4" x14ac:dyDescent="0.35">
      <c r="B30" s="78" t="s">
        <v>308</v>
      </c>
      <c r="C30" s="46" t="s">
        <v>38</v>
      </c>
      <c r="D30" s="46" t="s">
        <v>284</v>
      </c>
    </row>
    <row r="31" spans="1:4" x14ac:dyDescent="0.35">
      <c r="A31" s="30"/>
      <c r="B31" s="77" t="s">
        <v>309</v>
      </c>
      <c r="C31" s="40" t="s">
        <v>38</v>
      </c>
      <c r="D31" s="40" t="s">
        <v>284</v>
      </c>
    </row>
    <row r="32" spans="1:4" x14ac:dyDescent="0.35">
      <c r="B32" s="78" t="s">
        <v>310</v>
      </c>
      <c r="C32" s="46" t="s">
        <v>284</v>
      </c>
      <c r="D32" s="46" t="s">
        <v>38</v>
      </c>
    </row>
    <row r="33" spans="1:4" x14ac:dyDescent="0.35">
      <c r="A33" s="30"/>
      <c r="B33" s="77" t="s">
        <v>311</v>
      </c>
      <c r="C33" s="40" t="s">
        <v>38</v>
      </c>
      <c r="D33" s="40" t="s">
        <v>284</v>
      </c>
    </row>
    <row r="34" spans="1:4" x14ac:dyDescent="0.35">
      <c r="B34" s="78" t="s">
        <v>312</v>
      </c>
      <c r="C34" s="46" t="s">
        <v>284</v>
      </c>
      <c r="D34" s="46" t="s">
        <v>38</v>
      </c>
    </row>
    <row r="35" spans="1:4" x14ac:dyDescent="0.35">
      <c r="A35" s="30"/>
      <c r="B35" s="77" t="s">
        <v>313</v>
      </c>
      <c r="C35" s="40" t="s">
        <v>284</v>
      </c>
      <c r="D35" s="40" t="s">
        <v>38</v>
      </c>
    </row>
    <row r="36" spans="1:4" x14ac:dyDescent="0.35">
      <c r="B36" s="78" t="s">
        <v>314</v>
      </c>
      <c r="C36" s="46" t="s">
        <v>284</v>
      </c>
      <c r="D36" s="46" t="s">
        <v>38</v>
      </c>
    </row>
    <row r="37" spans="1:4" x14ac:dyDescent="0.35">
      <c r="A37" s="30"/>
      <c r="B37" s="77" t="s">
        <v>315</v>
      </c>
      <c r="C37" s="40" t="s">
        <v>38</v>
      </c>
      <c r="D37" s="40" t="s">
        <v>284</v>
      </c>
    </row>
    <row r="39" spans="1:4" ht="16" customHeight="1" x14ac:dyDescent="0.35">
      <c r="B39" s="75" t="s">
        <v>316</v>
      </c>
      <c r="C39" s="76" t="s">
        <v>281</v>
      </c>
      <c r="D39" s="76" t="s">
        <v>282</v>
      </c>
    </row>
    <row r="40" spans="1:4" x14ac:dyDescent="0.35">
      <c r="A40" s="30"/>
      <c r="B40" s="77" t="s">
        <v>317</v>
      </c>
      <c r="C40" s="40" t="s">
        <v>300</v>
      </c>
      <c r="D40" s="40" t="s">
        <v>38</v>
      </c>
    </row>
    <row r="41" spans="1:4" x14ac:dyDescent="0.35">
      <c r="B41" s="78" t="s">
        <v>318</v>
      </c>
      <c r="C41" s="46" t="s">
        <v>38</v>
      </c>
      <c r="D41" s="46" t="s">
        <v>284</v>
      </c>
    </row>
    <row r="42" spans="1:4" x14ac:dyDescent="0.35">
      <c r="A42" s="30"/>
      <c r="B42" s="77" t="s">
        <v>319</v>
      </c>
      <c r="C42" s="40" t="s">
        <v>38</v>
      </c>
      <c r="D42" s="40" t="s">
        <v>284</v>
      </c>
    </row>
    <row r="44" spans="1:4" ht="16" customHeight="1" x14ac:dyDescent="0.35">
      <c r="B44" s="75" t="s">
        <v>320</v>
      </c>
      <c r="C44" s="76" t="s">
        <v>281</v>
      </c>
      <c r="D44" s="76" t="s">
        <v>282</v>
      </c>
    </row>
    <row r="45" spans="1:4" x14ac:dyDescent="0.35">
      <c r="A45" s="30"/>
      <c r="B45" s="77" t="s">
        <v>321</v>
      </c>
      <c r="C45" s="40" t="s">
        <v>284</v>
      </c>
      <c r="D45" s="40" t="s">
        <v>38</v>
      </c>
    </row>
    <row r="46" spans="1:4" x14ac:dyDescent="0.35">
      <c r="B46" s="78" t="s">
        <v>322</v>
      </c>
      <c r="C46" s="46" t="s">
        <v>284</v>
      </c>
      <c r="D46" s="46" t="s">
        <v>38</v>
      </c>
    </row>
    <row r="47" spans="1:4" x14ac:dyDescent="0.35">
      <c r="A47" s="30"/>
      <c r="B47" s="77" t="s">
        <v>323</v>
      </c>
      <c r="C47" s="40" t="s">
        <v>284</v>
      </c>
      <c r="D47" s="40" t="s">
        <v>38</v>
      </c>
    </row>
    <row r="48" spans="1:4" x14ac:dyDescent="0.35">
      <c r="B48" s="78" t="s">
        <v>324</v>
      </c>
      <c r="C48" s="46" t="s">
        <v>284</v>
      </c>
      <c r="D48" s="46" t="s">
        <v>38</v>
      </c>
    </row>
    <row r="50" spans="1:4" ht="16" customHeight="1" x14ac:dyDescent="0.35">
      <c r="B50" s="75" t="s">
        <v>325</v>
      </c>
      <c r="C50" s="76" t="s">
        <v>281</v>
      </c>
      <c r="D50" s="76" t="s">
        <v>282</v>
      </c>
    </row>
    <row r="51" spans="1:4" x14ac:dyDescent="0.35">
      <c r="A51" s="30"/>
      <c r="B51" s="77" t="s">
        <v>326</v>
      </c>
      <c r="C51" s="40" t="s">
        <v>300</v>
      </c>
      <c r="D51" s="40" t="s">
        <v>38</v>
      </c>
    </row>
    <row r="52" spans="1:4" x14ac:dyDescent="0.35">
      <c r="B52" s="78" t="s">
        <v>327</v>
      </c>
      <c r="C52" s="46" t="s">
        <v>38</v>
      </c>
      <c r="D52" s="46" t="s">
        <v>284</v>
      </c>
    </row>
    <row r="53" spans="1:4" x14ac:dyDescent="0.35">
      <c r="A53" s="30"/>
      <c r="B53" s="77" t="s">
        <v>328</v>
      </c>
      <c r="C53" s="40" t="s">
        <v>300</v>
      </c>
      <c r="D53" s="40" t="s">
        <v>38</v>
      </c>
    </row>
    <row r="54" spans="1:4" x14ac:dyDescent="0.35">
      <c r="B54" s="78" t="s">
        <v>329</v>
      </c>
      <c r="C54" s="46" t="s">
        <v>300</v>
      </c>
      <c r="D54" s="46" t="s">
        <v>38</v>
      </c>
    </row>
    <row r="55" spans="1:4" x14ac:dyDescent="0.35">
      <c r="A55" s="30"/>
      <c r="B55" s="77" t="s">
        <v>330</v>
      </c>
      <c r="C55" s="40" t="s">
        <v>300</v>
      </c>
      <c r="D55" s="40" t="s">
        <v>38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107"/>
  </sheetPr>
  <dimension ref="A1:K27"/>
  <sheetViews>
    <sheetView workbookViewId="0"/>
  </sheetViews>
  <sheetFormatPr defaultRowHeight="14.5" x14ac:dyDescent="0.3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spans="1:11" ht="24" customHeight="1" x14ac:dyDescent="0.35">
      <c r="A1" s="88" t="s">
        <v>331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3" spans="1:11" x14ac:dyDescent="0.35">
      <c r="A3" s="23" t="s">
        <v>332</v>
      </c>
      <c r="D3" s="79" t="s">
        <v>333</v>
      </c>
    </row>
    <row r="5" spans="1:11" ht="15.5" x14ac:dyDescent="0.35">
      <c r="B5" s="59" t="s">
        <v>334</v>
      </c>
      <c r="I5" s="59" t="s">
        <v>335</v>
      </c>
    </row>
    <row r="6" spans="1:11" x14ac:dyDescent="0.35">
      <c r="A6" s="22" t="s">
        <v>38</v>
      </c>
      <c r="B6" s="22" t="s">
        <v>336</v>
      </c>
      <c r="C6" s="22" t="s">
        <v>337</v>
      </c>
      <c r="D6" s="22" t="s">
        <v>204</v>
      </c>
      <c r="I6" s="22" t="s">
        <v>336</v>
      </c>
      <c r="J6" s="22" t="s">
        <v>337</v>
      </c>
    </row>
    <row r="7" spans="1:11" x14ac:dyDescent="0.35">
      <c r="A7" t="s">
        <v>338</v>
      </c>
      <c r="B7" s="17">
        <v>3268356.7499999995</v>
      </c>
      <c r="C7" s="17">
        <v>2829644.12</v>
      </c>
      <c r="D7" s="17">
        <v>438712.63</v>
      </c>
      <c r="H7" s="23" t="s">
        <v>339</v>
      </c>
      <c r="I7" s="17">
        <v>3268356.7499999995</v>
      </c>
      <c r="J7" s="17">
        <v>2829644.12</v>
      </c>
    </row>
    <row r="8" spans="1:11" x14ac:dyDescent="0.35">
      <c r="A8" s="33" t="s">
        <v>339</v>
      </c>
      <c r="B8" s="34">
        <v>3268356.7499999995</v>
      </c>
      <c r="C8" s="34">
        <v>2829644.12</v>
      </c>
      <c r="D8" s="34">
        <v>438712.63</v>
      </c>
      <c r="E8" s="33"/>
      <c r="F8" s="33"/>
    </row>
    <row r="10" spans="1:11" x14ac:dyDescent="0.35">
      <c r="A10" s="80" t="s">
        <v>340</v>
      </c>
    </row>
    <row r="11" spans="1:11" x14ac:dyDescent="0.35">
      <c r="A11" t="s">
        <v>341</v>
      </c>
      <c r="B11" s="17">
        <v>0</v>
      </c>
      <c r="C11" s="17">
        <v>0</v>
      </c>
      <c r="D11" s="17">
        <v>0</v>
      </c>
    </row>
    <row r="13" spans="1:11" x14ac:dyDescent="0.35">
      <c r="A13" s="51" t="s">
        <v>342</v>
      </c>
      <c r="B13" s="53">
        <v>3268356.7499999995</v>
      </c>
      <c r="C13" s="53">
        <v>2829644.12</v>
      </c>
      <c r="D13" s="53">
        <v>438712.63</v>
      </c>
      <c r="E13" s="51"/>
      <c r="F13" s="51"/>
    </row>
    <row r="16" spans="1:11" ht="72.5" x14ac:dyDescent="0.35">
      <c r="A16" s="22" t="s">
        <v>343</v>
      </c>
      <c r="B16" s="22" t="s">
        <v>336</v>
      </c>
      <c r="C16" s="22" t="s">
        <v>344</v>
      </c>
      <c r="D16" s="22" t="s">
        <v>345</v>
      </c>
      <c r="E16" s="22" t="s">
        <v>346</v>
      </c>
    </row>
    <row r="17" spans="1:5" x14ac:dyDescent="0.35">
      <c r="A17" s="30" t="s">
        <v>347</v>
      </c>
      <c r="B17" s="31">
        <v>0</v>
      </c>
      <c r="C17" s="31">
        <v>1430552.57</v>
      </c>
      <c r="D17" s="61">
        <v>0</v>
      </c>
      <c r="E17" s="31">
        <v>1430552.57</v>
      </c>
    </row>
    <row r="18" spans="1:5" x14ac:dyDescent="0.35">
      <c r="A18" t="s">
        <v>348</v>
      </c>
      <c r="B18" s="17">
        <v>0</v>
      </c>
      <c r="C18" s="17">
        <v>487978.77</v>
      </c>
      <c r="D18" s="62">
        <v>0</v>
      </c>
      <c r="E18" s="17">
        <v>487978.77</v>
      </c>
    </row>
    <row r="19" spans="1:5" x14ac:dyDescent="0.35">
      <c r="A19" s="30" t="s">
        <v>349</v>
      </c>
      <c r="B19" s="31">
        <v>0</v>
      </c>
      <c r="C19" s="31">
        <v>393531.27</v>
      </c>
      <c r="D19" s="61">
        <v>0</v>
      </c>
      <c r="E19" s="31">
        <v>393531.27</v>
      </c>
    </row>
    <row r="20" spans="1:5" x14ac:dyDescent="0.35">
      <c r="A20" t="s">
        <v>350</v>
      </c>
      <c r="B20" s="17">
        <v>0</v>
      </c>
      <c r="C20" s="17">
        <v>165000</v>
      </c>
      <c r="D20" s="62">
        <v>0</v>
      </c>
      <c r="E20" s="17">
        <v>165000</v>
      </c>
    </row>
    <row r="21" spans="1:5" x14ac:dyDescent="0.35">
      <c r="A21" s="30" t="s">
        <v>351</v>
      </c>
      <c r="B21" s="31">
        <v>0</v>
      </c>
      <c r="C21" s="31">
        <v>51764.679999999993</v>
      </c>
      <c r="D21" s="61">
        <v>0</v>
      </c>
      <c r="E21" s="31">
        <v>51764.679999999993</v>
      </c>
    </row>
    <row r="22" spans="1:5" x14ac:dyDescent="0.35">
      <c r="A22" t="s">
        <v>352</v>
      </c>
      <c r="B22" s="17">
        <v>0</v>
      </c>
      <c r="C22" s="17">
        <v>0</v>
      </c>
      <c r="D22" s="62">
        <v>0</v>
      </c>
      <c r="E22" s="17">
        <v>0</v>
      </c>
    </row>
    <row r="23" spans="1:5" x14ac:dyDescent="0.35">
      <c r="A23" s="30" t="s">
        <v>353</v>
      </c>
      <c r="B23" s="31">
        <v>0</v>
      </c>
      <c r="C23" s="31">
        <v>0</v>
      </c>
      <c r="D23" s="61">
        <v>0</v>
      </c>
      <c r="E23" s="31">
        <v>0</v>
      </c>
    </row>
    <row r="24" spans="1:5" x14ac:dyDescent="0.35">
      <c r="A24" t="s">
        <v>354</v>
      </c>
      <c r="B24" s="17">
        <v>0</v>
      </c>
      <c r="C24" s="17">
        <v>0</v>
      </c>
      <c r="D24" s="62">
        <v>0</v>
      </c>
      <c r="E24" s="17">
        <v>0</v>
      </c>
    </row>
    <row r="25" spans="1:5" x14ac:dyDescent="0.35">
      <c r="A25" s="30" t="s">
        <v>355</v>
      </c>
      <c r="B25" s="31">
        <v>0</v>
      </c>
      <c r="C25" s="31">
        <v>0</v>
      </c>
      <c r="D25" s="61">
        <v>0</v>
      </c>
      <c r="E25" s="31">
        <v>0</v>
      </c>
    </row>
    <row r="26" spans="1:5" x14ac:dyDescent="0.35">
      <c r="A26" t="s">
        <v>356</v>
      </c>
      <c r="B26" s="17">
        <v>0</v>
      </c>
      <c r="C26" s="17">
        <v>0</v>
      </c>
      <c r="D26" s="62">
        <v>0</v>
      </c>
      <c r="E26" s="17">
        <v>0</v>
      </c>
    </row>
    <row r="27" spans="1:5" x14ac:dyDescent="0.35">
      <c r="A27" s="51" t="s">
        <v>357</v>
      </c>
      <c r="B27" s="51"/>
      <c r="C27" s="53">
        <v>2829644.12</v>
      </c>
      <c r="D27" s="53">
        <v>0</v>
      </c>
      <c r="E27" s="53">
        <v>2829644.12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107"/>
  </sheetPr>
  <dimension ref="A1:O24"/>
  <sheetViews>
    <sheetView workbookViewId="0"/>
  </sheetViews>
  <sheetFormatPr defaultRowHeight="14.5" x14ac:dyDescent="0.35"/>
  <cols>
    <col min="1" max="1" width="4" customWidth="1"/>
    <col min="2" max="3" width="14" customWidth="1"/>
    <col min="4" max="4" width="16" customWidth="1"/>
    <col min="5" max="15" width="14" customWidth="1"/>
  </cols>
  <sheetData>
    <row r="1" spans="1:15" ht="24" customHeight="1" x14ac:dyDescent="0.35">
      <c r="A1" s="88" t="s">
        <v>358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3" spans="1:15" x14ac:dyDescent="0.35">
      <c r="D3" s="23" t="s">
        <v>359</v>
      </c>
    </row>
    <row r="4" spans="1:15" x14ac:dyDescent="0.35">
      <c r="D4" s="2" t="s">
        <v>360</v>
      </c>
      <c r="E4" s="2" t="s">
        <v>361</v>
      </c>
      <c r="F4" s="2" t="s">
        <v>362</v>
      </c>
      <c r="G4" s="2" t="s">
        <v>363</v>
      </c>
      <c r="H4" s="2" t="s">
        <v>364</v>
      </c>
    </row>
    <row r="5" spans="1:15" x14ac:dyDescent="0.35">
      <c r="D5" t="s">
        <v>365</v>
      </c>
      <c r="E5" s="24">
        <v>0.5</v>
      </c>
      <c r="F5" s="24">
        <v>0.2</v>
      </c>
      <c r="G5" s="24">
        <v>0.2</v>
      </c>
      <c r="H5" s="24">
        <v>0.1</v>
      </c>
    </row>
    <row r="6" spans="1:15" x14ac:dyDescent="0.35">
      <c r="B6" t="s">
        <v>366</v>
      </c>
      <c r="C6" s="69" t="s">
        <v>367</v>
      </c>
    </row>
    <row r="7" spans="1:15" x14ac:dyDescent="0.35">
      <c r="B7" t="s">
        <v>368</v>
      </c>
      <c r="C7" s="69" t="s">
        <v>367</v>
      </c>
    </row>
    <row r="9" spans="1:15" ht="29" x14ac:dyDescent="0.35">
      <c r="A9" s="22" t="s">
        <v>38</v>
      </c>
      <c r="B9" s="22" t="s">
        <v>336</v>
      </c>
      <c r="C9" s="22" t="s">
        <v>369</v>
      </c>
      <c r="D9" s="22" t="s">
        <v>370</v>
      </c>
      <c r="E9" s="22" t="s">
        <v>371</v>
      </c>
      <c r="F9" s="22" t="s">
        <v>372</v>
      </c>
    </row>
    <row r="10" spans="1:15" x14ac:dyDescent="0.35">
      <c r="A10" s="51"/>
      <c r="B10" s="53">
        <v>3268356.7499999995</v>
      </c>
      <c r="C10" s="53">
        <v>2829644.12</v>
      </c>
      <c r="D10" s="53">
        <v>438712.62999999942</v>
      </c>
      <c r="E10" s="54">
        <v>0.13423033761537798</v>
      </c>
      <c r="F10" s="53">
        <v>0</v>
      </c>
    </row>
    <row r="12" spans="1:15" x14ac:dyDescent="0.35">
      <c r="A12" s="23" t="s">
        <v>373</v>
      </c>
      <c r="E12" s="81" t="s">
        <v>374</v>
      </c>
      <c r="F12" s="81" t="s">
        <v>375</v>
      </c>
      <c r="G12" s="81" t="s">
        <v>376</v>
      </c>
      <c r="H12" s="81" t="s">
        <v>377</v>
      </c>
      <c r="I12" s="81" t="s">
        <v>378</v>
      </c>
      <c r="J12" s="81" t="s">
        <v>379</v>
      </c>
      <c r="K12" s="81" t="s">
        <v>380</v>
      </c>
      <c r="L12" s="81" t="s">
        <v>381</v>
      </c>
      <c r="M12" s="81" t="s">
        <v>382</v>
      </c>
      <c r="N12" s="81" t="s">
        <v>383</v>
      </c>
    </row>
    <row r="13" spans="1:15" ht="43.5" x14ac:dyDescent="0.35">
      <c r="A13" s="1" t="s">
        <v>336</v>
      </c>
      <c r="C13" s="1" t="s">
        <v>384</v>
      </c>
      <c r="D13" s="1" t="s">
        <v>385</v>
      </c>
    </row>
    <row r="14" spans="1:15" x14ac:dyDescent="0.35">
      <c r="A14" s="30">
        <v>1</v>
      </c>
      <c r="B14" s="30"/>
      <c r="C14" s="61">
        <v>0</v>
      </c>
      <c r="D14" s="67" t="s">
        <v>38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</row>
    <row r="15" spans="1:15" x14ac:dyDescent="0.35">
      <c r="A15">
        <v>2</v>
      </c>
      <c r="C15" s="62">
        <v>0</v>
      </c>
      <c r="D15" s="69" t="s">
        <v>38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</row>
    <row r="16" spans="1:15" x14ac:dyDescent="0.35">
      <c r="A16" s="30">
        <v>3</v>
      </c>
      <c r="B16" s="30"/>
      <c r="C16" s="61">
        <v>0</v>
      </c>
      <c r="D16" s="67" t="s">
        <v>38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</row>
    <row r="17" spans="1:14" x14ac:dyDescent="0.35">
      <c r="A17">
        <v>4</v>
      </c>
      <c r="C17" s="62">
        <v>0</v>
      </c>
      <c r="D17" s="69" t="s">
        <v>38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</row>
    <row r="18" spans="1:14" x14ac:dyDescent="0.35">
      <c r="A18" s="30">
        <v>5</v>
      </c>
      <c r="B18" s="30"/>
      <c r="C18" s="61">
        <v>0</v>
      </c>
      <c r="D18" s="67" t="s">
        <v>38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</row>
    <row r="19" spans="1:14" x14ac:dyDescent="0.35">
      <c r="A19">
        <v>6</v>
      </c>
      <c r="C19" s="62">
        <v>0</v>
      </c>
      <c r="D19" s="69" t="s">
        <v>38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</row>
    <row r="20" spans="1:14" x14ac:dyDescent="0.35">
      <c r="A20" s="30">
        <v>7</v>
      </c>
      <c r="B20" s="30"/>
      <c r="C20" s="61">
        <v>0</v>
      </c>
      <c r="D20" s="67" t="s">
        <v>38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</row>
    <row r="21" spans="1:14" x14ac:dyDescent="0.35">
      <c r="A21">
        <v>8</v>
      </c>
      <c r="C21" s="62">
        <v>0</v>
      </c>
      <c r="D21" s="69" t="s">
        <v>38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</row>
    <row r="22" spans="1:14" x14ac:dyDescent="0.35">
      <c r="A22" s="30">
        <v>9</v>
      </c>
      <c r="B22" s="30"/>
      <c r="C22" s="61">
        <v>0</v>
      </c>
      <c r="D22" s="67" t="s">
        <v>38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</row>
    <row r="23" spans="1:14" x14ac:dyDescent="0.35">
      <c r="A23">
        <v>10</v>
      </c>
      <c r="C23" s="62">
        <v>0</v>
      </c>
      <c r="D23" s="69" t="s">
        <v>38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</row>
    <row r="24" spans="1:14" x14ac:dyDescent="0.35">
      <c r="A24" s="63" t="s">
        <v>386</v>
      </c>
      <c r="B24" s="63"/>
      <c r="C24" s="64">
        <v>0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107"/>
  </sheetPr>
  <dimension ref="A1:E33"/>
  <sheetViews>
    <sheetView workbookViewId="0"/>
  </sheetViews>
  <sheetFormatPr defaultRowHeight="14.5" x14ac:dyDescent="0.35"/>
  <cols>
    <col min="1" max="1" width="16" customWidth="1"/>
    <col min="2" max="3" width="30" customWidth="1"/>
    <col min="4" max="5" width="18" customWidth="1"/>
  </cols>
  <sheetData>
    <row r="1" spans="1:5" ht="24" customHeight="1" x14ac:dyDescent="0.35">
      <c r="A1" s="88" t="s">
        <v>387</v>
      </c>
      <c r="B1" s="88"/>
      <c r="C1" s="88"/>
      <c r="D1" s="88"/>
      <c r="E1" s="88"/>
    </row>
    <row r="3" spans="1:5" ht="29" x14ac:dyDescent="0.35">
      <c r="A3" s="22" t="s">
        <v>388</v>
      </c>
      <c r="B3" s="22" t="s">
        <v>95</v>
      </c>
      <c r="C3" s="22" t="s">
        <v>389</v>
      </c>
      <c r="D3" s="22" t="s">
        <v>390</v>
      </c>
      <c r="E3" s="22" t="s">
        <v>77</v>
      </c>
    </row>
    <row r="4" spans="1:5" x14ac:dyDescent="0.35">
      <c r="A4" s="67" t="s">
        <v>38</v>
      </c>
      <c r="B4" s="67" t="s">
        <v>38</v>
      </c>
      <c r="C4" s="67" t="s">
        <v>38</v>
      </c>
      <c r="D4" s="61">
        <v>0</v>
      </c>
      <c r="E4" s="67" t="s">
        <v>38</v>
      </c>
    </row>
    <row r="5" spans="1:5" x14ac:dyDescent="0.35">
      <c r="A5" s="69" t="s">
        <v>38</v>
      </c>
      <c r="B5" s="69" t="s">
        <v>38</v>
      </c>
      <c r="C5" s="69" t="s">
        <v>38</v>
      </c>
      <c r="D5" s="62">
        <v>0</v>
      </c>
      <c r="E5" s="69" t="s">
        <v>38</v>
      </c>
    </row>
    <row r="6" spans="1:5" x14ac:dyDescent="0.35">
      <c r="A6" s="67" t="s">
        <v>38</v>
      </c>
      <c r="B6" s="67" t="s">
        <v>38</v>
      </c>
      <c r="C6" s="67" t="s">
        <v>38</v>
      </c>
      <c r="D6" s="61">
        <v>0</v>
      </c>
      <c r="E6" s="67" t="s">
        <v>38</v>
      </c>
    </row>
    <row r="7" spans="1:5" x14ac:dyDescent="0.35">
      <c r="A7" s="69" t="s">
        <v>38</v>
      </c>
      <c r="B7" s="69" t="s">
        <v>38</v>
      </c>
      <c r="C7" s="69" t="s">
        <v>38</v>
      </c>
      <c r="D7" s="62">
        <v>0</v>
      </c>
      <c r="E7" s="69" t="s">
        <v>38</v>
      </c>
    </row>
    <row r="8" spans="1:5" x14ac:dyDescent="0.35">
      <c r="A8" s="67" t="s">
        <v>38</v>
      </c>
      <c r="B8" s="67" t="s">
        <v>38</v>
      </c>
      <c r="C8" s="67" t="s">
        <v>38</v>
      </c>
      <c r="D8" s="61">
        <v>0</v>
      </c>
      <c r="E8" s="67" t="s">
        <v>38</v>
      </c>
    </row>
    <row r="9" spans="1:5" x14ac:dyDescent="0.35">
      <c r="A9" s="69" t="s">
        <v>38</v>
      </c>
      <c r="B9" s="69" t="s">
        <v>38</v>
      </c>
      <c r="C9" s="69" t="s">
        <v>38</v>
      </c>
      <c r="D9" s="62">
        <v>0</v>
      </c>
      <c r="E9" s="69" t="s">
        <v>38</v>
      </c>
    </row>
    <row r="10" spans="1:5" x14ac:dyDescent="0.35">
      <c r="A10" s="67" t="s">
        <v>38</v>
      </c>
      <c r="B10" s="67" t="s">
        <v>38</v>
      </c>
      <c r="C10" s="67" t="s">
        <v>38</v>
      </c>
      <c r="D10" s="61">
        <v>0</v>
      </c>
      <c r="E10" s="67" t="s">
        <v>38</v>
      </c>
    </row>
    <row r="11" spans="1:5" x14ac:dyDescent="0.35">
      <c r="A11" s="69" t="s">
        <v>38</v>
      </c>
      <c r="B11" s="69" t="s">
        <v>38</v>
      </c>
      <c r="C11" s="69" t="s">
        <v>38</v>
      </c>
      <c r="D11" s="62">
        <v>0</v>
      </c>
      <c r="E11" s="69" t="s">
        <v>38</v>
      </c>
    </row>
    <row r="12" spans="1:5" x14ac:dyDescent="0.35">
      <c r="A12" s="67" t="s">
        <v>38</v>
      </c>
      <c r="B12" s="67" t="s">
        <v>38</v>
      </c>
      <c r="C12" s="67" t="s">
        <v>38</v>
      </c>
      <c r="D12" s="61">
        <v>0</v>
      </c>
      <c r="E12" s="67" t="s">
        <v>38</v>
      </c>
    </row>
    <row r="13" spans="1:5" x14ac:dyDescent="0.35">
      <c r="A13" s="69" t="s">
        <v>38</v>
      </c>
      <c r="B13" s="69" t="s">
        <v>38</v>
      </c>
      <c r="C13" s="69" t="s">
        <v>38</v>
      </c>
      <c r="D13" s="62">
        <v>0</v>
      </c>
      <c r="E13" s="69" t="s">
        <v>38</v>
      </c>
    </row>
    <row r="14" spans="1:5" x14ac:dyDescent="0.35">
      <c r="A14" s="67" t="s">
        <v>38</v>
      </c>
      <c r="B14" s="67" t="s">
        <v>38</v>
      </c>
      <c r="C14" s="67" t="s">
        <v>38</v>
      </c>
      <c r="D14" s="61">
        <v>0</v>
      </c>
      <c r="E14" s="67" t="s">
        <v>38</v>
      </c>
    </row>
    <row r="15" spans="1:5" x14ac:dyDescent="0.35">
      <c r="A15" s="69" t="s">
        <v>38</v>
      </c>
      <c r="B15" s="69" t="s">
        <v>38</v>
      </c>
      <c r="C15" s="69" t="s">
        <v>38</v>
      </c>
      <c r="D15" s="62">
        <v>0</v>
      </c>
      <c r="E15" s="69" t="s">
        <v>38</v>
      </c>
    </row>
    <row r="16" spans="1:5" x14ac:dyDescent="0.35">
      <c r="A16" s="67" t="s">
        <v>38</v>
      </c>
      <c r="B16" s="67" t="s">
        <v>38</v>
      </c>
      <c r="C16" s="67" t="s">
        <v>38</v>
      </c>
      <c r="D16" s="61">
        <v>0</v>
      </c>
      <c r="E16" s="67" t="s">
        <v>38</v>
      </c>
    </row>
    <row r="17" spans="1:5" x14ac:dyDescent="0.35">
      <c r="A17" s="69" t="s">
        <v>38</v>
      </c>
      <c r="B17" s="69" t="s">
        <v>38</v>
      </c>
      <c r="C17" s="69" t="s">
        <v>38</v>
      </c>
      <c r="D17" s="62">
        <v>0</v>
      </c>
      <c r="E17" s="69" t="s">
        <v>38</v>
      </c>
    </row>
    <row r="18" spans="1:5" x14ac:dyDescent="0.35">
      <c r="A18" s="67" t="s">
        <v>38</v>
      </c>
      <c r="B18" s="67" t="s">
        <v>38</v>
      </c>
      <c r="C18" s="67" t="s">
        <v>38</v>
      </c>
      <c r="D18" s="61">
        <v>0</v>
      </c>
      <c r="E18" s="67" t="s">
        <v>38</v>
      </c>
    </row>
    <row r="19" spans="1:5" x14ac:dyDescent="0.35">
      <c r="A19" s="69" t="s">
        <v>38</v>
      </c>
      <c r="B19" s="69" t="s">
        <v>38</v>
      </c>
      <c r="C19" s="69" t="s">
        <v>38</v>
      </c>
      <c r="D19" s="62">
        <v>0</v>
      </c>
      <c r="E19" s="69" t="s">
        <v>38</v>
      </c>
    </row>
    <row r="20" spans="1:5" x14ac:dyDescent="0.35">
      <c r="A20" s="67" t="s">
        <v>38</v>
      </c>
      <c r="B20" s="67" t="s">
        <v>38</v>
      </c>
      <c r="C20" s="67" t="s">
        <v>38</v>
      </c>
      <c r="D20" s="61">
        <v>0</v>
      </c>
      <c r="E20" s="67" t="s">
        <v>38</v>
      </c>
    </row>
    <row r="21" spans="1:5" x14ac:dyDescent="0.35">
      <c r="A21" s="69" t="s">
        <v>38</v>
      </c>
      <c r="B21" s="69" t="s">
        <v>38</v>
      </c>
      <c r="C21" s="69" t="s">
        <v>38</v>
      </c>
      <c r="D21" s="62">
        <v>0</v>
      </c>
      <c r="E21" s="69" t="s">
        <v>38</v>
      </c>
    </row>
    <row r="22" spans="1:5" x14ac:dyDescent="0.35">
      <c r="A22" s="67" t="s">
        <v>38</v>
      </c>
      <c r="B22" s="67" t="s">
        <v>38</v>
      </c>
      <c r="C22" s="67" t="s">
        <v>38</v>
      </c>
      <c r="D22" s="61">
        <v>0</v>
      </c>
      <c r="E22" s="67" t="s">
        <v>38</v>
      </c>
    </row>
    <row r="23" spans="1:5" x14ac:dyDescent="0.35">
      <c r="A23" s="69" t="s">
        <v>38</v>
      </c>
      <c r="B23" s="69" t="s">
        <v>38</v>
      </c>
      <c r="C23" s="69" t="s">
        <v>38</v>
      </c>
      <c r="D23" s="62">
        <v>0</v>
      </c>
      <c r="E23" s="69" t="s">
        <v>38</v>
      </c>
    </row>
    <row r="24" spans="1:5" x14ac:dyDescent="0.35">
      <c r="A24" s="67" t="s">
        <v>38</v>
      </c>
      <c r="B24" s="67" t="s">
        <v>38</v>
      </c>
      <c r="C24" s="67" t="s">
        <v>38</v>
      </c>
      <c r="D24" s="61">
        <v>0</v>
      </c>
      <c r="E24" s="67" t="s">
        <v>38</v>
      </c>
    </row>
    <row r="25" spans="1:5" x14ac:dyDescent="0.35">
      <c r="A25" s="69" t="s">
        <v>38</v>
      </c>
      <c r="B25" s="69" t="s">
        <v>38</v>
      </c>
      <c r="C25" s="69" t="s">
        <v>38</v>
      </c>
      <c r="D25" s="62">
        <v>0</v>
      </c>
      <c r="E25" s="69" t="s">
        <v>38</v>
      </c>
    </row>
    <row r="26" spans="1:5" x14ac:dyDescent="0.35">
      <c r="A26" s="67" t="s">
        <v>38</v>
      </c>
      <c r="B26" s="67" t="s">
        <v>38</v>
      </c>
      <c r="C26" s="67" t="s">
        <v>38</v>
      </c>
      <c r="D26" s="61">
        <v>0</v>
      </c>
      <c r="E26" s="67" t="s">
        <v>38</v>
      </c>
    </row>
    <row r="27" spans="1:5" x14ac:dyDescent="0.35">
      <c r="A27" s="69" t="s">
        <v>38</v>
      </c>
      <c r="B27" s="69" t="s">
        <v>38</v>
      </c>
      <c r="C27" s="69" t="s">
        <v>38</v>
      </c>
      <c r="D27" s="62">
        <v>0</v>
      </c>
      <c r="E27" s="69" t="s">
        <v>38</v>
      </c>
    </row>
    <row r="28" spans="1:5" x14ac:dyDescent="0.35">
      <c r="A28" s="67" t="s">
        <v>38</v>
      </c>
      <c r="B28" s="67" t="s">
        <v>38</v>
      </c>
      <c r="C28" s="67" t="s">
        <v>38</v>
      </c>
      <c r="D28" s="61">
        <v>0</v>
      </c>
      <c r="E28" s="67" t="s">
        <v>38</v>
      </c>
    </row>
    <row r="29" spans="1:5" x14ac:dyDescent="0.35">
      <c r="A29" s="69" t="s">
        <v>38</v>
      </c>
      <c r="B29" s="69" t="s">
        <v>38</v>
      </c>
      <c r="C29" s="69" t="s">
        <v>38</v>
      </c>
      <c r="D29" s="62">
        <v>0</v>
      </c>
      <c r="E29" s="69" t="s">
        <v>38</v>
      </c>
    </row>
    <row r="30" spans="1:5" x14ac:dyDescent="0.35">
      <c r="A30" s="67" t="s">
        <v>38</v>
      </c>
      <c r="B30" s="67" t="s">
        <v>38</v>
      </c>
      <c r="C30" s="67" t="s">
        <v>38</v>
      </c>
      <c r="D30" s="61">
        <v>0</v>
      </c>
      <c r="E30" s="67" t="s">
        <v>38</v>
      </c>
    </row>
    <row r="31" spans="1:5" x14ac:dyDescent="0.35">
      <c r="A31" s="69" t="s">
        <v>38</v>
      </c>
      <c r="B31" s="69" t="s">
        <v>38</v>
      </c>
      <c r="C31" s="69" t="s">
        <v>38</v>
      </c>
      <c r="D31" s="62">
        <v>0</v>
      </c>
      <c r="E31" s="69" t="s">
        <v>38</v>
      </c>
    </row>
    <row r="32" spans="1:5" x14ac:dyDescent="0.35">
      <c r="A32" s="67" t="s">
        <v>38</v>
      </c>
      <c r="B32" s="67" t="s">
        <v>38</v>
      </c>
      <c r="C32" s="67" t="s">
        <v>38</v>
      </c>
      <c r="D32" s="61">
        <v>0</v>
      </c>
      <c r="E32" s="67" t="s">
        <v>38</v>
      </c>
    </row>
    <row r="33" spans="1:5" x14ac:dyDescent="0.35">
      <c r="A33" s="69" t="s">
        <v>38</v>
      </c>
      <c r="B33" s="69" t="s">
        <v>38</v>
      </c>
      <c r="C33" s="69" t="s">
        <v>38</v>
      </c>
      <c r="D33" s="62">
        <v>0</v>
      </c>
      <c r="E33" s="69" t="s">
        <v>38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107"/>
  </sheetPr>
  <dimension ref="A1:J9"/>
  <sheetViews>
    <sheetView workbookViewId="0"/>
  </sheetViews>
  <sheetFormatPr defaultRowHeight="14.5" x14ac:dyDescent="0.35"/>
  <cols>
    <col min="1" max="1" width="10" customWidth="1"/>
    <col min="2" max="2" width="28" customWidth="1"/>
    <col min="3" max="3" width="20" customWidth="1"/>
    <col min="4" max="7" width="10" customWidth="1"/>
    <col min="8" max="8" width="8" customWidth="1"/>
    <col min="9" max="9" width="14" customWidth="1"/>
    <col min="10" max="10" width="30" customWidth="1"/>
  </cols>
  <sheetData>
    <row r="1" spans="1:10" ht="24" customHeight="1" x14ac:dyDescent="0.35">
      <c r="A1" s="88" t="s">
        <v>391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x14ac:dyDescent="0.35">
      <c r="A2" s="89" t="s">
        <v>392</v>
      </c>
      <c r="B2" s="89"/>
      <c r="C2" s="89"/>
      <c r="D2" s="89"/>
      <c r="E2" s="89"/>
      <c r="F2" s="89"/>
      <c r="G2" s="89"/>
      <c r="H2" s="89"/>
      <c r="I2" s="89"/>
      <c r="J2" s="89"/>
    </row>
    <row r="4" spans="1:10" ht="18.649999999999999" customHeight="1" x14ac:dyDescent="0.35">
      <c r="A4" s="82" t="s">
        <v>393</v>
      </c>
      <c r="B4" s="82" t="s">
        <v>121</v>
      </c>
      <c r="C4" s="82" t="s">
        <v>7</v>
      </c>
      <c r="D4" s="82" t="s">
        <v>124</v>
      </c>
      <c r="E4" s="82" t="s">
        <v>123</v>
      </c>
      <c r="F4" s="82" t="s">
        <v>394</v>
      </c>
      <c r="G4" s="82" t="s">
        <v>395</v>
      </c>
      <c r="H4" s="82" t="s">
        <v>102</v>
      </c>
      <c r="I4" s="82" t="s">
        <v>396</v>
      </c>
      <c r="J4" s="82" t="s">
        <v>269</v>
      </c>
    </row>
    <row r="5" spans="1:10" x14ac:dyDescent="0.35">
      <c r="A5" s="83" t="s">
        <v>397</v>
      </c>
      <c r="B5" s="84" t="s">
        <v>398</v>
      </c>
      <c r="C5" s="84" t="s">
        <v>399</v>
      </c>
      <c r="D5" s="85">
        <v>14</v>
      </c>
      <c r="E5" s="85">
        <v>48</v>
      </c>
      <c r="F5" s="85" t="s">
        <v>116</v>
      </c>
      <c r="G5" s="85" t="s">
        <v>130</v>
      </c>
      <c r="H5" s="85">
        <v>1</v>
      </c>
      <c r="I5" s="86">
        <v>363897.77</v>
      </c>
      <c r="J5" s="87" t="s">
        <v>400</v>
      </c>
    </row>
    <row r="6" spans="1:10" x14ac:dyDescent="0.35">
      <c r="A6" s="83" t="s">
        <v>401</v>
      </c>
      <c r="B6" s="84" t="s">
        <v>402</v>
      </c>
      <c r="C6" s="84" t="s">
        <v>399</v>
      </c>
      <c r="D6" s="85">
        <v>13</v>
      </c>
      <c r="E6" s="85">
        <v>65</v>
      </c>
      <c r="F6" s="85" t="s">
        <v>116</v>
      </c>
      <c r="G6" s="85" t="s">
        <v>130</v>
      </c>
      <c r="H6" s="85">
        <v>1</v>
      </c>
      <c r="I6" s="86">
        <v>454125.35</v>
      </c>
      <c r="J6" s="87" t="s">
        <v>403</v>
      </c>
    </row>
    <row r="9" spans="1:10" x14ac:dyDescent="0.35">
      <c r="A9" s="90" t="s">
        <v>404</v>
      </c>
      <c r="B9" s="90"/>
      <c r="C9" s="90"/>
      <c r="D9" s="90"/>
      <c r="E9" s="90"/>
      <c r="F9" s="90"/>
      <c r="G9" s="90"/>
      <c r="H9" s="90"/>
      <c r="I9" s="90"/>
      <c r="J9" s="90"/>
    </row>
  </sheetData>
  <mergeCells count="3">
    <mergeCell ref="A1:J1"/>
    <mergeCell ref="A2:J2"/>
    <mergeCell ref="A9:J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Project Overview</vt:lpstr>
      <vt:lpstr>Margin Analysis</vt:lpstr>
      <vt:lpstr>Budget Summary</vt:lpstr>
      <vt:lpstr>LED Cost Sheet</vt:lpstr>
      <vt:lpstr>Tech Specs (Installers)</vt:lpstr>
      <vt:lpstr>Underpass 1 - Install</vt:lpstr>
      <vt:lpstr>Underpass 2 - Install</vt:lpstr>
      <vt:lpstr>Underpass 3 - Install</vt:lpstr>
      <vt:lpstr>Underpass 4 - Install</vt:lpstr>
      <vt:lpstr>Concourse - Install</vt:lpstr>
      <vt:lpstr>T4-B1 (6-9) - Install</vt:lpstr>
      <vt:lpstr>T4-B2 (10-18) - Install</vt:lpstr>
      <vt:lpstr>T4 Lobby Elevator - Install</vt:lpstr>
      <vt:lpstr>T2-B1M Screen 20 - Install</vt:lpstr>
      <vt:lpstr>T2-B1M Screen 21 - Install</vt:lpstr>
      <vt:lpstr>T2-B1M Screen 22 - Install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Alternates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2026-03-31T23:40:01Z</dcterms:created>
  <dcterms:modified xsi:type="dcterms:W3CDTF">2026-03-31T23:42:12Z</dcterms:modified>
  <cp:category/>
</cp:coreProperties>
</file>