
<file path=[Content_Types].xml><?xml version="1.0" encoding="utf-8"?>
<Types xmlns="http://schemas.openxmlformats.org/package/2006/content-types">
  <Default Extension="jpg" ContentType="image/jp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34620" windowHeight="13900"/>
  </bookViews>
  <sheets>
    <sheet sheetId="8" name="2.0 LCD DISPLAYS" state="visible" r:id="rId4"/>
  </sheets>
  <definedNames>
    <definedName name="ControlRoom">'[3]OES1'!$A$1:$J$80</definedName>
    <definedName name="MILESTONES">'[4]OES1'!$A$1:$J$80</definedName>
    <definedName name="OSC">'[6]OES1'!$A$1:$J$80</definedName>
    <definedName name="PRF">'[7]OES1'!$A$1:$J$80</definedName>
    <definedName name="PRINT_AREA_MI">'[8]OES1'!$A$1:$J$80</definedName>
    <definedName name="PRINT_AREA_MI2">'[3]OES1'!$A$1:$J$80</definedName>
    <definedName name="Print_Area2">'[3]OES1'!$A$1:$J$80</definedName>
    <definedName name="RFP">'[9]OES1'!$A$1:$J$80</definedName>
    <definedName name="SCHEDULE">'[10]OES1'!$A$1:$J$80</definedName>
    <definedName name="VR">'[3]OES1'!$A$1:$J$80</definedName>
    <definedName name="_xlnm.Print_Area" localSheetId="0">'2.0 LCD DISPLAYS'!$A1:$G5</definedName>
  </definedNames>
  <calcPr calcId="171027"/>
</workbook>
</file>

<file path=xl/sharedStrings.xml><?xml version="1.0" encoding="utf-8"?>
<sst xmlns="http://schemas.openxmlformats.org/spreadsheetml/2006/main" count="41" uniqueCount="38">
  <si>
    <t>Rose Bowl End Zone Club Renovation</t>
  </si>
  <si>
    <t>LCD DISPLAYS</t>
  </si>
  <si>
    <t>03.18.2026</t>
  </si>
  <si>
    <t>REF</t>
  </si>
  <si>
    <t>MANUFACTURER</t>
  </si>
  <si>
    <t>MODEL</t>
  </si>
  <si>
    <t>DESCRIPTION</t>
  </si>
  <si>
    <t>QTY</t>
  </si>
  <si>
    <t>UNIT</t>
  </si>
  <si>
    <t>EXTENDED</t>
  </si>
  <si>
    <t xml:space="preserve"> </t>
  </si>
  <si>
    <t>22" OUTDOOR LCD DISPLAYS</t>
  </si>
  <si>
    <t>LG</t>
  </si>
  <si>
    <t>22XE1J-B</t>
  </si>
  <si>
    <t>Outdoor Signage Display 21.5" viewable, 1500 Nits (58 + 2 spare)</t>
  </si>
  <si>
    <t>Ergotron</t>
  </si>
  <si>
    <t>33-387-085</t>
  </si>
  <si>
    <t>Neo-Flex Touchscreen Stand stand - black</t>
  </si>
  <si>
    <t>55" INDOOR LCD DISPLAYS</t>
  </si>
  <si>
    <t>55UH5Q-E</t>
  </si>
  <si>
    <t>55" Commercial LCD Display, 500 Nits (11 + 2 spare)</t>
  </si>
  <si>
    <t>Peerless</t>
  </si>
  <si>
    <t>ST650</t>
  </si>
  <si>
    <t>Tilting Wall Mount (11 + 2 spare)</t>
  </si>
  <si>
    <t>55" FRAME LCD DISPLAYS</t>
  </si>
  <si>
    <t>Samsung</t>
  </si>
  <si>
    <t>QN55LS03FAFXZA</t>
  </si>
  <si>
    <t>55" The Frame LCD Display QLED 4K LS03D (with Low-Profile Wall-Mount)</t>
  </si>
  <si>
    <t>DISPLAYS TOTAL</t>
  </si>
  <si>
    <t>INTEGRATION AND MATERIALS</t>
  </si>
  <si>
    <t>INTEGRATION</t>
  </si>
  <si>
    <t>MATERIAL</t>
  </si>
  <si>
    <t>Cables, Connectors, Lift Rental, Etc.</t>
  </si>
  <si>
    <t>LABOR</t>
  </si>
  <si>
    <t>Design and Integration Labor</t>
  </si>
  <si>
    <t>TRAVEL</t>
  </si>
  <si>
    <t>Travel &amp; Expenses</t>
  </si>
  <si>
    <t>LCD DISPLAYS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</si>
</sst>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* #,##0.00_);_(* (#,##0.00);_(* &quot;-&quot;??_);_(@_)"/>
  </numFmts>
  <fonts count="16" x14ac:knownFonts="1">
    <font>
      <color theme="1"/>
      <family val="2"/>
      <scheme val="minor"/>
      <sz val="11"/>
      <name val="Calibri"/>
    </font>
    <font>
      <color indexed="8"/>
      <family val="2"/>
      <scheme val="minor"/>
      <sz val="10"/>
      <name val="Calibri"/>
    </font>
    <font>
      <family val="2"/>
      <sz val="10"/>
      <name val="Arial"/>
    </font>
    <font>
      <family val="2"/>
      <scheme val="minor"/>
      <sz val="10"/>
      <name val="Calibri"/>
    </font>
    <font>
      <b/>
      <family val="2"/>
      <scheme val="minor"/>
      <sz val="14"/>
      <name val="Calibri"/>
    </font>
    <font>
      <family val="2"/>
      <sz val="8"/>
      <name val="Arial"/>
    </font>
    <font>
      <b/>
      <color indexed="9"/>
      <family val="2"/>
      <sz val="8"/>
      <name val="Arial"/>
    </font>
    <font>
      <b/>
      <family val="2"/>
      <scheme val="minor"/>
      <sz val="8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8"/>
      <name val="Calibri"/>
    </font>
    <font>
      <color theme="1"/>
      <family val="2"/>
      <scheme val="minor"/>
      <sz val="8"/>
      <name val="Calibri"/>
    </font>
    <font>
      <family val="2"/>
      <scheme val="minor"/>
      <sz val="8"/>
      <name val="Calibri"/>
    </font>
    <font>
      <color indexed="8"/>
      <family val="2"/>
      <scheme val="minor"/>
      <sz val="8"/>
      <name val="Calibri"/>
    </font>
    <font>
      <b/>
      <color theme="1"/>
      <family val="2"/>
      <scheme val="minor"/>
      <sz val="9"/>
      <name val="Calibri"/>
    </font>
    <font>
      <b/>
      <color indexed="8"/>
      <family val="2"/>
      <scheme val="minor"/>
      <sz val="9"/>
      <name val="Calibri"/>
    </font>
    <font>
      <family val="2"/>
      <sz val="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>
      <left/>
      <right style="medium"/>
      <top/>
      <bottom style="double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/>
    <xf numFmtId="164" fontId="1" fillId="2" borderId="0" xfId="0" applyNumberFormat="1" applyFont="1" applyFill="1"/>
    <xf numFmtId="0" fontId="2" fillId="2" borderId="0" xfId="0" applyFont="1" applyFill="1"/>
    <xf numFmtId="165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/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49" fontId="9" fillId="4" borderId="15" xfId="0" applyNumberFormat="1" applyFont="1" applyFill="1" applyBorder="1" applyAlignment="1" applyProtection="1">
      <alignment horizontal="center" vertical="top" wrapText="1"/>
      <protection locked="0"/>
    </xf>
    <xf numFmtId="49" fontId="9" fillId="4" borderId="16" xfId="0" applyNumberFormat="1" applyFont="1" applyFill="1" applyBorder="1" applyAlignment="1" applyProtection="1">
      <alignment horizontal="center" vertical="top" wrapText="1"/>
      <protection locked="0"/>
    </xf>
    <xf numFmtId="49" fontId="9" fillId="4" borderId="17" xfId="0" applyNumberFormat="1" applyFont="1" applyFill="1" applyBorder="1" applyAlignment="1" applyProtection="1">
      <alignment horizontal="center" vertical="top" wrapText="1"/>
      <protection locked="0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164" fontId="10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 wrapText="1"/>
    </xf>
    <xf numFmtId="49" fontId="13" fillId="2" borderId="18" xfId="0" applyNumberFormat="1" applyFont="1" applyFill="1" applyBorder="1" applyAlignment="1">
      <alignment horizontal="left" vertical="center"/>
    </xf>
    <xf numFmtId="49" fontId="13" fillId="2" borderId="19" xfId="0" applyNumberFormat="1" applyFont="1" applyFill="1" applyBorder="1" applyAlignment="1">
      <alignment horizontal="left" vertical="center"/>
    </xf>
    <xf numFmtId="49" fontId="13" fillId="2" borderId="20" xfId="0" applyNumberFormat="1" applyFont="1" applyFill="1" applyBorder="1" applyAlignment="1">
      <alignment horizontal="left" vertical="center"/>
    </xf>
    <xf numFmtId="164" fontId="14" fillId="2" borderId="21" xfId="0" applyNumberFormat="1" applyFont="1" applyFill="1" applyBorder="1" applyAlignment="1">
      <alignment vertical="top" wrapText="1"/>
    </xf>
    <xf numFmtId="164" fontId="10" fillId="2" borderId="22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49" fontId="13" fillId="2" borderId="25" xfId="0" applyNumberFormat="1" applyFont="1" applyFill="1" applyBorder="1" applyAlignment="1">
      <alignment horizontal="left" vertical="center"/>
    </xf>
    <xf numFmtId="164" fontId="14" fillId="2" borderId="26" xfId="0" applyNumberFormat="1" applyFont="1" applyFill="1" applyBorder="1" applyAlignment="1">
      <alignment vertical="top" wrapText="1"/>
    </xf>
    <xf numFmtId="49" fontId="9" fillId="4" borderId="18" xfId="0" applyNumberFormat="1" applyFont="1" applyFill="1" applyBorder="1" applyAlignment="1" applyProtection="1">
      <alignment horizontal="center" vertical="top" wrapText="1"/>
      <protection locked="0"/>
    </xf>
    <xf numFmtId="49" fontId="9" fillId="4" borderId="19" xfId="0" applyNumberFormat="1" applyFont="1" applyFill="1" applyBorder="1" applyAlignment="1" applyProtection="1">
      <alignment horizontal="center" vertical="top" wrapText="1"/>
      <protection locked="0"/>
    </xf>
    <xf numFmtId="49" fontId="9" fillId="4" borderId="21" xfId="0" applyNumberFormat="1" applyFont="1" applyFill="1" applyBorder="1" applyAlignment="1" applyProtection="1">
      <alignment horizontal="center" vertical="top" wrapText="1"/>
      <protection locked="0"/>
    </xf>
    <xf numFmtId="1" fontId="10" fillId="2" borderId="12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 wrapText="1"/>
    </xf>
    <xf numFmtId="49" fontId="13" fillId="2" borderId="27" xfId="0" applyNumberFormat="1" applyFont="1" applyFill="1" applyBorder="1" applyAlignment="1">
      <alignment horizontal="left" vertical="center"/>
    </xf>
    <xf numFmtId="164" fontId="13" fillId="2" borderId="28" xfId="0" applyNumberFormat="1" applyFont="1" applyFill="1" applyBorder="1" applyAlignment="1">
      <alignment horizontal="left" vertical="center"/>
    </xf>
    <xf numFmtId="164" fontId="14" fillId="2" borderId="29" xfId="0" applyNumberFormat="1" applyFont="1" applyFill="1" applyBorder="1" applyAlignment="1">
      <alignment vertical="top" wrapText="1"/>
    </xf>
    <xf numFmtId="49" fontId="8" fillId="2" borderId="6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164" fontId="8" fillId="2" borderId="31" xfId="0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2.jpe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857250</xdr:colOff>
      <xdr:row>0</xdr:row>
      <xdr:rowOff>0</xdr:rowOff>
    </xdr:from>
    <xdr:ext cx="0" cy="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857250</xdr:colOff>
      <xdr:row>2</xdr:row>
      <xdr:rowOff>0</xdr:rowOff>
    </xdr:from>
    <xdr:ext cx="0" cy="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70970</xdr:colOff>
      <xdr:row>0</xdr:row>
      <xdr:rowOff>103428</xdr:rowOff>
    </xdr:from>
    <xdr:ext cx="837812" cy="641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pane ySplit="6" topLeftCell="A7" activePane="bottomLeft" state="frozen"/>
      <selection pane="bottomLeft" activeCell="C8" sqref="C8"/>
    </sheetView>
  </sheetViews>
  <sheetFormatPr defaultRowHeight="13.8" outlineLevelRow="0" outlineLevelCol="0" x14ac:dyDescent="0.3" defaultColWidth="9.109375" customHeight="1"/>
  <cols>
    <col min="1" max="1" width="6.44140625" style="1" customWidth="1"/>
    <col min="2" max="2" width="17.88671875" style="2" customWidth="1"/>
    <col min="3" max="3" width="15.109375" style="2" customWidth="1"/>
    <col min="4" max="4" width="54" style="2" customWidth="1"/>
    <col min="5" max="5" width="6.109375" style="3" customWidth="1"/>
    <col min="6" max="6" width="10.44140625" style="4" customWidth="1"/>
    <col min="7" max="7" width="16.5546875" style="5" customWidth="1"/>
    <col min="8" max="8" width="26.6640625" style="6" customWidth="1"/>
    <col min="9" max="10" width="11" style="7" customWidth="1"/>
    <col min="11" max="16384" width="9.109375" style="7" customWidth="1"/>
  </cols>
  <sheetData>
    <row r="1" ht="21" customHeight="1" spans="1:7" x14ac:dyDescent="0.25">
      <c r="A1" s="8" t="s">
        <v>0</v>
      </c>
      <c r="B1" s="9"/>
      <c r="C1" s="9"/>
      <c r="D1" s="9"/>
      <c r="E1" s="9"/>
      <c r="F1" s="9"/>
      <c r="G1" s="10"/>
    </row>
    <row r="2" ht="20.25" customHeight="1" spans="1:7" x14ac:dyDescent="0.25">
      <c r="A2" s="11" t="s">
        <v>1</v>
      </c>
      <c r="B2" s="12"/>
      <c r="C2" s="12"/>
      <c r="D2" s="12"/>
      <c r="E2" s="12"/>
      <c r="F2" s="12"/>
      <c r="G2" s="13"/>
    </row>
    <row r="3" ht="20.25" customHeight="1" spans="1:7" x14ac:dyDescent="0.25">
      <c r="A3" s="14" t="s">
        <v>2</v>
      </c>
      <c r="B3" s="15"/>
      <c r="C3" s="15"/>
      <c r="D3" s="15"/>
      <c r="E3" s="15"/>
      <c r="F3" s="15"/>
      <c r="G3" s="16"/>
    </row>
    <row r="4" ht="3" customHeight="1" spans="1:8" s="17" customFormat="1" x14ac:dyDescent="0.25">
      <c r="A4" s="18"/>
      <c r="B4" s="19"/>
      <c r="C4" s="19"/>
      <c r="D4" s="19"/>
      <c r="E4" s="19"/>
      <c r="F4" s="19"/>
      <c r="G4" s="20"/>
      <c r="H4" s="21"/>
    </row>
    <row r="5" ht="13.5" customHeight="1" spans="1:8" s="22" customFormat="1" x14ac:dyDescent="0.25">
      <c r="A5" s="23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5" t="s">
        <v>9</v>
      </c>
      <c r="H5" s="26"/>
    </row>
    <row r="6" ht="3" customHeight="1" spans="1:8" s="17" customFormat="1" x14ac:dyDescent="0.25">
      <c r="A6" s="27" t="s">
        <v>10</v>
      </c>
      <c r="B6" s="28"/>
      <c r="C6" s="28"/>
      <c r="D6" s="28"/>
      <c r="E6" s="28"/>
      <c r="F6" s="28"/>
      <c r="G6" s="29"/>
      <c r="H6" s="21"/>
    </row>
    <row r="7" ht="13.5" customHeight="1" spans="1:7" x14ac:dyDescent="0.25">
      <c r="A7" s="30" t="s">
        <v>11</v>
      </c>
      <c r="B7" s="31"/>
      <c r="C7" s="31"/>
      <c r="D7" s="31"/>
      <c r="E7" s="31"/>
      <c r="F7" s="31"/>
      <c r="G7" s="32"/>
    </row>
    <row r="8" spans="1:7" x14ac:dyDescent="0.25">
      <c r="A8" s="33"/>
      <c r="B8" s="34" t="s">
        <v>12</v>
      </c>
      <c r="C8" s="34" t="s">
        <v>13</v>
      </c>
      <c r="D8" s="35" t="s">
        <v>14</v>
      </c>
      <c r="E8" s="36">
        <v>60</v>
      </c>
      <c r="F8" s="37">
        <v>0</v>
      </c>
      <c r="G8" s="38">
        <f>F8*E8</f>
        <v>0</v>
      </c>
    </row>
    <row r="9" spans="1:7" x14ac:dyDescent="0.25">
      <c r="A9" s="33"/>
      <c r="B9" s="34" t="s">
        <v>15</v>
      </c>
      <c r="C9" s="34" t="s">
        <v>16</v>
      </c>
      <c r="D9" s="35" t="s">
        <v>17</v>
      </c>
      <c r="E9" s="36">
        <v>60</v>
      </c>
      <c r="F9" s="37">
        <v>0</v>
      </c>
      <c r="G9" s="38">
        <f>F9*E9</f>
        <v>0</v>
      </c>
    </row>
    <row r="10" spans="1:7" x14ac:dyDescent="0.25">
      <c r="A10" s="39" t="str">
        <f>A7</f>
        <v>22" OUTDOOR LCD DISPLAYS</v>
      </c>
      <c r="B10" s="40"/>
      <c r="C10" s="40"/>
      <c r="D10" s="40"/>
      <c r="E10" s="40"/>
      <c r="F10" s="41"/>
      <c r="G10" s="42">
        <f>SUM(G8:G8)</f>
        <v>0</v>
      </c>
    </row>
    <row r="11" ht="13.5" customHeight="1" spans="1:7" x14ac:dyDescent="0.25">
      <c r="A11" s="30" t="s">
        <v>18</v>
      </c>
      <c r="B11" s="31"/>
      <c r="C11" s="31"/>
      <c r="D11" s="31"/>
      <c r="E11" s="31"/>
      <c r="F11" s="31"/>
      <c r="G11" s="32"/>
    </row>
    <row r="12" spans="1:7" x14ac:dyDescent="0.25">
      <c r="A12" s="33"/>
      <c r="B12" s="34" t="s">
        <v>12</v>
      </c>
      <c r="C12" s="34" t="s">
        <v>19</v>
      </c>
      <c r="D12" s="35" t="s">
        <v>20</v>
      </c>
      <c r="E12" s="36">
        <v>13</v>
      </c>
      <c r="F12" s="43">
        <v>0</v>
      </c>
      <c r="G12" s="38">
        <f>F12*E12</f>
        <v>0</v>
      </c>
    </row>
    <row r="13" spans="1:7" x14ac:dyDescent="0.25">
      <c r="A13" s="33"/>
      <c r="B13" s="34" t="s">
        <v>21</v>
      </c>
      <c r="C13" s="34" t="s">
        <v>22</v>
      </c>
      <c r="D13" s="35" t="s">
        <v>23</v>
      </c>
      <c r="E13" s="36">
        <v>13</v>
      </c>
      <c r="F13" s="43">
        <v>0</v>
      </c>
      <c r="G13" s="38">
        <f>+F13*E13</f>
        <v>0</v>
      </c>
    </row>
    <row r="14" spans="1:7" x14ac:dyDescent="0.25">
      <c r="A14" s="39" t="str">
        <f>A11</f>
        <v>55" INDOOR LCD DISPLAYS</v>
      </c>
      <c r="B14" s="40"/>
      <c r="C14" s="40"/>
      <c r="D14" s="40"/>
      <c r="E14" s="40"/>
      <c r="F14" s="41"/>
      <c r="G14" s="42">
        <f>SUM(G12:G13)</f>
        <v>0</v>
      </c>
    </row>
    <row r="15" ht="13.5" customHeight="1" spans="1:7" x14ac:dyDescent="0.25">
      <c r="A15" s="30" t="s">
        <v>24</v>
      </c>
      <c r="B15" s="31"/>
      <c r="C15" s="31"/>
      <c r="D15" s="31"/>
      <c r="E15" s="31"/>
      <c r="F15" s="31"/>
      <c r="G15" s="32"/>
    </row>
    <row r="16" spans="1:7" x14ac:dyDescent="0.25">
      <c r="A16" s="33"/>
      <c r="B16" s="34" t="s">
        <v>25</v>
      </c>
      <c r="C16" s="34" t="s">
        <v>26</v>
      </c>
      <c r="D16" s="35" t="s">
        <v>27</v>
      </c>
      <c r="E16" s="44">
        <v>2</v>
      </c>
      <c r="F16" s="43">
        <v>0</v>
      </c>
      <c r="G16" s="38">
        <f>F16*E16</f>
        <v>0</v>
      </c>
    </row>
    <row r="17" ht="14.4" customHeight="1" spans="1:7" x14ac:dyDescent="0.25">
      <c r="A17" s="45" t="str">
        <f>A15</f>
        <v>55" FRAME LCD DISPLAYS</v>
      </c>
      <c r="B17" s="46"/>
      <c r="C17" s="46"/>
      <c r="D17" s="46"/>
      <c r="E17" s="46"/>
      <c r="F17" s="47"/>
      <c r="G17" s="48">
        <f>SUM(G16:G16)</f>
        <v>0</v>
      </c>
    </row>
    <row r="18" ht="15" customHeight="1" spans="1:7" x14ac:dyDescent="0.25">
      <c r="A18" s="45" t="s">
        <v>28</v>
      </c>
      <c r="B18" s="46"/>
      <c r="C18" s="46"/>
      <c r="D18" s="46"/>
      <c r="E18" s="46"/>
      <c r="F18" s="47"/>
      <c r="G18" s="48">
        <f>G10+G14+G17</f>
        <v>0</v>
      </c>
    </row>
    <row r="19" ht="13.5" customHeight="1" spans="1:7" x14ac:dyDescent="0.25">
      <c r="A19" s="49" t="s">
        <v>29</v>
      </c>
      <c r="B19" s="50"/>
      <c r="C19" s="50"/>
      <c r="D19" s="50"/>
      <c r="E19" s="50"/>
      <c r="F19" s="50"/>
      <c r="G19" s="51"/>
    </row>
    <row r="20" spans="1:7" x14ac:dyDescent="0.25">
      <c r="A20" s="52"/>
      <c r="B20" s="34" t="s">
        <v>30</v>
      </c>
      <c r="C20" s="53" t="s">
        <v>31</v>
      </c>
      <c r="D20" s="54" t="s">
        <v>32</v>
      </c>
      <c r="E20" s="44">
        <v>1</v>
      </c>
      <c r="F20" s="43">
        <v>0</v>
      </c>
      <c r="G20" s="38">
        <f>+F20*E20</f>
        <v>0</v>
      </c>
    </row>
    <row r="21" spans="1:7" x14ac:dyDescent="0.25">
      <c r="A21" s="33"/>
      <c r="B21" s="34" t="s">
        <v>30</v>
      </c>
      <c r="C21" s="34" t="s">
        <v>33</v>
      </c>
      <c r="D21" s="35" t="s">
        <v>34</v>
      </c>
      <c r="E21" s="44">
        <v>1</v>
      </c>
      <c r="F21" s="43">
        <v>0</v>
      </c>
      <c r="G21" s="38">
        <f>+F21*E21</f>
        <v>0</v>
      </c>
    </row>
    <row r="22" spans="1:7" x14ac:dyDescent="0.25">
      <c r="A22" s="33"/>
      <c r="B22" s="34" t="s">
        <v>30</v>
      </c>
      <c r="C22" s="34" t="s">
        <v>35</v>
      </c>
      <c r="D22" s="35" t="s">
        <v>36</v>
      </c>
      <c r="E22" s="44">
        <v>1</v>
      </c>
      <c r="F22" s="43">
        <f>SUM(G18)*0.06</f>
        <v>0</v>
      </c>
      <c r="G22" s="38">
        <f>+F22*E22</f>
        <v>0</v>
      </c>
    </row>
    <row r="23" ht="14.4" customHeight="1" spans="1:7" x14ac:dyDescent="0.25">
      <c r="A23" s="55" t="str">
        <f>A19</f>
        <v>INTEGRATION AND MATERIALS</v>
      </c>
      <c r="B23" s="56"/>
      <c r="C23" s="56"/>
      <c r="D23" s="56"/>
      <c r="E23" s="56"/>
      <c r="F23" s="56"/>
      <c r="G23" s="57">
        <f>SUM(G20:G22)</f>
        <v>0</v>
      </c>
    </row>
    <row r="24" ht="13.5" customHeight="1" spans="1:7" x14ac:dyDescent="0.25">
      <c r="A24" s="58" t="s">
        <v>37</v>
      </c>
      <c r="B24" s="59"/>
      <c r="C24" s="59"/>
      <c r="D24" s="59"/>
      <c r="E24" s="59"/>
      <c r="F24" s="60"/>
      <c r="G24" s="61">
        <f>G23+G18</f>
        <v>0</v>
      </c>
    </row>
    <row r="25" ht="3" customHeight="1" spans="1:8" s="62" customFormat="1" x14ac:dyDescent="0.25">
      <c r="A25" s="63"/>
      <c r="B25" s="64"/>
      <c r="C25" s="64"/>
      <c r="D25" s="64"/>
      <c r="E25" s="64"/>
      <c r="F25" s="64"/>
      <c r="G25" s="65"/>
      <c r="H25" s="66"/>
    </row>
  </sheetData>
  <mergeCells count="16">
    <mergeCell ref="A1:G1"/>
    <mergeCell ref="A2:G2"/>
    <mergeCell ref="A3:G3"/>
    <mergeCell ref="A4:G4"/>
    <mergeCell ref="A6:G6"/>
    <mergeCell ref="A7:G7"/>
    <mergeCell ref="A10:F10"/>
    <mergeCell ref="A11:G11"/>
    <mergeCell ref="A14:F14"/>
    <mergeCell ref="A15:G15"/>
    <mergeCell ref="A17:F17"/>
    <mergeCell ref="A18:F18"/>
    <mergeCell ref="A19:G19"/>
    <mergeCell ref="A23:F23"/>
    <mergeCell ref="A24:F24"/>
    <mergeCell ref="A25:G25"/>
  </mergeCells>
  <printOptions horizontalCentered="1"/>
  <pageMargins left="0.7" right="0.7" top="0.27" bottom="0.36" header="0.19" footer="0.12"/>
  <pageSetup orientation="portrait" horizontalDpi="4294967295" verticalDpi="4294967295" scale="71" fitToWidth="1" fitToHeight="5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 LCD DISPLAYS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Martin</dc:creator>
  <dc:title/>
  <dc:subject/>
  <dc:description/>
  <cp:keywords/>
  <cp:category/>
  <cp:lastModifiedBy>Jack McCrossin</cp:lastModifiedBy>
  <cp:contentStatus/>
  <dcterms:created xsi:type="dcterms:W3CDTF">2017-04-12T15:59:45Z</dcterms:created>
  <dcterms:modified xsi:type="dcterms:W3CDTF">2026-03-26T16:22:59Z</dcterms:modified>
</cp:coreProperties>
</file>