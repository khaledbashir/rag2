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BID FORM" state="visible" r:id="rId4"/>
  </sheets>
  <definedNames>
    <definedName name="_xlnm.Print_Area" localSheetId="0">'BID FORM'!$A1:$C334</definedName>
  </definedNames>
  <calcPr calcId="171027"/>
</workbook>
</file>

<file path=xl/sharedStrings.xml><?xml version="1.0" encoding="utf-8"?>
<sst xmlns="http://schemas.openxmlformats.org/spreadsheetml/2006/main" count="310" uniqueCount="89">
  <si>
    <t>KENAN MEMORIAL STADIUM</t>
  </si>
  <si>
    <t>PROPOSAL FORM (addendum 1)</t>
  </si>
  <si>
    <t>*FILL IN GRAY SHADED CELLS ONLY</t>
  </si>
  <si>
    <t>BID SUMMARY</t>
  </si>
  <si>
    <t>LED DISPLAYS AND INSTALLATION</t>
  </si>
  <si>
    <t>ANC</t>
  </si>
  <si>
    <t>BLUE ZONE LED VIDEO DISPLAY</t>
  </si>
  <si>
    <t>INSTALLATION: BLUE ZONE LED VIDEO DISPLAY</t>
  </si>
  <si>
    <t>EAST END ZONE LED VIDEO DISPLAY</t>
  </si>
  <si>
    <t>INSTALLATION: EAST END LED VIDEO DISPLAY</t>
  </si>
  <si>
    <t>SIDELINE RIBBON DISPLAYS</t>
  </si>
  <si>
    <t>INSTALLATION: SIDELINE RIBBON DISPLAYS</t>
  </si>
  <si>
    <t>MONSTER RIBBON LDISPLAYS</t>
  </si>
  <si>
    <t>INSTALLATION: MONSTER RIBBON DISPLAYS</t>
  </si>
  <si>
    <t>BLUE ZONE LOWER RIBBON DISPLAYS</t>
  </si>
  <si>
    <t>INSTALLATION: BLUE ZONE LOWER RIBBON DISPLAYS</t>
  </si>
  <si>
    <t>BLUE ZONE TUNNEL RIBBON DISPLAYS</t>
  </si>
  <si>
    <t>INSTALLATION: BLUE ZONE TUNNEL RIBBON DISPLAYS</t>
  </si>
  <si>
    <t>BLUE ZONE RIBBON DISPLAY</t>
  </si>
  <si>
    <t>INSTALLATION: BLUE ZONE RIBBON DISPLAY</t>
  </si>
  <si>
    <t>GENERAL CONDITIONS</t>
  </si>
  <si>
    <t>OPERATING SYSTEM</t>
  </si>
  <si>
    <t>ANIMATION PACKAGE</t>
  </si>
  <si>
    <t xml:space="preserve">GRAND TOTAL BASE BID </t>
  </si>
  <si>
    <t>ALTERNATES</t>
  </si>
  <si>
    <t>ALTERNATE 1: INCREASE RESOLUTION PRIMARY DISPLAYS TO 8mm</t>
  </si>
  <si>
    <t xml:space="preserve">BID CLARIFICATIONS: STATE ANY EXCEPTIONS BEING TAKEN TO PRODUCT SPECS OR SCOPE OF WORK </t>
  </si>
  <si>
    <t>ADD/DEDUCT</t>
  </si>
  <si>
    <t>BID CLARIFICATIONS: STATE ANY VOLUNTARY ALTERNATES (INCL. ADD/DEDUCTS)</t>
  </si>
  <si>
    <t>SUB-CONTRACTORS AND LED SUPPIERS</t>
  </si>
  <si>
    <t>STRUCTURAL SUBCONTRACTOR</t>
  </si>
  <si>
    <t>ELECTRICAL SUBCONTRACTOR</t>
  </si>
  <si>
    <t>INSTALLATION SUBCONTRACTOR</t>
  </si>
  <si>
    <t>SIGNAGE FABRICATOR</t>
  </si>
  <si>
    <t>LED MANUFACTURER</t>
  </si>
  <si>
    <t>LED CHIP SUPPLIER</t>
  </si>
  <si>
    <t>EXTENDED WARRANTY - PARTS AND LABOR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</si>
  <si>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</si>
  <si>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</si>
  <si>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</si>
  <si>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</si>
  <si>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</si>
  <si>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</si>
  <si>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</si>
  <si>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</si>
  <si>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</t>
  </si>
  <si>
    <t>Note: Extended warranty pricing should be based on annual payments, rather than upfront lump sum. Owner will reserve right to select option on an annual basis at provided price.</t>
  </si>
  <si>
    <t>EXTENDED WARRANTY PARTS ONLY</t>
  </si>
  <si>
    <t>DETAILED SPECIFICATIONS</t>
  </si>
  <si>
    <t xml:space="preserve">INSTALLATION: GENERAL CONDITIONS </t>
  </si>
  <si>
    <t>INSTALLATION SUB-TOTAL: GENERAL CONDITIONS</t>
  </si>
  <si>
    <t>PROJECT MANAGEMENT</t>
  </si>
  <si>
    <t>ENGINEERING, PERMITS, FEES</t>
  </si>
  <si>
    <t>TRAINING AND EVENT SUPPORT</t>
  </si>
  <si>
    <t>TRAVEL AND EXPENSES</t>
  </si>
  <si>
    <t>SPEC.</t>
  </si>
  <si>
    <t>PIXEL PITCH</t>
  </si>
  <si>
    <t>QUANTITY</t>
  </si>
  <si>
    <t>PIXEL HEIGHT (PHYSICAL)</t>
  </si>
  <si>
    <t>PIXEL LENGTH (PHYSICAL)</t>
  </si>
  <si>
    <t>TOTAL PIXELS</t>
  </si>
  <si>
    <t>SYSTEM HEIGHT (F)</t>
  </si>
  <si>
    <t>SYSTEM LENGTH (F)</t>
  </si>
  <si>
    <t>TOTAL SQ. FT</t>
  </si>
  <si>
    <t>PIXEL DENSITY SQ. FT</t>
  </si>
  <si>
    <t>TOTAL DISPLAY PRICE</t>
  </si>
  <si>
    <t>PROCESSING</t>
  </si>
  <si>
    <t>SHIPPING</t>
  </si>
  <si>
    <t>TOTAL SYSTEM PRICE</t>
  </si>
  <si>
    <t>COST PER SQ. FT</t>
  </si>
  <si>
    <t>COST PER PIXEL</t>
  </si>
  <si>
    <t>SPECIFICATIONS</t>
  </si>
  <si>
    <t>TOTAL POWER DRAW - MAX AMPS BASED ON 208V 3P</t>
  </si>
  <si>
    <t>BRIGHTNESS (NITS)</t>
  </si>
  <si>
    <t>VIEWING ANGLE - HORIZONTAL</t>
  </si>
  <si>
    <t>VIEWING ANGLE - VERTICAL</t>
  </si>
  <si>
    <t xml:space="preserve">INSTALLATION: </t>
  </si>
  <si>
    <t xml:space="preserve">INSTALLATION SUB-TOTAL: </t>
  </si>
  <si>
    <t>REMOVAL AND DISPOSAL</t>
  </si>
  <si>
    <t>PRIMARY AND SECONDARY STEEL</t>
  </si>
  <si>
    <t>HEAVY EQUIPMENT RENTAL</t>
  </si>
  <si>
    <t>COMPONENT INSTALLATION</t>
  </si>
  <si>
    <t>HEADER SIGNAGE</t>
  </si>
  <si>
    <t>TRIM, FLASHING</t>
  </si>
  <si>
    <t>ELECTRICAL AND DATA</t>
  </si>
  <si>
    <t xml:space="preserve">INSTALLATION:  </t>
  </si>
  <si>
    <t>ALTERNATE 1A: INCREASED RESOLUTION BLUE ZONE LED VIDEO DISPLAY</t>
  </si>
  <si>
    <t>ALTERNATE 1B: INCREASE RESOLUTION EAST END ZONE LED VIDEO DISPLAY</t>
  </si>
  <si>
    <t>SECONDARY STRUCTURAL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</si>
</sst>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"/>
    <numFmt numFmtId="165" formatCode="&quot;$&quot;#,##0_);(&quot;$&quot;#,##0)"/>
    <numFmt numFmtId="166" formatCode="#,##0.0"/>
    <numFmt numFmtId="167" formatCode="&quot;$&quot;#,##0_);[Red](&quot;$&quot;#,##0)"/>
    <numFmt numFmtId="168" formatCode="&quot;$&quot;#,##0.00_);[Red](&quot;$&quot;#,##0.00)"/>
  </numFmts>
  <fonts count="16" x14ac:knownFonts="1">
    <font>
      <color theme="1"/>
      <family val="2"/>
      <scheme val="minor"/>
      <sz val="11"/>
      <name val="Calibri"/>
    </font>
    <font>
      <sz val="12"/>
      <name val="Aptos Narrow"/>
    </font>
    <font>
      <b/>
      <sz val="16"/>
      <name val="Aptos Narrow"/>
    </font>
    <font>
      <sz val="14"/>
      <name val="Aptos Narrow"/>
    </font>
    <font>
      <b/>
      <sz val="10"/>
      <name val="Aptos Narrow"/>
    </font>
    <font>
      <sz val="10"/>
      <name val="Aptos Narrow"/>
    </font>
    <font>
      <b/>
      <color indexed="9"/>
      <sz val="12"/>
      <name val="Aptos Narrow"/>
    </font>
    <font>
      <b/>
      <color theme="0"/>
      <sz val="10"/>
      <name val="Aptos Narrow"/>
    </font>
    <font>
      <b/>
      <color indexed="9"/>
      <sz val="10"/>
      <name val="Aptos Narrow"/>
    </font>
    <font>
      <color theme="0" tint="-0.3499862666707358"/>
      <sz val="10"/>
      <name val="Aptos Narrow"/>
    </font>
    <font>
      <sz val="11"/>
      <name val="Aptos Narrow"/>
    </font>
    <font>
      <b/>
      <sz val="8"/>
      <name val="Aptos Narrow"/>
    </font>
    <font>
      <b/>
      <i/>
      <color rgb="FFC00000"/>
      <sz val="8"/>
      <name val="Aptos Narrow"/>
    </font>
    <font>
      <b/>
      <color rgb="FF000000"/>
      <sz val="10"/>
      <name val="Aptos Narrow"/>
    </font>
    <font>
      <color rgb="FF990000"/>
      <sz val="10"/>
      <name val="Aptos Narrow"/>
    </font>
    <font>
      <color rgb="FF000000"/>
      <sz val="1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double">
        <color indexed="64"/>
      </bottom>
      <diagonal/>
    </border>
    <border>
      <left/>
      <right style="thin"/>
      <top style="thin"/>
      <bottom style="double">
        <color indexed="64"/>
      </bottom>
      <diagonal/>
    </border>
    <border>
      <left style="thin"/>
      <right style="thin"/>
      <top style="thin"/>
      <bottom style="double">
        <color indexed="64"/>
      </bottom>
      <diagonal/>
    </border>
    <border>
      <left/>
      <right/>
      <top style="thin"/>
      <bottom/>
      <diagonal/>
    </border>
    <border diagonalUp="1">
      <left style="thin"/>
      <right style="thin"/>
      <top style="thin"/>
      <bottom/>
      <diagonal style="thin"/>
    </border>
    <border>
      <left/>
      <right style="thin"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4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39" fontId="4" fillId="0" borderId="4" xfId="0" applyNumberFormat="1" applyFont="1" applyBorder="1" applyAlignment="1">
      <alignment vertical="center"/>
    </xf>
    <xf numFmtId="39" fontId="4" fillId="0" borderId="5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39" fontId="4" fillId="2" borderId="4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4" fillId="3" borderId="6" xfId="0" applyNumberFormat="1" applyFont="1" applyFill="1" applyBorder="1" applyAlignment="1">
      <alignment horizontal="center" vertical="center"/>
    </xf>
    <xf numFmtId="39" fontId="4" fillId="2" borderId="7" xfId="0" applyNumberFormat="1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4" fillId="3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164" fontId="4" fillId="2" borderId="10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10" xfId="0" applyNumberFormat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3" borderId="6" xfId="0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0" fontId="4" fillId="3" borderId="9" xfId="0" applyFont="1" applyFill="1" applyBorder="1" applyAlignment="1" applyProtection="1">
      <alignment vertical="center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49" fontId="7" fillId="5" borderId="4" xfId="0" applyNumberFormat="1" applyFont="1" applyFill="1" applyBorder="1" applyAlignment="1">
      <alignment vertical="center"/>
    </xf>
    <xf numFmtId="0" fontId="8" fillId="5" borderId="13" xfId="0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left" vertical="center"/>
    </xf>
    <xf numFmtId="49" fontId="4" fillId="6" borderId="5" xfId="0" applyNumberFormat="1" applyFont="1" applyFill="1" applyBorder="1" applyAlignment="1">
      <alignment horizontal="left" vertical="center"/>
    </xf>
    <xf numFmtId="165" fontId="4" fillId="3" borderId="13" xfId="0" applyNumberFormat="1" applyFont="1" applyFill="1" applyBorder="1" applyAlignment="1" applyProtection="1">
      <alignment horizontal="center" vertical="center"/>
      <protection locked="0"/>
    </xf>
    <xf numFmtId="49" fontId="4" fillId="6" borderId="14" xfId="0" applyNumberFormat="1" applyFont="1" applyFill="1" applyBorder="1" applyAlignment="1">
      <alignment horizontal="left" vertical="center"/>
    </xf>
    <xf numFmtId="49" fontId="4" fillId="6" borderId="15" xfId="0" applyNumberFormat="1" applyFont="1" applyFill="1" applyBorder="1" applyAlignment="1">
      <alignment horizontal="left" vertical="center"/>
    </xf>
    <xf numFmtId="165" fontId="4" fillId="3" borderId="16" xfId="0" applyNumberFormat="1" applyFont="1" applyFill="1" applyBorder="1" applyAlignment="1" applyProtection="1">
      <alignment horizontal="center" vertical="center"/>
      <protection locked="0"/>
    </xf>
    <xf numFmtId="49" fontId="4" fillId="6" borderId="11" xfId="0" applyNumberFormat="1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6" borderId="17" xfId="0" applyFont="1" applyFill="1" applyBorder="1" applyAlignment="1">
      <alignment horizontal="left" vertical="top" wrapText="1"/>
    </xf>
    <xf numFmtId="49" fontId="7" fillId="5" borderId="4" xfId="0" applyNumberFormat="1" applyFont="1" applyFill="1" applyBorder="1" applyAlignment="1">
      <alignment horizontal="left" vertical="center"/>
    </xf>
    <xf numFmtId="165" fontId="7" fillId="5" borderId="18" xfId="0" applyNumberFormat="1" applyFont="1" applyFill="1" applyBorder="1" applyAlignment="1">
      <alignment horizontal="center" vertical="center"/>
    </xf>
    <xf numFmtId="165" fontId="7" fillId="5" borderId="13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4" fontId="7" fillId="5" borderId="8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vertical="center"/>
    </xf>
    <xf numFmtId="164" fontId="5" fillId="3" borderId="8" xfId="0" applyNumberFormat="1" applyFont="1" applyFill="1" applyBorder="1" applyAlignment="1" applyProtection="1">
      <alignment horizontal="center" vertical="center"/>
      <protection locked="0"/>
    </xf>
    <xf numFmtId="0" fontId="8" fillId="5" borderId="3" xfId="0" applyFont="1" applyFill="1" applyBorder="1" applyAlignment="1">
      <alignment horizontal="left" vertical="center"/>
    </xf>
    <xf numFmtId="0" fontId="5" fillId="0" borderId="0" xfId="0" applyFont="1"/>
    <xf numFmtId="0" fontId="5" fillId="6" borderId="0" xfId="0" applyFont="1" applyFill="1" applyAlignment="1">
      <alignment vertical="center"/>
    </xf>
    <xf numFmtId="0" fontId="4" fillId="0" borderId="9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  <protection locked="0"/>
    </xf>
    <xf numFmtId="3" fontId="5" fillId="2" borderId="9" xfId="0" applyNumberFormat="1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 applyProtection="1">
      <alignment horizontal="center" vertical="center"/>
      <protection locked="0"/>
    </xf>
    <xf numFmtId="166" fontId="5" fillId="2" borderId="9" xfId="0" applyNumberFormat="1" applyFont="1" applyFill="1" applyBorder="1" applyAlignment="1">
      <alignment horizontal="center" vertical="center"/>
    </xf>
    <xf numFmtId="166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164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Alignment="1">
      <alignment vertical="center"/>
    </xf>
    <xf numFmtId="0" fontId="14" fillId="8" borderId="0" xfId="0" applyFont="1" applyFill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left" vertical="center"/>
    </xf>
    <xf numFmtId="0" fontId="13" fillId="7" borderId="8" xfId="0" applyFont="1" applyFill="1" applyBorder="1" applyAlignment="1">
      <alignment horizontal="left" vertical="center"/>
    </xf>
    <xf numFmtId="167" fontId="5" fillId="2" borderId="9" xfId="0" applyNumberFormat="1" applyFont="1" applyFill="1" applyBorder="1" applyAlignment="1">
      <alignment horizontal="center" vertical="center"/>
    </xf>
    <xf numFmtId="168" fontId="5" fillId="2" borderId="9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7" fillId="9" borderId="19" xfId="0" applyFont="1" applyFill="1" applyBorder="1" applyAlignment="1">
      <alignment vertical="center"/>
    </xf>
    <xf numFmtId="0" fontId="5" fillId="3" borderId="8" xfId="0" applyFont="1" applyFill="1" applyBorder="1" applyAlignment="1" applyProtection="1">
      <alignment horizontal="center" vertical="center"/>
      <protection locked="0"/>
    </xf>
    <xf numFmtId="0" fontId="15" fillId="7" borderId="9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vertical="center"/>
    </xf>
    <xf numFmtId="0" fontId="7" fillId="9" borderId="12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13" fillId="7" borderId="7" xfId="0" applyFont="1" applyFill="1" applyBorder="1" applyAlignment="1">
      <alignment vertical="center"/>
    </xf>
    <xf numFmtId="0" fontId="13" fillId="7" borderId="8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vertical="center"/>
    </xf>
    <xf numFmtId="0" fontId="13" fillId="8" borderId="12" xfId="0" applyFont="1" applyFill="1" applyBorder="1" applyAlignment="1">
      <alignment vertical="center"/>
    </xf>
    <xf numFmtId="0" fontId="13" fillId="8" borderId="8" xfId="0" applyFont="1" applyFill="1" applyBorder="1" applyAlignment="1">
      <alignment vertical="center"/>
    </xf>
    <xf numFmtId="0" fontId="1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161925</xdr:rowOff>
    </xdr:from>
    <xdr:to>
      <xdr:col>2</xdr:col>
      <xdr:colOff>1131570</xdr:colOff>
      <xdr:row>2</xdr:row>
      <xdr:rowOff>232424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0</xdr:row>
      <xdr:rowOff>127000</xdr:rowOff>
    </xdr:from>
    <xdr:to>
      <xdr:col>0</xdr:col>
      <xdr:colOff>1181100</xdr:colOff>
      <xdr:row>2</xdr:row>
      <xdr:rowOff>225917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55"/>
  <sheetViews>
    <sheetView workbookViewId="0" zoomScale="100" zoomScaleNormal="100">
      <selection activeCell="A3" sqref="A3"/>
    </sheetView>
  </sheetViews>
  <sheetFormatPr defaultRowHeight="15.75" outlineLevelRow="0" outlineLevelCol="0" x14ac:dyDescent="0" defaultColWidth="9" customHeight="1"/>
  <cols>
    <col min="1" max="1" width="84.28515625" style="1" customWidth="1"/>
    <col min="2" max="3" width="17" style="1" customWidth="1"/>
    <col min="4" max="4" width="16.7109375" style="1" customWidth="1"/>
    <col min="5" max="5" width="15.7109375" style="1" customWidth="1"/>
    <col min="6" max="16" width="9" style="1" customWidth="1"/>
    <col min="17" max="17" width="15.28515625" style="1" customWidth="1"/>
    <col min="18" max="16384" width="9" style="1" customWidth="1"/>
  </cols>
  <sheetData>
    <row r="1" ht="17.1" customHeight="1" spans="1:5" x14ac:dyDescent="0.25">
      <c r="A1" s="2"/>
      <c r="B1" s="2"/>
      <c r="C1" s="2"/>
      <c r="D1" s="3"/>
      <c r="E1" s="4"/>
    </row>
    <row r="2" ht="17.1" customHeight="1" spans="1:5" x14ac:dyDescent="0.25">
      <c r="A2" s="5" t="s">
        <v>0</v>
      </c>
      <c r="B2" s="5"/>
      <c r="C2" s="5"/>
      <c r="D2" s="3"/>
      <c r="E2" s="4"/>
    </row>
    <row r="3" ht="27.95" customHeight="1" spans="1:5" x14ac:dyDescent="0.25">
      <c r="A3" s="6" t="s">
        <v>1</v>
      </c>
      <c r="B3" s="6"/>
      <c r="C3" s="6"/>
      <c r="D3" s="3"/>
      <c r="E3" s="4"/>
    </row>
    <row r="4" ht="23.1" customHeight="1" spans="1:3" x14ac:dyDescent="0.25">
      <c r="A4" s="7" t="s">
        <v>2</v>
      </c>
      <c r="B4" s="8"/>
      <c r="C4" s="8"/>
    </row>
    <row r="5" ht="20.45" customHeight="1" spans="1:3" s="9" customFormat="1" x14ac:dyDescent="0.25">
      <c r="A5" s="10" t="s">
        <v>3</v>
      </c>
      <c r="B5" s="10"/>
      <c r="C5" s="10"/>
    </row>
    <row r="6" ht="20.45" customHeight="1" spans="1:3" s="9" customFormat="1" x14ac:dyDescent="0.25">
      <c r="A6" s="11" t="s">
        <v>4</v>
      </c>
      <c r="B6" s="12"/>
      <c r="C6" s="13" t="s">
        <v>5</v>
      </c>
    </row>
    <row r="7" ht="20.45" customHeight="1" spans="1:3" s="9" customFormat="1" x14ac:dyDescent="0.25">
      <c r="A7" s="14" t="s">
        <v>6</v>
      </c>
      <c r="B7" s="15"/>
      <c r="C7" s="16">
        <f>C88</f>
        <v>0</v>
      </c>
    </row>
    <row r="8" ht="20.45" customHeight="1" spans="1:3" s="9" customFormat="1" x14ac:dyDescent="0.25">
      <c r="A8" s="14" t="s">
        <v>7</v>
      </c>
      <c r="B8" s="15"/>
      <c r="C8" s="16">
        <f>C97</f>
        <v>0</v>
      </c>
    </row>
    <row r="9" ht="20.45" customHeight="1" spans="1:3" s="9" customFormat="1" x14ac:dyDescent="0.25">
      <c r="A9" s="14" t="s">
        <v>8</v>
      </c>
      <c r="B9" s="15"/>
      <c r="C9" s="16">
        <f>C120</f>
        <v>0</v>
      </c>
    </row>
    <row r="10" ht="20.45" customHeight="1" spans="1:3" s="9" customFormat="1" x14ac:dyDescent="0.25">
      <c r="A10" s="14" t="s">
        <v>9</v>
      </c>
      <c r="B10" s="15"/>
      <c r="C10" s="16">
        <f>C129</f>
        <v>0</v>
      </c>
    </row>
    <row r="11" ht="20.45" customHeight="1" spans="1:3" s="9" customFormat="1" x14ac:dyDescent="0.25">
      <c r="A11" s="17" t="s">
        <v>10</v>
      </c>
      <c r="B11" s="18"/>
      <c r="C11" s="19">
        <f>C198</f>
        <v>0</v>
      </c>
    </row>
    <row r="12" ht="20.45" customHeight="1" spans="1:3" s="9" customFormat="1" x14ac:dyDescent="0.25">
      <c r="A12" s="17" t="s">
        <v>11</v>
      </c>
      <c r="B12" s="18"/>
      <c r="C12" s="19">
        <f>C207</f>
        <v>0</v>
      </c>
    </row>
    <row r="13" ht="20.45" customHeight="1" spans="1:3" s="9" customFormat="1" x14ac:dyDescent="0.25">
      <c r="A13" s="14" t="s">
        <v>12</v>
      </c>
      <c r="B13" s="15"/>
      <c r="C13" s="16">
        <f>C229</f>
        <v>0</v>
      </c>
    </row>
    <row r="14" ht="20.45" customHeight="1" spans="1:3" s="9" customFormat="1" x14ac:dyDescent="0.25">
      <c r="A14" s="14" t="s">
        <v>13</v>
      </c>
      <c r="B14" s="15"/>
      <c r="C14" s="16">
        <f>C238</f>
        <v>0</v>
      </c>
    </row>
    <row r="15" ht="20.45" customHeight="1" spans="1:3" s="9" customFormat="1" x14ac:dyDescent="0.25">
      <c r="A15" s="14" t="s">
        <v>14</v>
      </c>
      <c r="B15" s="15"/>
      <c r="C15" s="16">
        <f>C259</f>
        <v>0</v>
      </c>
    </row>
    <row r="16" ht="20.45" customHeight="1" spans="1:3" s="9" customFormat="1" x14ac:dyDescent="0.25">
      <c r="A16" s="14" t="s">
        <v>15</v>
      </c>
      <c r="B16" s="15"/>
      <c r="C16" s="16">
        <f>C268</f>
        <v>0</v>
      </c>
    </row>
    <row r="17" ht="20.45" customHeight="1" spans="1:3" s="9" customFormat="1" x14ac:dyDescent="0.25">
      <c r="A17" s="17" t="s">
        <v>16</v>
      </c>
      <c r="B17" s="18"/>
      <c r="C17" s="19">
        <f>C289</f>
        <v>0</v>
      </c>
    </row>
    <row r="18" ht="20.45" customHeight="1" spans="1:3" s="9" customFormat="1" x14ac:dyDescent="0.25">
      <c r="A18" s="17" t="s">
        <v>17</v>
      </c>
      <c r="B18" s="18"/>
      <c r="C18" s="19">
        <f>C298</f>
        <v>0</v>
      </c>
    </row>
    <row r="19" ht="20.45" customHeight="1" spans="1:3" s="9" customFormat="1" x14ac:dyDescent="0.25">
      <c r="A19" s="17" t="s">
        <v>18</v>
      </c>
      <c r="B19" s="18"/>
      <c r="C19" s="19">
        <f>C319</f>
        <v>0</v>
      </c>
    </row>
    <row r="20" ht="20.45" customHeight="1" spans="1:3" s="9" customFormat="1" x14ac:dyDescent="0.25">
      <c r="A20" s="17" t="s">
        <v>19</v>
      </c>
      <c r="B20" s="18"/>
      <c r="C20" s="19">
        <f>C328</f>
        <v>0</v>
      </c>
    </row>
    <row r="21" ht="20.45" customHeight="1" spans="1:3" s="9" customFormat="1" x14ac:dyDescent="0.25">
      <c r="A21" s="20" t="s">
        <v>20</v>
      </c>
      <c r="B21" s="21"/>
      <c r="C21" s="16">
        <f>C67</f>
        <v>0</v>
      </c>
    </row>
    <row r="22" ht="20.45" customHeight="1" spans="1:3" s="22" customFormat="1" x14ac:dyDescent="0.25">
      <c r="A22" s="23" t="s">
        <v>21</v>
      </c>
      <c r="B22" s="24"/>
      <c r="C22" s="25">
        <v>0</v>
      </c>
    </row>
    <row r="23" ht="20.45" customHeight="1" spans="1:3" s="22" customFormat="1" x14ac:dyDescent="0.25">
      <c r="A23" s="26" t="s">
        <v>22</v>
      </c>
      <c r="B23" s="27"/>
      <c r="C23" s="28">
        <v>0</v>
      </c>
    </row>
    <row r="24" ht="20.45" customHeight="1" spans="1:3" s="29" customFormat="1" x14ac:dyDescent="0.25">
      <c r="A24" s="30" t="s">
        <v>23</v>
      </c>
      <c r="B24" s="30"/>
      <c r="C24" s="31">
        <f>SUM(C7:C23)</f>
        <v>0</v>
      </c>
    </row>
    <row r="25" ht="20.45" customHeight="1" spans="1:3" s="29" customFormat="1" x14ac:dyDescent="0.25">
      <c r="A25" s="32" t="s">
        <v>24</v>
      </c>
      <c r="B25" s="33"/>
      <c r="C25" s="34"/>
    </row>
    <row r="26" ht="20.45" customHeight="1" spans="1:3" s="9" customFormat="1" x14ac:dyDescent="0.25">
      <c r="A26" s="20" t="s">
        <v>25</v>
      </c>
      <c r="B26" s="21"/>
      <c r="C26" s="16">
        <f>C152+C175-C7-C9</f>
        <v>0</v>
      </c>
    </row>
    <row r="27" ht="20.45" customHeight="1" spans="1:4" s="9" customFormat="1" x14ac:dyDescent="0.25">
      <c r="A27" s="35" t="s">
        <v>26</v>
      </c>
      <c r="B27" s="35"/>
      <c r="C27" s="36" t="str">
        <f>C6</f>
        <v>VENDOR NAME</v>
      </c>
      <c r="D27" s="37"/>
    </row>
    <row r="28" ht="20.45" customHeight="1" spans="1:4" s="9" customFormat="1" x14ac:dyDescent="0.25">
      <c r="A28" s="38"/>
      <c r="B28" s="39"/>
      <c r="C28" s="40" t="s">
        <v>27</v>
      </c>
      <c r="D28" s="37"/>
    </row>
    <row r="29" ht="20.45" customHeight="1" spans="1:4" s="9" customFormat="1" x14ac:dyDescent="0.25">
      <c r="A29" s="38"/>
      <c r="B29" s="39"/>
      <c r="C29" s="40" t="s">
        <v>27</v>
      </c>
      <c r="D29" s="37"/>
    </row>
    <row r="30" ht="20.45" customHeight="1" spans="1:4" s="9" customFormat="1" x14ac:dyDescent="0.25">
      <c r="A30" s="38"/>
      <c r="B30" s="39"/>
      <c r="C30" s="40" t="s">
        <v>27</v>
      </c>
      <c r="D30" s="37"/>
    </row>
    <row r="31" ht="20.45" customHeight="1" spans="1:4" s="9" customFormat="1" x14ac:dyDescent="0.25">
      <c r="A31" s="35" t="s">
        <v>28</v>
      </c>
      <c r="B31" s="35"/>
      <c r="C31" s="36" t="str">
        <f>C6</f>
        <v>VENDOR NAME</v>
      </c>
      <c r="D31" s="37"/>
    </row>
    <row r="32" ht="20.45" customHeight="1" spans="1:4" s="9" customFormat="1" x14ac:dyDescent="0.25">
      <c r="A32" s="38"/>
      <c r="B32" s="39"/>
      <c r="C32" s="40" t="s">
        <v>27</v>
      </c>
      <c r="D32" s="37"/>
    </row>
    <row r="33" ht="20.45" customHeight="1" spans="1:4" s="9" customFormat="1" x14ac:dyDescent="0.25">
      <c r="A33" s="38"/>
      <c r="B33" s="39"/>
      <c r="C33" s="40" t="s">
        <v>27</v>
      </c>
      <c r="D33" s="37"/>
    </row>
    <row r="34" ht="20.45" customHeight="1" spans="1:4" s="9" customFormat="1" x14ac:dyDescent="0.25">
      <c r="A34" s="38"/>
      <c r="B34" s="39"/>
      <c r="C34" s="40" t="s">
        <v>27</v>
      </c>
      <c r="D34" s="37"/>
    </row>
    <row r="35" ht="20.45" customHeight="1" spans="1:4" s="9" customFormat="1" x14ac:dyDescent="0.25">
      <c r="A35" s="35" t="s">
        <v>29</v>
      </c>
      <c r="B35" s="35"/>
      <c r="C35" s="36" t="str">
        <f>C6</f>
        <v>VENDOR NAME</v>
      </c>
      <c r="D35" s="37"/>
    </row>
    <row r="36" ht="20.45" customHeight="1" spans="1:5" s="9" customFormat="1" x14ac:dyDescent="0.25">
      <c r="A36" s="41" t="s">
        <v>30</v>
      </c>
      <c r="B36" s="42"/>
      <c r="C36" s="43"/>
      <c r="D36" s="44"/>
      <c r="E36" s="44"/>
    </row>
    <row r="37" ht="20.45" customHeight="1" spans="1:5" s="9" customFormat="1" x14ac:dyDescent="0.25">
      <c r="A37" s="41" t="s">
        <v>31</v>
      </c>
      <c r="B37" s="42"/>
      <c r="C37" s="43"/>
      <c r="D37" s="44"/>
      <c r="E37" s="44"/>
    </row>
    <row r="38" ht="20.45" customHeight="1" spans="1:5" s="9" customFormat="1" x14ac:dyDescent="0.25">
      <c r="A38" s="41" t="s">
        <v>32</v>
      </c>
      <c r="B38" s="42"/>
      <c r="C38" s="43"/>
      <c r="D38" s="44"/>
      <c r="E38" s="44"/>
    </row>
    <row r="39" ht="20.45" customHeight="1" spans="1:5" s="9" customFormat="1" x14ac:dyDescent="0.25">
      <c r="A39" s="17" t="s">
        <v>21</v>
      </c>
      <c r="B39" s="18"/>
      <c r="C39" s="45"/>
      <c r="D39" s="44"/>
      <c r="E39" s="44"/>
    </row>
    <row r="40" ht="20.45" customHeight="1" spans="1:5" s="9" customFormat="1" x14ac:dyDescent="0.25">
      <c r="A40" s="17" t="s">
        <v>33</v>
      </c>
      <c r="B40" s="18"/>
      <c r="C40" s="45"/>
      <c r="D40" s="44"/>
      <c r="E40" s="44"/>
    </row>
    <row r="41" ht="20.45" customHeight="1" spans="1:5" s="9" customFormat="1" x14ac:dyDescent="0.25">
      <c r="A41" s="46" t="s">
        <v>34</v>
      </c>
      <c r="B41" s="47"/>
      <c r="C41" s="43"/>
      <c r="D41" s="44"/>
      <c r="E41" s="44"/>
    </row>
    <row r="42" ht="20.45" customHeight="1" spans="1:5" s="9" customFormat="1" x14ac:dyDescent="0.25">
      <c r="A42" s="41" t="s">
        <v>35</v>
      </c>
      <c r="B42" s="42"/>
      <c r="C42" s="43"/>
      <c r="D42" s="44"/>
      <c r="E42" s="44"/>
    </row>
    <row r="43" ht="20.45" customHeight="1" spans="1:3" s="9" customFormat="1" x14ac:dyDescent="0.25">
      <c r="A43" s="48" t="s">
        <v>36</v>
      </c>
      <c r="B43" s="49"/>
      <c r="C43" s="49" t="str">
        <f>C6</f>
        <v>VENDOR NAME</v>
      </c>
    </row>
    <row r="44" ht="20.45" customHeight="1" spans="1:3" s="9" customFormat="1" x14ac:dyDescent="0.25">
      <c r="A44" s="50" t="s">
        <v>37</v>
      </c>
      <c r="B44" s="51"/>
      <c r="C44" s="52"/>
    </row>
    <row r="45" ht="20.45" customHeight="1" spans="1:3" s="9" customFormat="1" x14ac:dyDescent="0.25">
      <c r="A45" s="50" t="s">
        <v>38</v>
      </c>
      <c r="B45" s="51"/>
      <c r="C45" s="52"/>
    </row>
    <row r="46" ht="20.45" customHeight="1" spans="1:3" s="9" customFormat="1" x14ac:dyDescent="0.25">
      <c r="A46" s="50" t="s">
        <v>39</v>
      </c>
      <c r="B46" s="51"/>
      <c r="C46" s="52"/>
    </row>
    <row r="47" ht="20.45" customHeight="1" spans="1:3" s="9" customFormat="1" x14ac:dyDescent="0.25">
      <c r="A47" s="50" t="s">
        <v>40</v>
      </c>
      <c r="B47" s="51"/>
      <c r="C47" s="52"/>
    </row>
    <row r="48" ht="20.45" customHeight="1" spans="1:3" s="9" customFormat="1" x14ac:dyDescent="0.25">
      <c r="A48" s="50" t="s">
        <v>41</v>
      </c>
      <c r="B48" s="51"/>
      <c r="C48" s="52"/>
    </row>
    <row r="49" ht="20.45" customHeight="1" spans="1:3" s="9" customFormat="1" x14ac:dyDescent="0.25">
      <c r="A49" s="50" t="s">
        <v>42</v>
      </c>
      <c r="B49" s="51"/>
      <c r="C49" s="52"/>
    </row>
    <row r="50" ht="20.45" customHeight="1" spans="1:3" s="9" customFormat="1" x14ac:dyDescent="0.25">
      <c r="A50" s="50" t="s">
        <v>43</v>
      </c>
      <c r="B50" s="51"/>
      <c r="C50" s="52"/>
    </row>
    <row r="51" ht="20.45" customHeight="1" spans="1:3" s="9" customFormat="1" x14ac:dyDescent="0.25">
      <c r="A51" s="53" t="s">
        <v>44</v>
      </c>
      <c r="B51" s="54"/>
      <c r="C51" s="55"/>
    </row>
    <row r="52" ht="20.45" customHeight="1" spans="1:3" s="9" customFormat="1" x14ac:dyDescent="0.25">
      <c r="A52" s="56" t="s">
        <v>45</v>
      </c>
      <c r="B52" s="57"/>
      <c r="C52" s="58">
        <f>SUM(C44:C51)</f>
        <v>0</v>
      </c>
    </row>
    <row r="53" ht="20.45" customHeight="1" spans="1:3" s="9" customFormat="1" x14ac:dyDescent="0.25">
      <c r="A53" s="59" t="s">
        <v>46</v>
      </c>
      <c r="B53" s="59"/>
      <c r="C53" s="59"/>
    </row>
    <row r="54" ht="20.45" customHeight="1" spans="1:3" s="9" customFormat="1" x14ac:dyDescent="0.25">
      <c r="A54" s="60" t="s">
        <v>47</v>
      </c>
      <c r="B54" s="61"/>
      <c r="C54" s="62" t="str">
        <f>C6</f>
        <v>VENDOR NAME</v>
      </c>
    </row>
    <row r="55" ht="20.45" customHeight="1" spans="1:3" s="9" customFormat="1" x14ac:dyDescent="0.25">
      <c r="A55" s="50" t="s">
        <v>37</v>
      </c>
      <c r="B55" s="51"/>
      <c r="C55" s="52"/>
    </row>
    <row r="56" ht="20.45" customHeight="1" spans="1:3" s="9" customFormat="1" x14ac:dyDescent="0.25">
      <c r="A56" s="50" t="s">
        <v>38</v>
      </c>
      <c r="B56" s="51"/>
      <c r="C56" s="52"/>
    </row>
    <row r="57" ht="20.45" customHeight="1" spans="1:3" s="9" customFormat="1" x14ac:dyDescent="0.25">
      <c r="A57" s="50" t="s">
        <v>39</v>
      </c>
      <c r="B57" s="51"/>
      <c r="C57" s="52"/>
    </row>
    <row r="58" ht="20.45" customHeight="1" spans="1:3" s="9" customFormat="1" x14ac:dyDescent="0.25">
      <c r="A58" s="50" t="s">
        <v>40</v>
      </c>
      <c r="B58" s="51"/>
      <c r="C58" s="52"/>
    </row>
    <row r="59" ht="20.45" customHeight="1" spans="1:3" s="9" customFormat="1" x14ac:dyDescent="0.25">
      <c r="A59" s="50" t="s">
        <v>41</v>
      </c>
      <c r="B59" s="51"/>
      <c r="C59" s="52"/>
    </row>
    <row r="60" ht="20.45" customHeight="1" spans="1:3" s="9" customFormat="1" x14ac:dyDescent="0.25">
      <c r="A60" s="50" t="s">
        <v>42</v>
      </c>
      <c r="B60" s="51"/>
      <c r="C60" s="52"/>
    </row>
    <row r="61" ht="20.45" customHeight="1" spans="1:3" s="9" customFormat="1" x14ac:dyDescent="0.25">
      <c r="A61" s="50" t="s">
        <v>43</v>
      </c>
      <c r="B61" s="51"/>
      <c r="C61" s="52"/>
    </row>
    <row r="62" ht="20.45" customHeight="1" spans="1:3" s="9" customFormat="1" x14ac:dyDescent="0.25">
      <c r="A62" s="53" t="s">
        <v>44</v>
      </c>
      <c r="B62" s="54"/>
      <c r="C62" s="55"/>
    </row>
    <row r="63" ht="20.45" customHeight="1" spans="1:3" s="9" customFormat="1" x14ac:dyDescent="0.25">
      <c r="A63" s="56" t="s">
        <v>45</v>
      </c>
      <c r="B63" s="57"/>
      <c r="C63" s="58">
        <f>SUM(C55:C62)</f>
        <v>0</v>
      </c>
    </row>
    <row r="64" ht="20.45" customHeight="1" spans="1:3" s="9" customFormat="1" x14ac:dyDescent="0.25">
      <c r="A64" s="59" t="s">
        <v>46</v>
      </c>
      <c r="B64" s="59"/>
      <c r="C64" s="59"/>
    </row>
    <row r="65" ht="20.45" customHeight="1" spans="1:3" s="9" customFormat="1" x14ac:dyDescent="0.25">
      <c r="A65" s="10" t="s">
        <v>48</v>
      </c>
      <c r="B65" s="10"/>
      <c r="C65" s="10"/>
    </row>
    <row r="66" ht="20.45" customHeight="1" spans="1:3" s="9" customFormat="1" x14ac:dyDescent="0.25">
      <c r="A66" s="63" t="s">
        <v>49</v>
      </c>
      <c r="B66" s="63"/>
      <c r="C66" s="64" t="str">
        <f>C6</f>
        <v>VENDOR NAME</v>
      </c>
    </row>
    <row r="67" ht="20.45" customHeight="1" spans="1:40" s="65" customFormat="1" x14ac:dyDescent="0.25">
      <c r="A67" s="66" t="s">
        <v>50</v>
      </c>
      <c r="B67" s="67"/>
      <c r="C67" s="68">
        <f>SUM(C68:C72)</f>
        <v>0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ht="20.45" customHeight="1" spans="1:3" s="9" customFormat="1" x14ac:dyDescent="0.25">
      <c r="A68" s="69" t="s">
        <v>51</v>
      </c>
      <c r="B68" s="69"/>
      <c r="C68" s="70">
        <v>1602770.3149999997</v>
      </c>
    </row>
    <row r="69" ht="20.45" customHeight="1" spans="1:3" s="9" customFormat="1" x14ac:dyDescent="0.25">
      <c r="A69" s="69" t="s">
        <v>20</v>
      </c>
      <c r="B69" s="69"/>
      <c r="C69" s="70">
        <v>1602770.3149999997</v>
      </c>
    </row>
    <row r="70" ht="20.45" customHeight="1" spans="1:3" s="9" customFormat="1" x14ac:dyDescent="0.25">
      <c r="A70" s="69" t="s">
        <v>52</v>
      </c>
      <c r="B70" s="69"/>
      <c r="C70" s="70"/>
    </row>
    <row r="71" ht="20.45" customHeight="1" spans="1:3" s="9" customFormat="1" x14ac:dyDescent="0.25">
      <c r="A71" s="69" t="s">
        <v>53</v>
      </c>
      <c r="B71" s="69"/>
      <c r="C71" s="70"/>
    </row>
    <row r="72" ht="20.45" customHeight="1" spans="1:3" s="9" customFormat="1" x14ac:dyDescent="0.25">
      <c r="A72" s="69" t="s">
        <v>54</v>
      </c>
      <c r="B72" s="69"/>
      <c r="C72" s="70"/>
    </row>
    <row r="73" ht="20.45" customHeight="1" spans="1:5" s="9" customFormat="1" x14ac:dyDescent="0.25">
      <c r="A73" s="71" t="str">
        <f>A7</f>
        <v>BLUE ZONE LED VIDEO DISPLAY</v>
      </c>
      <c r="B73" s="49" t="s">
        <v>55</v>
      </c>
      <c r="C73" s="49" t="str">
        <f>C$6</f>
        <v>VENDOR NAME</v>
      </c>
      <c r="D73" s="72"/>
      <c r="E73" s="72"/>
    </row>
    <row r="74" ht="20.45" customHeight="1" spans="1:40" s="73" customFormat="1" x14ac:dyDescent="0.25">
      <c r="A74" s="74" t="s">
        <v>56</v>
      </c>
      <c r="B74" s="75">
        <v>10</v>
      </c>
      <c r="C74" s="76">
        <v>10</v>
      </c>
      <c r="D74" s="72"/>
      <c r="E74" s="7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ht="20.45" customHeight="1" spans="1:5" s="9" customFormat="1" x14ac:dyDescent="0.25">
      <c r="A75" s="74" t="s">
        <v>57</v>
      </c>
      <c r="B75" s="75">
        <v>1</v>
      </c>
      <c r="C75" s="75">
        <f>B75</f>
        <v>1</v>
      </c>
      <c r="D75" s="72"/>
      <c r="E75" s="72"/>
    </row>
    <row r="76" ht="20.45" customHeight="1" spans="1:5" s="9" customFormat="1" x14ac:dyDescent="0.25">
      <c r="A76" s="69" t="s">
        <v>58</v>
      </c>
      <c r="B76" s="77">
        <v>976</v>
      </c>
      <c r="C76" s="78">
        <v>90</v>
      </c>
      <c r="D76" s="72"/>
      <c r="E76" s="72"/>
    </row>
    <row r="77" ht="20.45" customHeight="1" spans="1:5" s="9" customFormat="1" x14ac:dyDescent="0.25">
      <c r="A77" s="69" t="s">
        <v>59</v>
      </c>
      <c r="B77" s="77">
        <v>3232</v>
      </c>
      <c r="C77" s="78">
        <v>560</v>
      </c>
      <c r="D77" s="72"/>
      <c r="E77" s="72"/>
    </row>
    <row r="78" ht="20.45" customHeight="1" spans="1:5" s="9" customFormat="1" x14ac:dyDescent="0.25">
      <c r="A78" s="69" t="s">
        <v>60</v>
      </c>
      <c r="B78" s="77">
        <f>B77*B76</f>
        <v>3154432</v>
      </c>
      <c r="C78" s="77">
        <f>C77*C76</f>
        <v>0</v>
      </c>
      <c r="D78" s="72"/>
      <c r="E78" s="72"/>
    </row>
    <row r="79" ht="20.45" customHeight="1" spans="1:5" s="9" customFormat="1" x14ac:dyDescent="0.25">
      <c r="A79" s="69" t="s">
        <v>61</v>
      </c>
      <c r="B79" s="79">
        <v>32</v>
      </c>
      <c r="C79" s="80">
        <v>2.95</v>
      </c>
      <c r="D79" s="72"/>
      <c r="E79" s="72"/>
    </row>
    <row r="80" ht="20.45" customHeight="1" spans="1:5" s="9" customFormat="1" x14ac:dyDescent="0.25">
      <c r="A80" s="69" t="s">
        <v>62</v>
      </c>
      <c r="B80" s="79">
        <v>106</v>
      </c>
      <c r="C80" s="80">
        <v>18.37</v>
      </c>
      <c r="D80" s="72"/>
      <c r="E80" s="72"/>
    </row>
    <row r="81" ht="20.45" customHeight="1" spans="1:5" s="9" customFormat="1" x14ac:dyDescent="0.25">
      <c r="A81" s="69" t="s">
        <v>63</v>
      </c>
      <c r="B81" s="77">
        <f>B79*B80</f>
        <v>3392</v>
      </c>
      <c r="C81" s="77">
        <f>C79*C80</f>
        <v>0</v>
      </c>
      <c r="D81" s="72"/>
      <c r="E81" s="72"/>
    </row>
    <row r="82" ht="20.45" customHeight="1" spans="1:5" s="9" customFormat="1" x14ac:dyDescent="0.25">
      <c r="A82" s="69" t="s">
        <v>64</v>
      </c>
      <c r="B82" s="77">
        <f>B78/B81</f>
        <v>929.9622641509434</v>
      </c>
      <c r="C82" s="77" t="e">
        <f>C78/C81</f>
        <v>#DIV/0!</v>
      </c>
      <c r="D82" s="72"/>
      <c r="E82" s="72"/>
    </row>
    <row r="83" ht="2.1" customHeight="1" spans="1:5" s="9" customFormat="1" x14ac:dyDescent="0.25">
      <c r="A83" s="81"/>
      <c r="B83" s="81"/>
      <c r="C83" s="81"/>
      <c r="D83" s="72"/>
      <c r="E83" s="72"/>
    </row>
    <row r="84" ht="20.45" customHeight="1" spans="1:3" s="9" customFormat="1" x14ac:dyDescent="0.25">
      <c r="A84" s="82" t="s">
        <v>65</v>
      </c>
      <c r="B84" s="83"/>
      <c r="C84" s="84">
        <v>22337.777777777777</v>
      </c>
    </row>
    <row r="85" ht="20.45" customHeight="1" spans="1:3" s="9" customFormat="1" x14ac:dyDescent="0.25">
      <c r="A85" s="74" t="s">
        <v>66</v>
      </c>
      <c r="B85" s="74"/>
      <c r="C85" s="84">
        <v>11213.333333333334</v>
      </c>
    </row>
    <row r="86" ht="20.45" customHeight="1" spans="1:3" s="9" customFormat="1" x14ac:dyDescent="0.25">
      <c r="A86" s="74" t="s">
        <v>67</v>
      </c>
      <c r="B86" s="74"/>
      <c r="C86" s="84">
        <v>15700</v>
      </c>
    </row>
    <row r="87" ht="2.1" customHeight="1" spans="1:5" s="9" customFormat="1" x14ac:dyDescent="0.25">
      <c r="A87" s="85"/>
      <c r="B87" s="86"/>
      <c r="C87" s="86"/>
      <c r="D87" s="72"/>
      <c r="E87" s="72"/>
    </row>
    <row r="88" ht="20.45" customHeight="1" spans="1:3" s="9" customFormat="1" x14ac:dyDescent="0.25">
      <c r="A88" s="74" t="s">
        <v>68</v>
      </c>
      <c r="B88" s="74"/>
      <c r="C88" s="87">
        <f>SUM(C84:C86)</f>
        <v>0</v>
      </c>
    </row>
    <row r="89" ht="20.45" customHeight="1" spans="1:3" s="9" customFormat="1" x14ac:dyDescent="0.25">
      <c r="A89" s="88" t="s">
        <v>69</v>
      </c>
      <c r="B89" s="89"/>
      <c r="C89" s="90" t="e">
        <f>C84/C81/$B75</f>
        <v>#DIV/0!</v>
      </c>
    </row>
    <row r="90" ht="20.45" customHeight="1" spans="1:3" s="9" customFormat="1" x14ac:dyDescent="0.25">
      <c r="A90" s="88" t="s">
        <v>70</v>
      </c>
      <c r="B90" s="89"/>
      <c r="C90" s="91" t="e">
        <f>C84/C78/$B75</f>
        <v>#DIV/0!</v>
      </c>
    </row>
    <row r="91" ht="20.45" customHeight="1" spans="1:3" s="9" customFormat="1" x14ac:dyDescent="0.25">
      <c r="A91" s="92" t="s">
        <v>71</v>
      </c>
      <c r="B91" s="92"/>
      <c r="C91" s="93"/>
    </row>
    <row r="92" ht="20.45" customHeight="1" spans="1:3" s="9" customFormat="1" x14ac:dyDescent="0.25">
      <c r="A92" s="74" t="s">
        <v>72</v>
      </c>
      <c r="B92" s="74"/>
      <c r="C92" s="94"/>
    </row>
    <row r="93" ht="20.45" customHeight="1" spans="1:3" s="9" customFormat="1" x14ac:dyDescent="0.25">
      <c r="A93" s="74" t="s">
        <v>73</v>
      </c>
      <c r="B93" s="95">
        <v>7500</v>
      </c>
      <c r="C93" s="94">
        <v>10000</v>
      </c>
    </row>
    <row r="94" ht="20.45" customHeight="1" spans="1:3" s="9" customFormat="1" x14ac:dyDescent="0.25">
      <c r="A94" s="74" t="s">
        <v>74</v>
      </c>
      <c r="B94" s="95">
        <v>140</v>
      </c>
      <c r="C94" s="94">
        <v>140</v>
      </c>
    </row>
    <row r="95" ht="20.45" customHeight="1" spans="1:3" s="9" customFormat="1" x14ac:dyDescent="0.25">
      <c r="A95" s="74" t="s">
        <v>75</v>
      </c>
      <c r="B95" s="95">
        <v>140</v>
      </c>
      <c r="C95" s="94">
        <v>140</v>
      </c>
    </row>
    <row r="96" ht="20.45" customHeight="1" spans="1:3" s="9" customFormat="1" x14ac:dyDescent="0.25">
      <c r="A96" s="96" t="s">
        <v>76</v>
      </c>
      <c r="B96" s="97"/>
      <c r="C96" s="98"/>
    </row>
    <row r="97" ht="20.45" customHeight="1" spans="1:3" s="9" customFormat="1" x14ac:dyDescent="0.25">
      <c r="A97" s="66" t="s">
        <v>77</v>
      </c>
      <c r="B97" s="67"/>
      <c r="C97" s="68">
        <f>SUM(C98:C104)</f>
        <v>0</v>
      </c>
    </row>
    <row r="98" ht="20.45" customHeight="1" spans="1:3" s="9" customFormat="1" x14ac:dyDescent="0.25">
      <c r="A98" s="66" t="s">
        <v>78</v>
      </c>
      <c r="B98" s="67"/>
      <c r="C98" s="70"/>
    </row>
    <row r="99" ht="20.45" customHeight="1" spans="1:3" s="9" customFormat="1" x14ac:dyDescent="0.25">
      <c r="A99" s="66" t="s">
        <v>79</v>
      </c>
      <c r="B99" s="67"/>
      <c r="C99" s="70"/>
    </row>
    <row r="100" ht="20.45" customHeight="1" spans="1:3" s="9" customFormat="1" x14ac:dyDescent="0.25">
      <c r="A100" s="99" t="s">
        <v>80</v>
      </c>
      <c r="B100" s="100"/>
      <c r="C100" s="70"/>
    </row>
    <row r="101" ht="20.45" customHeight="1" spans="1:3" s="9" customFormat="1" x14ac:dyDescent="0.25">
      <c r="A101" s="99" t="s">
        <v>81</v>
      </c>
      <c r="B101" s="100"/>
      <c r="C101" s="70">
        <v>3901774.444444443</v>
      </c>
    </row>
    <row r="102" ht="20.45" customHeight="1" spans="1:3" s="9" customFormat="1" x14ac:dyDescent="0.25">
      <c r="A102" s="99" t="s">
        <v>82</v>
      </c>
      <c r="B102" s="100"/>
      <c r="C102" s="70"/>
    </row>
    <row r="103" ht="20.45" customHeight="1" spans="1:3" s="9" customFormat="1" x14ac:dyDescent="0.25">
      <c r="A103" s="99" t="s">
        <v>83</v>
      </c>
      <c r="B103" s="100"/>
      <c r="C103" s="70"/>
    </row>
    <row r="104" ht="20.45" customHeight="1" spans="1:3" s="9" customFormat="1" x14ac:dyDescent="0.25">
      <c r="A104" s="99" t="s">
        <v>84</v>
      </c>
      <c r="B104" s="100"/>
      <c r="C104" s="70"/>
    </row>
    <row r="105" ht="20.45" customHeight="1" spans="1:5" s="9" customFormat="1" x14ac:dyDescent="0.25">
      <c r="A105" s="101" t="str">
        <f>A9</f>
        <v>EAST END ZONE LED VIDEO DISPLAY</v>
      </c>
      <c r="B105" s="102"/>
      <c r="C105" s="49" t="str">
        <f>C$6</f>
        <v>VENDOR NAME</v>
      </c>
      <c r="D105" s="72"/>
      <c r="E105" s="72"/>
    </row>
    <row r="106" ht="20.45" customHeight="1" spans="1:40" s="73" customFormat="1" x14ac:dyDescent="0.25">
      <c r="A106" s="74" t="s">
        <v>56</v>
      </c>
      <c r="B106" s="75">
        <v>10</v>
      </c>
      <c r="C106" s="76"/>
      <c r="D106" s="72"/>
      <c r="E106" s="72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ht="20.45" customHeight="1" spans="1:5" s="9" customFormat="1" x14ac:dyDescent="0.25">
      <c r="A107" s="74" t="s">
        <v>57</v>
      </c>
      <c r="B107" s="75">
        <v>1</v>
      </c>
      <c r="C107" s="75">
        <f>B107</f>
        <v>1</v>
      </c>
      <c r="D107" s="72"/>
      <c r="E107" s="72"/>
    </row>
    <row r="108" ht="20.45" customHeight="1" spans="1:5" s="9" customFormat="1" x14ac:dyDescent="0.25">
      <c r="A108" s="69" t="s">
        <v>58</v>
      </c>
      <c r="B108" s="77">
        <v>976</v>
      </c>
      <c r="C108" s="78"/>
      <c r="D108" s="72"/>
      <c r="E108" s="72"/>
    </row>
    <row r="109" ht="20.45" customHeight="1" spans="1:5" s="9" customFormat="1" x14ac:dyDescent="0.25">
      <c r="A109" s="69" t="s">
        <v>59</v>
      </c>
      <c r="B109" s="77">
        <v>3232</v>
      </c>
      <c r="C109" s="78"/>
      <c r="D109" s="72"/>
      <c r="E109" s="72"/>
    </row>
    <row r="110" ht="20.45" customHeight="1" spans="1:5" s="9" customFormat="1" x14ac:dyDescent="0.25">
      <c r="A110" s="69" t="s">
        <v>60</v>
      </c>
      <c r="B110" s="77">
        <f>B109*B108</f>
        <v>3154432</v>
      </c>
      <c r="C110" s="77">
        <f>C109*C108</f>
        <v>0</v>
      </c>
      <c r="D110" s="72"/>
      <c r="E110" s="72"/>
    </row>
    <row r="111" ht="20.45" customHeight="1" spans="1:5" s="9" customFormat="1" x14ac:dyDescent="0.25">
      <c r="A111" s="69" t="s">
        <v>61</v>
      </c>
      <c r="B111" s="79">
        <v>32</v>
      </c>
      <c r="C111" s="80"/>
      <c r="D111" s="72"/>
      <c r="E111" s="72"/>
    </row>
    <row r="112" ht="20.45" customHeight="1" spans="1:5" s="9" customFormat="1" x14ac:dyDescent="0.25">
      <c r="A112" s="69" t="s">
        <v>62</v>
      </c>
      <c r="B112" s="79">
        <v>106</v>
      </c>
      <c r="C112" s="80"/>
      <c r="D112" s="72"/>
      <c r="E112" s="72"/>
    </row>
    <row r="113" ht="20.45" customHeight="1" spans="1:5" s="9" customFormat="1" x14ac:dyDescent="0.25">
      <c r="A113" s="69" t="s">
        <v>63</v>
      </c>
      <c r="B113" s="77">
        <f>B111*B112</f>
        <v>3392</v>
      </c>
      <c r="C113" s="77">
        <f>C111*C112</f>
        <v>0</v>
      </c>
      <c r="D113" s="72"/>
      <c r="E113" s="72"/>
    </row>
    <row r="114" ht="20.45" customHeight="1" spans="1:5" s="9" customFormat="1" x14ac:dyDescent="0.25">
      <c r="A114" s="69" t="s">
        <v>64</v>
      </c>
      <c r="B114" s="77">
        <f>B110/B113</f>
        <v>929.9622641509434</v>
      </c>
      <c r="C114" s="77" t="e">
        <f>C110/C113</f>
        <v>#DIV/0!</v>
      </c>
      <c r="D114" s="72"/>
      <c r="E114" s="72"/>
    </row>
    <row r="115" ht="2.1" customHeight="1" spans="1:5" s="9" customFormat="1" x14ac:dyDescent="0.25">
      <c r="A115" s="85"/>
      <c r="B115" s="86"/>
      <c r="C115" s="86"/>
      <c r="D115" s="72"/>
      <c r="E115" s="72"/>
    </row>
    <row r="116" ht="20.45" customHeight="1" spans="1:3" s="9" customFormat="1" x14ac:dyDescent="0.25">
      <c r="A116" s="82" t="s">
        <v>65</v>
      </c>
      <c r="B116" s="83"/>
      <c r="C116" s="70">
        <v>0</v>
      </c>
    </row>
    <row r="117" ht="20.45" customHeight="1" spans="1:3" s="9" customFormat="1" x14ac:dyDescent="0.25">
      <c r="A117" s="74" t="s">
        <v>66</v>
      </c>
      <c r="B117" s="74"/>
      <c r="C117" s="70">
        <v>0</v>
      </c>
    </row>
    <row r="118" ht="20.45" customHeight="1" spans="1:3" s="9" customFormat="1" x14ac:dyDescent="0.25">
      <c r="A118" s="74" t="s">
        <v>67</v>
      </c>
      <c r="B118" s="74"/>
      <c r="C118" s="70">
        <v>0</v>
      </c>
    </row>
    <row r="119" ht="2.1" customHeight="1" spans="1:5" s="9" customFormat="1" x14ac:dyDescent="0.25">
      <c r="A119" s="85"/>
      <c r="B119" s="86"/>
      <c r="C119" s="86"/>
      <c r="D119" s="72"/>
      <c r="E119" s="72"/>
    </row>
    <row r="120" ht="20.45" customHeight="1" spans="1:3" s="9" customFormat="1" x14ac:dyDescent="0.25">
      <c r="A120" s="74" t="s">
        <v>68</v>
      </c>
      <c r="B120" s="74"/>
      <c r="C120" s="103">
        <f>SUM(C116:C118)</f>
        <v>0</v>
      </c>
    </row>
    <row r="121" ht="20.45" customHeight="1" spans="1:3" s="9" customFormat="1" x14ac:dyDescent="0.25">
      <c r="A121" s="88" t="s">
        <v>69</v>
      </c>
      <c r="B121" s="89"/>
      <c r="C121" s="90" t="e">
        <f>C116/C113/$B107</f>
        <v>#DIV/0!</v>
      </c>
    </row>
    <row r="122" ht="20.45" customHeight="1" spans="1:3" s="9" customFormat="1" x14ac:dyDescent="0.25">
      <c r="A122" s="88" t="s">
        <v>70</v>
      </c>
      <c r="B122" s="89"/>
      <c r="C122" s="91" t="e">
        <f>C116/C110/$B107</f>
        <v>#DIV/0!</v>
      </c>
    </row>
    <row r="123" ht="20.45" customHeight="1" spans="1:3" s="9" customFormat="1" x14ac:dyDescent="0.25">
      <c r="A123" s="92" t="s">
        <v>71</v>
      </c>
      <c r="B123" s="92"/>
      <c r="C123" s="93"/>
    </row>
    <row r="124" ht="20.45" customHeight="1" spans="1:3" s="9" customFormat="1" x14ac:dyDescent="0.25">
      <c r="A124" s="74" t="s">
        <v>72</v>
      </c>
      <c r="B124" s="74"/>
      <c r="C124" s="94"/>
    </row>
    <row r="125" ht="20.45" customHeight="1" spans="1:3" s="9" customFormat="1" x14ac:dyDescent="0.25">
      <c r="A125" s="74" t="s">
        <v>73</v>
      </c>
      <c r="B125" s="95">
        <v>7500</v>
      </c>
      <c r="C125" s="94"/>
    </row>
    <row r="126" ht="20.45" customHeight="1" spans="1:3" s="9" customFormat="1" x14ac:dyDescent="0.25">
      <c r="A126" s="74" t="s">
        <v>74</v>
      </c>
      <c r="B126" s="95">
        <v>140</v>
      </c>
      <c r="C126" s="94"/>
    </row>
    <row r="127" ht="20.45" customHeight="1" spans="1:3" s="9" customFormat="1" x14ac:dyDescent="0.25">
      <c r="A127" s="74" t="s">
        <v>75</v>
      </c>
      <c r="B127" s="95">
        <v>140</v>
      </c>
      <c r="C127" s="94"/>
    </row>
    <row r="128" ht="20.45" customHeight="1" spans="1:3" s="9" customFormat="1" x14ac:dyDescent="0.25">
      <c r="A128" s="96" t="s">
        <v>85</v>
      </c>
      <c r="B128" s="97"/>
      <c r="C128" s="98"/>
    </row>
    <row r="129" ht="20.45" customHeight="1" spans="1:3" s="9" customFormat="1" x14ac:dyDescent="0.25">
      <c r="A129" s="66" t="s">
        <v>77</v>
      </c>
      <c r="B129" s="67"/>
      <c r="C129" s="68">
        <f>SUM(C130:C136)</f>
        <v>0</v>
      </c>
    </row>
    <row r="130" ht="20.45" customHeight="1" spans="1:3" s="9" customFormat="1" x14ac:dyDescent="0.25">
      <c r="A130" s="66" t="s">
        <v>78</v>
      </c>
      <c r="B130" s="67"/>
      <c r="C130" s="70"/>
    </row>
    <row r="131" ht="20.45" customHeight="1" spans="1:3" s="9" customFormat="1" x14ac:dyDescent="0.25">
      <c r="A131" s="66" t="s">
        <v>79</v>
      </c>
      <c r="B131" s="67"/>
      <c r="C131" s="70"/>
    </row>
    <row r="132" ht="20.45" customHeight="1" spans="1:3" s="9" customFormat="1" x14ac:dyDescent="0.25">
      <c r="A132" s="99" t="s">
        <v>80</v>
      </c>
      <c r="B132" s="100"/>
      <c r="C132" s="70"/>
    </row>
    <row r="133" ht="20.45" customHeight="1" spans="1:3" s="9" customFormat="1" x14ac:dyDescent="0.25">
      <c r="A133" s="99" t="s">
        <v>81</v>
      </c>
      <c r="B133" s="100"/>
      <c r="C133" s="70">
        <v>3901774.444444443</v>
      </c>
    </row>
    <row r="134" ht="20.45" customHeight="1" spans="1:3" s="9" customFormat="1" x14ac:dyDescent="0.25">
      <c r="A134" s="99" t="s">
        <v>82</v>
      </c>
      <c r="B134" s="100"/>
      <c r="C134" s="70"/>
    </row>
    <row r="135" ht="20.45" customHeight="1" spans="1:3" s="9" customFormat="1" x14ac:dyDescent="0.25">
      <c r="A135" s="99" t="s">
        <v>83</v>
      </c>
      <c r="B135" s="100"/>
      <c r="C135" s="70"/>
    </row>
    <row r="136" ht="20.45" customHeight="1" spans="1:3" s="9" customFormat="1" x14ac:dyDescent="0.25">
      <c r="A136" s="99" t="s">
        <v>84</v>
      </c>
      <c r="B136" s="100"/>
      <c r="C136" s="70"/>
    </row>
    <row r="137" ht="20.45" customHeight="1" spans="1:5" s="9" customFormat="1" x14ac:dyDescent="0.25">
      <c r="A137" s="71" t="s">
        <v>86</v>
      </c>
      <c r="B137" s="49" t="s">
        <v>55</v>
      </c>
      <c r="C137" s="49" t="str">
        <f>C$6</f>
        <v>VENDOR NAME</v>
      </c>
      <c r="D137" s="72"/>
      <c r="E137" s="72"/>
    </row>
    <row r="138" ht="20.45" customHeight="1" spans="1:40" s="73" customFormat="1" x14ac:dyDescent="0.25">
      <c r="A138" s="74" t="s">
        <v>56</v>
      </c>
      <c r="B138" s="75">
        <v>8</v>
      </c>
      <c r="C138" s="76"/>
      <c r="D138" s="72"/>
      <c r="E138" s="72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ht="20.45" customHeight="1" spans="1:5" s="9" customFormat="1" x14ac:dyDescent="0.25">
      <c r="A139" s="74" t="s">
        <v>57</v>
      </c>
      <c r="B139" s="75">
        <v>1</v>
      </c>
      <c r="C139" s="75">
        <f>B139</f>
        <v>1</v>
      </c>
      <c r="D139" s="72"/>
      <c r="E139" s="72"/>
    </row>
    <row r="140" ht="20.45" customHeight="1" spans="1:5" s="9" customFormat="1" x14ac:dyDescent="0.25">
      <c r="A140" s="69" t="s">
        <v>58</v>
      </c>
      <c r="B140" s="77">
        <v>1216</v>
      </c>
      <c r="C140" s="78"/>
      <c r="D140" s="72"/>
      <c r="E140" s="72"/>
    </row>
    <row r="141" ht="20.45" customHeight="1" spans="1:5" s="9" customFormat="1" x14ac:dyDescent="0.25">
      <c r="A141" s="69" t="s">
        <v>59</v>
      </c>
      <c r="B141" s="77">
        <v>4032</v>
      </c>
      <c r="C141" s="78"/>
      <c r="D141" s="72"/>
      <c r="E141" s="72"/>
    </row>
    <row r="142" ht="20.45" customHeight="1" spans="1:5" s="9" customFormat="1" x14ac:dyDescent="0.25">
      <c r="A142" s="69" t="s">
        <v>60</v>
      </c>
      <c r="B142" s="77">
        <f>B141*B140</f>
        <v>4902912</v>
      </c>
      <c r="C142" s="77">
        <f>C141*C140</f>
        <v>0</v>
      </c>
      <c r="D142" s="72"/>
      <c r="E142" s="72"/>
    </row>
    <row r="143" ht="20.45" customHeight="1" spans="1:5" s="9" customFormat="1" x14ac:dyDescent="0.25">
      <c r="A143" s="69" t="s">
        <v>61</v>
      </c>
      <c r="B143" s="79">
        <v>32</v>
      </c>
      <c r="C143" s="80"/>
      <c r="D143" s="72"/>
      <c r="E143" s="72"/>
    </row>
    <row r="144" ht="20.45" customHeight="1" spans="1:5" s="9" customFormat="1" x14ac:dyDescent="0.25">
      <c r="A144" s="69" t="s">
        <v>62</v>
      </c>
      <c r="B144" s="79">
        <v>106</v>
      </c>
      <c r="C144" s="80"/>
      <c r="D144" s="72"/>
      <c r="E144" s="72"/>
    </row>
    <row r="145" ht="20.45" customHeight="1" spans="1:5" s="9" customFormat="1" x14ac:dyDescent="0.25">
      <c r="A145" s="69" t="s">
        <v>63</v>
      </c>
      <c r="B145" s="77">
        <f>B143*B144</f>
        <v>3392</v>
      </c>
      <c r="C145" s="77">
        <f>C143*C144</f>
        <v>0</v>
      </c>
      <c r="D145" s="72"/>
      <c r="E145" s="72"/>
    </row>
    <row r="146" ht="20.45" customHeight="1" spans="1:5" s="9" customFormat="1" x14ac:dyDescent="0.25">
      <c r="A146" s="69" t="s">
        <v>64</v>
      </c>
      <c r="B146" s="77">
        <f>B142/B145</f>
        <v>1445.433962264151</v>
      </c>
      <c r="C146" s="77" t="e">
        <f>C142/C145</f>
        <v>#DIV/0!</v>
      </c>
      <c r="D146" s="72"/>
      <c r="E146" s="72"/>
    </row>
    <row r="147" ht="2.1" customHeight="1" spans="1:5" s="9" customFormat="1" x14ac:dyDescent="0.25">
      <c r="A147" s="81"/>
      <c r="B147" s="81"/>
      <c r="C147" s="81"/>
      <c r="D147" s="72"/>
      <c r="E147" s="72"/>
    </row>
    <row r="148" ht="20.45" customHeight="1" spans="1:3" s="9" customFormat="1" x14ac:dyDescent="0.25">
      <c r="A148" s="82" t="s">
        <v>65</v>
      </c>
      <c r="B148" s="83"/>
      <c r="C148" s="84"/>
    </row>
    <row r="149" ht="20.45" customHeight="1" spans="1:3" s="9" customFormat="1" x14ac:dyDescent="0.25">
      <c r="A149" s="17" t="s">
        <v>66</v>
      </c>
      <c r="B149" s="18"/>
      <c r="C149" s="84"/>
    </row>
    <row r="150" ht="20.45" customHeight="1" spans="1:3" s="9" customFormat="1" x14ac:dyDescent="0.25">
      <c r="A150" s="17" t="s">
        <v>67</v>
      </c>
      <c r="B150" s="18"/>
      <c r="C150" s="84"/>
    </row>
    <row r="151" ht="2.1" customHeight="1" spans="1:5" s="9" customFormat="1" x14ac:dyDescent="0.25">
      <c r="A151" s="85"/>
      <c r="B151" s="86"/>
      <c r="C151" s="86"/>
      <c r="D151" s="72"/>
      <c r="E151" s="72"/>
    </row>
    <row r="152" ht="20.45" customHeight="1" spans="1:3" s="9" customFormat="1" x14ac:dyDescent="0.25">
      <c r="A152" s="17" t="s">
        <v>68</v>
      </c>
      <c r="B152" s="18"/>
      <c r="C152" s="87">
        <f>SUM(C148:C150)</f>
        <v>0</v>
      </c>
    </row>
    <row r="153" ht="20.45" customHeight="1" spans="1:3" s="9" customFormat="1" x14ac:dyDescent="0.25">
      <c r="A153" s="88" t="s">
        <v>69</v>
      </c>
      <c r="B153" s="89"/>
      <c r="C153" s="90" t="e">
        <f>C148/C145/$B139</f>
        <v>#DIV/0!</v>
      </c>
    </row>
    <row r="154" ht="20.45" customHeight="1" spans="1:3" s="9" customFormat="1" x14ac:dyDescent="0.25">
      <c r="A154" s="88" t="s">
        <v>70</v>
      </c>
      <c r="B154" s="89"/>
      <c r="C154" s="91" t="e">
        <f>C148/C142/$B139</f>
        <v>#DIV/0!</v>
      </c>
    </row>
    <row r="155" ht="20.45" customHeight="1" spans="1:3" s="9" customFormat="1" x14ac:dyDescent="0.25">
      <c r="A155" s="92" t="s">
        <v>71</v>
      </c>
      <c r="B155" s="92"/>
      <c r="C155" s="93"/>
    </row>
    <row r="156" ht="20.45" customHeight="1" spans="1:3" s="9" customFormat="1" x14ac:dyDescent="0.25">
      <c r="A156" s="74" t="s">
        <v>72</v>
      </c>
      <c r="B156" s="74"/>
      <c r="C156" s="94"/>
    </row>
    <row r="157" ht="20.45" customHeight="1" spans="1:3" s="9" customFormat="1" x14ac:dyDescent="0.25">
      <c r="A157" s="74" t="s">
        <v>73</v>
      </c>
      <c r="B157" s="95">
        <v>7500</v>
      </c>
      <c r="C157" s="94"/>
    </row>
    <row r="158" ht="20.45" customHeight="1" spans="1:3" s="9" customFormat="1" x14ac:dyDescent="0.25">
      <c r="A158" s="74" t="s">
        <v>74</v>
      </c>
      <c r="B158" s="95">
        <v>140</v>
      </c>
      <c r="C158" s="94"/>
    </row>
    <row r="159" ht="20.45" customHeight="1" spans="1:3" s="9" customFormat="1" x14ac:dyDescent="0.25">
      <c r="A159" s="74" t="s">
        <v>75</v>
      </c>
      <c r="B159" s="95">
        <v>140</v>
      </c>
      <c r="C159" s="94"/>
    </row>
    <row r="160" ht="20.45" customHeight="1" spans="1:5" s="9" customFormat="1" x14ac:dyDescent="0.25">
      <c r="A160" s="71" t="s">
        <v>87</v>
      </c>
      <c r="B160" s="104" t="s">
        <v>55</v>
      </c>
      <c r="C160" s="104" t="str">
        <f>C$6</f>
        <v>VENDOR NAME</v>
      </c>
      <c r="D160" s="72"/>
      <c r="E160" s="72"/>
    </row>
    <row r="161" ht="20.45" customHeight="1" spans="1:40" s="73" customFormat="1" x14ac:dyDescent="0.25">
      <c r="A161" s="74" t="s">
        <v>56</v>
      </c>
      <c r="B161" s="75">
        <v>8</v>
      </c>
      <c r="C161" s="76"/>
      <c r="D161" s="72"/>
      <c r="E161" s="72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ht="20.45" customHeight="1" spans="1:5" s="9" customFormat="1" x14ac:dyDescent="0.25">
      <c r="A162" s="74" t="s">
        <v>57</v>
      </c>
      <c r="B162" s="75">
        <v>1</v>
      </c>
      <c r="C162" s="75">
        <f>B162</f>
        <v>1</v>
      </c>
      <c r="D162" s="72"/>
      <c r="E162" s="72"/>
    </row>
    <row r="163" ht="20.45" customHeight="1" spans="1:5" s="9" customFormat="1" x14ac:dyDescent="0.25">
      <c r="A163" s="69" t="s">
        <v>58</v>
      </c>
      <c r="B163" s="77">
        <v>1216</v>
      </c>
      <c r="C163" s="78"/>
      <c r="D163" s="72"/>
      <c r="E163" s="72"/>
    </row>
    <row r="164" ht="20.45" customHeight="1" spans="1:5" s="9" customFormat="1" x14ac:dyDescent="0.25">
      <c r="A164" s="69" t="s">
        <v>59</v>
      </c>
      <c r="B164" s="77">
        <v>4032</v>
      </c>
      <c r="C164" s="78"/>
      <c r="D164" s="72"/>
      <c r="E164" s="72"/>
    </row>
    <row r="165" ht="20.45" customHeight="1" spans="1:5" s="9" customFormat="1" x14ac:dyDescent="0.25">
      <c r="A165" s="69" t="s">
        <v>60</v>
      </c>
      <c r="B165" s="77">
        <f>B164*B163</f>
        <v>4902912</v>
      </c>
      <c r="C165" s="77">
        <f>C164*C163</f>
        <v>0</v>
      </c>
      <c r="D165" s="72"/>
      <c r="E165" s="72"/>
    </row>
    <row r="166" ht="20.45" customHeight="1" spans="1:5" s="9" customFormat="1" x14ac:dyDescent="0.25">
      <c r="A166" s="69" t="s">
        <v>61</v>
      </c>
      <c r="B166" s="79">
        <v>32</v>
      </c>
      <c r="C166" s="80"/>
      <c r="D166" s="72"/>
      <c r="E166" s="72"/>
    </row>
    <row r="167" ht="20.45" customHeight="1" spans="1:5" s="9" customFormat="1" x14ac:dyDescent="0.25">
      <c r="A167" s="69" t="s">
        <v>62</v>
      </c>
      <c r="B167" s="79">
        <v>106</v>
      </c>
      <c r="C167" s="80"/>
      <c r="D167" s="72"/>
      <c r="E167" s="72"/>
    </row>
    <row r="168" ht="20.45" customHeight="1" spans="1:5" s="9" customFormat="1" x14ac:dyDescent="0.25">
      <c r="A168" s="69" t="s">
        <v>63</v>
      </c>
      <c r="B168" s="77">
        <f>B166*B167</f>
        <v>3392</v>
      </c>
      <c r="C168" s="77">
        <f>C166*C167</f>
        <v>0</v>
      </c>
      <c r="D168" s="72"/>
      <c r="E168" s="72"/>
    </row>
    <row r="169" ht="20.45" customHeight="1" spans="1:5" s="9" customFormat="1" x14ac:dyDescent="0.25">
      <c r="A169" s="69" t="s">
        <v>64</v>
      </c>
      <c r="B169" s="77">
        <f>B165/B168</f>
        <v>1445.433962264151</v>
      </c>
      <c r="C169" s="77" t="e">
        <f>C165/C168</f>
        <v>#DIV/0!</v>
      </c>
      <c r="D169" s="72"/>
      <c r="E169" s="72"/>
    </row>
    <row r="170" ht="2.1" customHeight="1" spans="1:5" s="9" customFormat="1" x14ac:dyDescent="0.25">
      <c r="A170" s="85"/>
      <c r="B170" s="86"/>
      <c r="C170" s="86"/>
      <c r="D170" s="72"/>
      <c r="E170" s="72"/>
    </row>
    <row r="171" ht="20.45" customHeight="1" spans="1:3" s="9" customFormat="1" x14ac:dyDescent="0.25">
      <c r="A171" s="82" t="s">
        <v>65</v>
      </c>
      <c r="B171" s="83"/>
      <c r="C171" s="84"/>
    </row>
    <row r="172" ht="20.45" customHeight="1" spans="1:3" s="9" customFormat="1" x14ac:dyDescent="0.25">
      <c r="A172" s="74" t="s">
        <v>66</v>
      </c>
      <c r="B172" s="74"/>
      <c r="C172" s="84"/>
    </row>
    <row r="173" ht="20.45" customHeight="1" spans="1:3" s="9" customFormat="1" x14ac:dyDescent="0.25">
      <c r="A173" s="74" t="s">
        <v>67</v>
      </c>
      <c r="B173" s="74"/>
      <c r="C173" s="84"/>
    </row>
    <row r="174" ht="2.1" customHeight="1" spans="1:5" s="9" customFormat="1" x14ac:dyDescent="0.25">
      <c r="A174" s="85"/>
      <c r="B174" s="86"/>
      <c r="C174" s="86"/>
      <c r="D174" s="72"/>
      <c r="E174" s="72"/>
    </row>
    <row r="175" ht="20.45" customHeight="1" spans="1:3" s="9" customFormat="1" x14ac:dyDescent="0.25">
      <c r="A175" s="74" t="s">
        <v>68</v>
      </c>
      <c r="B175" s="74"/>
      <c r="C175" s="103">
        <f>SUM(C171:C173)</f>
        <v>0</v>
      </c>
    </row>
    <row r="176" ht="20.45" customHeight="1" spans="1:3" s="9" customFormat="1" x14ac:dyDescent="0.25">
      <c r="A176" s="88" t="s">
        <v>69</v>
      </c>
      <c r="B176" s="89"/>
      <c r="C176" s="90" t="e">
        <f>C171/C168/$B162</f>
        <v>#DIV/0!</v>
      </c>
    </row>
    <row r="177" ht="20.45" customHeight="1" spans="1:3" s="9" customFormat="1" x14ac:dyDescent="0.25">
      <c r="A177" s="88" t="s">
        <v>70</v>
      </c>
      <c r="B177" s="89"/>
      <c r="C177" s="91" t="e">
        <f>C171/C165/$B162</f>
        <v>#DIV/0!</v>
      </c>
    </row>
    <row r="178" ht="20.45" customHeight="1" spans="1:3" s="9" customFormat="1" x14ac:dyDescent="0.25">
      <c r="A178" s="92" t="s">
        <v>71</v>
      </c>
      <c r="B178" s="92"/>
      <c r="C178" s="93"/>
    </row>
    <row r="179" ht="20.45" customHeight="1" spans="1:3" s="9" customFormat="1" x14ac:dyDescent="0.25">
      <c r="A179" s="74" t="s">
        <v>72</v>
      </c>
      <c r="B179" s="74"/>
      <c r="C179" s="94"/>
    </row>
    <row r="180" ht="20.45" customHeight="1" spans="1:3" s="9" customFormat="1" x14ac:dyDescent="0.25">
      <c r="A180" s="74" t="s">
        <v>73</v>
      </c>
      <c r="B180" s="95">
        <v>7500</v>
      </c>
      <c r="C180" s="94"/>
    </row>
    <row r="181" ht="20.45" customHeight="1" spans="1:3" s="9" customFormat="1" x14ac:dyDescent="0.25">
      <c r="A181" s="74" t="s">
        <v>74</v>
      </c>
      <c r="B181" s="95">
        <v>140</v>
      </c>
      <c r="C181" s="94"/>
    </row>
    <row r="182" ht="20.45" customHeight="1" spans="1:3" s="9" customFormat="1" x14ac:dyDescent="0.25">
      <c r="A182" s="74" t="s">
        <v>75</v>
      </c>
      <c r="B182" s="95">
        <v>140</v>
      </c>
      <c r="C182" s="94"/>
    </row>
    <row r="183" ht="20.45" customHeight="1" spans="1:5" s="9" customFormat="1" x14ac:dyDescent="0.25">
      <c r="A183" s="101" t="str">
        <f>A11</f>
        <v>SIDELINE RIBBON DISPLAYS</v>
      </c>
      <c r="B183" s="102"/>
      <c r="C183" s="49" t="str">
        <f>C$6</f>
        <v>VENDOR NAME</v>
      </c>
      <c r="D183" s="72"/>
      <c r="E183" s="72"/>
    </row>
    <row r="184" ht="20.45" customHeight="1" spans="1:40" s="73" customFormat="1" x14ac:dyDescent="0.25">
      <c r="A184" s="74" t="s">
        <v>56</v>
      </c>
      <c r="B184" s="75">
        <v>10</v>
      </c>
      <c r="C184" s="76">
        <v>10</v>
      </c>
      <c r="D184" s="72"/>
      <c r="E184" s="72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ht="20.45" customHeight="1" spans="1:5" s="9" customFormat="1" x14ac:dyDescent="0.25">
      <c r="A185" s="74" t="s">
        <v>57</v>
      </c>
      <c r="B185" s="75">
        <v>2</v>
      </c>
      <c r="C185" s="75">
        <f>B185</f>
        <v>2</v>
      </c>
      <c r="D185" s="72"/>
      <c r="E185" s="72"/>
    </row>
    <row r="186" ht="20.45" customHeight="1" spans="1:5" s="9" customFormat="1" x14ac:dyDescent="0.25">
      <c r="A186" s="69" t="s">
        <v>58</v>
      </c>
      <c r="B186" s="77">
        <v>96</v>
      </c>
      <c r="C186" s="78">
        <v>90</v>
      </c>
      <c r="D186" s="72"/>
      <c r="E186" s="72"/>
    </row>
    <row r="187" ht="20.45" customHeight="1" spans="1:5" s="9" customFormat="1" x14ac:dyDescent="0.25">
      <c r="A187" s="69" t="s">
        <v>59</v>
      </c>
      <c r="B187" s="77">
        <v>7680</v>
      </c>
      <c r="C187" s="78">
        <v>7680</v>
      </c>
      <c r="D187" s="72"/>
      <c r="E187" s="72"/>
    </row>
    <row r="188" ht="20.45" customHeight="1" spans="1:5" s="9" customFormat="1" x14ac:dyDescent="0.25">
      <c r="A188" s="69" t="s">
        <v>60</v>
      </c>
      <c r="B188" s="77">
        <f>B187*B186</f>
        <v>737280</v>
      </c>
      <c r="C188" s="77">
        <f>C187*C186</f>
        <v>0</v>
      </c>
      <c r="D188" s="72"/>
      <c r="E188" s="72"/>
    </row>
    <row r="189" ht="20.45" customHeight="1" spans="1:5" s="9" customFormat="1" x14ac:dyDescent="0.25">
      <c r="A189" s="69" t="s">
        <v>61</v>
      </c>
      <c r="B189" s="79">
        <v>3</v>
      </c>
      <c r="C189" s="80">
        <v>2.95</v>
      </c>
      <c r="D189" s="72"/>
      <c r="E189" s="72"/>
    </row>
    <row r="190" ht="20.45" customHeight="1" spans="1:5" s="9" customFormat="1" x14ac:dyDescent="0.25">
      <c r="A190" s="69" t="s">
        <v>62</v>
      </c>
      <c r="B190" s="79">
        <v>252</v>
      </c>
      <c r="C190" s="80">
        <v>251.97</v>
      </c>
      <c r="D190" s="72"/>
      <c r="E190" s="72"/>
    </row>
    <row r="191" ht="20.45" customHeight="1" spans="1:5" s="9" customFormat="1" x14ac:dyDescent="0.25">
      <c r="A191" s="69" t="s">
        <v>63</v>
      </c>
      <c r="B191" s="77">
        <f>B189*B190</f>
        <v>756</v>
      </c>
      <c r="C191" s="77">
        <f>C189*C190</f>
        <v>0</v>
      </c>
      <c r="D191" s="72"/>
      <c r="E191" s="72"/>
    </row>
    <row r="192" ht="20.45" customHeight="1" spans="1:5" s="9" customFormat="1" x14ac:dyDescent="0.25">
      <c r="A192" s="69" t="s">
        <v>64</v>
      </c>
      <c r="B192" s="77">
        <f>B188/B191</f>
        <v>975.2380952380952</v>
      </c>
      <c r="C192" s="77" t="e">
        <f>C188/C191</f>
        <v>#DIV/0!</v>
      </c>
      <c r="D192" s="72"/>
      <c r="E192" s="72"/>
    </row>
    <row r="193" ht="2.1" customHeight="1" spans="1:5" s="9" customFormat="1" x14ac:dyDescent="0.25">
      <c r="A193" s="85"/>
      <c r="B193" s="86"/>
      <c r="C193" s="86"/>
      <c r="D193" s="72"/>
      <c r="E193" s="72"/>
    </row>
    <row r="194" ht="20.45" customHeight="1" spans="1:3" s="9" customFormat="1" x14ac:dyDescent="0.25">
      <c r="A194" s="82" t="s">
        <v>65</v>
      </c>
      <c r="B194" s="83"/>
      <c r="C194" s="70">
        <v>258820</v>
      </c>
    </row>
    <row r="195" ht="20.45" customHeight="1" spans="1:3" s="9" customFormat="1" x14ac:dyDescent="0.25">
      <c r="A195" s="74" t="s">
        <v>66</v>
      </c>
      <c r="B195" s="74"/>
      <c r="C195" s="70">
        <v>28033.333333333332</v>
      </c>
    </row>
    <row r="196" ht="20.45" customHeight="1" spans="1:3" s="9" customFormat="1" x14ac:dyDescent="0.25">
      <c r="A196" s="74" t="s">
        <v>67</v>
      </c>
      <c r="B196" s="74"/>
      <c r="C196" s="70">
        <v>15700</v>
      </c>
    </row>
    <row r="197" ht="2.1" customHeight="1" spans="1:5" s="9" customFormat="1" x14ac:dyDescent="0.25">
      <c r="A197" s="85"/>
      <c r="B197" s="86"/>
      <c r="C197" s="86"/>
      <c r="D197" s="72"/>
      <c r="E197" s="72"/>
    </row>
    <row r="198" ht="20.45" customHeight="1" spans="1:3" s="9" customFormat="1" x14ac:dyDescent="0.25">
      <c r="A198" s="74" t="s">
        <v>68</v>
      </c>
      <c r="B198" s="74"/>
      <c r="C198" s="103">
        <f>SUM(C194:C196)</f>
        <v>0</v>
      </c>
    </row>
    <row r="199" ht="20.45" customHeight="1" spans="1:3" s="9" customFormat="1" x14ac:dyDescent="0.25">
      <c r="A199" s="88" t="s">
        <v>69</v>
      </c>
      <c r="B199" s="89"/>
      <c r="C199" s="90" t="e">
        <f>C194/C191/$B185</f>
        <v>#DIV/0!</v>
      </c>
    </row>
    <row r="200" ht="20.45" customHeight="1" spans="1:3" s="9" customFormat="1" x14ac:dyDescent="0.25">
      <c r="A200" s="88" t="s">
        <v>70</v>
      </c>
      <c r="B200" s="89"/>
      <c r="C200" s="91" t="e">
        <f>C194/C188/$B185</f>
        <v>#DIV/0!</v>
      </c>
    </row>
    <row r="201" ht="20.45" customHeight="1" spans="1:3" s="9" customFormat="1" x14ac:dyDescent="0.25">
      <c r="A201" s="92" t="s">
        <v>71</v>
      </c>
      <c r="B201" s="92"/>
      <c r="C201" s="93"/>
    </row>
    <row r="202" ht="20.45" customHeight="1" spans="1:3" s="9" customFormat="1" x14ac:dyDescent="0.25">
      <c r="A202" s="74" t="s">
        <v>72</v>
      </c>
      <c r="B202" s="74"/>
      <c r="C202" s="94"/>
    </row>
    <row r="203" ht="20.45" customHeight="1" spans="1:3" s="9" customFormat="1" x14ac:dyDescent="0.25">
      <c r="A203" s="74" t="s">
        <v>73</v>
      </c>
      <c r="B203" s="95">
        <v>7500</v>
      </c>
      <c r="C203" s="94">
        <v>10000</v>
      </c>
    </row>
    <row r="204" ht="20.45" customHeight="1" spans="1:3" s="9" customFormat="1" x14ac:dyDescent="0.25">
      <c r="A204" s="74" t="s">
        <v>74</v>
      </c>
      <c r="B204" s="95">
        <v>140</v>
      </c>
      <c r="C204" s="94">
        <v>140</v>
      </c>
    </row>
    <row r="205" ht="20.45" customHeight="1" spans="1:3" s="9" customFormat="1" x14ac:dyDescent="0.25">
      <c r="A205" s="74" t="s">
        <v>75</v>
      </c>
      <c r="B205" s="95">
        <v>140</v>
      </c>
      <c r="C205" s="94">
        <v>140</v>
      </c>
    </row>
    <row r="206" ht="20.45" customHeight="1" spans="1:3" s="9" customFormat="1" x14ac:dyDescent="0.25">
      <c r="A206" s="96" t="s">
        <v>85</v>
      </c>
      <c r="B206" s="97"/>
      <c r="C206" s="98"/>
    </row>
    <row r="207" ht="20.45" customHeight="1" spans="1:3" s="9" customFormat="1" x14ac:dyDescent="0.25">
      <c r="A207" s="66" t="s">
        <v>77</v>
      </c>
      <c r="B207" s="67"/>
      <c r="C207" s="68">
        <f>SUM(C208:C212)</f>
        <v>0</v>
      </c>
    </row>
    <row r="208" ht="20.45" customHeight="1" spans="1:3" s="9" customFormat="1" x14ac:dyDescent="0.25">
      <c r="A208" s="66" t="s">
        <v>78</v>
      </c>
      <c r="B208" s="67"/>
      <c r="C208" s="70"/>
    </row>
    <row r="209" ht="20.45" customHeight="1" spans="1:3" s="9" customFormat="1" x14ac:dyDescent="0.25">
      <c r="A209" s="69" t="s">
        <v>88</v>
      </c>
      <c r="B209" s="69"/>
      <c r="C209" s="70"/>
    </row>
    <row r="210" ht="20.45" customHeight="1" spans="1:3" s="9" customFormat="1" x14ac:dyDescent="0.25">
      <c r="A210" s="69" t="s">
        <v>80</v>
      </c>
      <c r="B210" s="69"/>
      <c r="C210" s="70"/>
    </row>
    <row r="211" ht="20.45" customHeight="1" spans="1:3" s="9" customFormat="1" x14ac:dyDescent="0.25">
      <c r="A211" s="69" t="s">
        <v>81</v>
      </c>
      <c r="B211" s="69"/>
      <c r="C211" s="70">
        <v>3901774.444444443</v>
      </c>
    </row>
    <row r="212" ht="20.45" customHeight="1" spans="1:3" s="9" customFormat="1" x14ac:dyDescent="0.25">
      <c r="A212" s="69" t="s">
        <v>84</v>
      </c>
      <c r="B212" s="69"/>
      <c r="C212" s="70"/>
    </row>
    <row r="213" ht="2.25" customHeight="1" spans="1:3" s="9" customFormat="1" x14ac:dyDescent="0.25">
      <c r="A213" s="105"/>
      <c r="B213" s="106"/>
      <c r="C213" s="107"/>
    </row>
    <row r="214" ht="20.45" customHeight="1" spans="1:5" s="9" customFormat="1" x14ac:dyDescent="0.25">
      <c r="A214" s="101" t="str">
        <f>A13</f>
        <v>MONSTER RIBBON LDISPLAYS</v>
      </c>
      <c r="B214" s="102"/>
      <c r="C214" s="49" t="str">
        <f>C$6</f>
        <v>VENDOR NAME</v>
      </c>
      <c r="D214" s="72"/>
      <c r="E214" s="72"/>
    </row>
    <row r="215" ht="20.45" customHeight="1" spans="1:40" s="73" customFormat="1" x14ac:dyDescent="0.25">
      <c r="A215" s="74" t="s">
        <v>56</v>
      </c>
      <c r="B215" s="75">
        <v>10</v>
      </c>
      <c r="C215" s="76"/>
      <c r="D215" s="72"/>
      <c r="E215" s="72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ht="20.45" customHeight="1" spans="1:5" s="9" customFormat="1" x14ac:dyDescent="0.25">
      <c r="A216" s="74" t="s">
        <v>57</v>
      </c>
      <c r="B216" s="75">
        <v>2</v>
      </c>
      <c r="C216" s="75">
        <f>B216</f>
        <v>2</v>
      </c>
      <c r="D216" s="72"/>
      <c r="E216" s="72"/>
    </row>
    <row r="217" ht="20.45" customHeight="1" spans="1:5" s="9" customFormat="1" x14ac:dyDescent="0.25">
      <c r="A217" s="69" t="s">
        <v>58</v>
      </c>
      <c r="B217" s="77">
        <v>160</v>
      </c>
      <c r="C217" s="78"/>
      <c r="D217" s="72"/>
      <c r="E217" s="72"/>
    </row>
    <row r="218" ht="20.45" customHeight="1" spans="1:5" s="9" customFormat="1" x14ac:dyDescent="0.25">
      <c r="A218" s="69" t="s">
        <v>59</v>
      </c>
      <c r="B218" s="77">
        <v>3968</v>
      </c>
      <c r="C218" s="78"/>
      <c r="D218" s="72"/>
      <c r="E218" s="72"/>
    </row>
    <row r="219" ht="20.45" customHeight="1" spans="1:5" s="9" customFormat="1" x14ac:dyDescent="0.25">
      <c r="A219" s="69" t="s">
        <v>60</v>
      </c>
      <c r="B219" s="77">
        <f>B218*B217</f>
        <v>634880</v>
      </c>
      <c r="C219" s="77">
        <f>C218*C217</f>
        <v>0</v>
      </c>
      <c r="D219" s="72"/>
      <c r="E219" s="72"/>
    </row>
    <row r="220" ht="20.45" customHeight="1" spans="1:5" s="9" customFormat="1" x14ac:dyDescent="0.25">
      <c r="A220" s="69" t="s">
        <v>61</v>
      </c>
      <c r="B220" s="79">
        <v>5</v>
      </c>
      <c r="C220" s="80"/>
      <c r="D220" s="72"/>
      <c r="E220" s="72"/>
    </row>
    <row r="221" ht="20.45" customHeight="1" spans="1:5" s="9" customFormat="1" x14ac:dyDescent="0.25">
      <c r="A221" s="69" t="s">
        <v>62</v>
      </c>
      <c r="B221" s="79">
        <v>130</v>
      </c>
      <c r="C221" s="80"/>
      <c r="D221" s="72"/>
      <c r="E221" s="72"/>
    </row>
    <row r="222" ht="20.45" customHeight="1" spans="1:5" s="9" customFormat="1" x14ac:dyDescent="0.25">
      <c r="A222" s="69" t="s">
        <v>63</v>
      </c>
      <c r="B222" s="77">
        <f>B220*B221</f>
        <v>650</v>
      </c>
      <c r="C222" s="77">
        <f>C220*C221</f>
        <v>0</v>
      </c>
      <c r="D222" s="72"/>
      <c r="E222" s="72"/>
    </row>
    <row r="223" ht="20.45" customHeight="1" spans="1:5" s="9" customFormat="1" x14ac:dyDescent="0.25">
      <c r="A223" s="69" t="s">
        <v>64</v>
      </c>
      <c r="B223" s="77">
        <f>B219/B222</f>
        <v>976.7384615384616</v>
      </c>
      <c r="C223" s="77" t="e">
        <f>C219/C222</f>
        <v>#DIV/0!</v>
      </c>
      <c r="D223" s="72"/>
      <c r="E223" s="72"/>
    </row>
    <row r="224" ht="2.1" customHeight="1" spans="1:5" s="9" customFormat="1" x14ac:dyDescent="0.25">
      <c r="A224" s="85"/>
      <c r="B224" s="86"/>
      <c r="C224" s="86"/>
      <c r="D224" s="72"/>
      <c r="E224" s="72"/>
    </row>
    <row r="225" ht="20.45" customHeight="1" spans="1:3" s="9" customFormat="1" x14ac:dyDescent="0.25">
      <c r="A225" s="82" t="s">
        <v>65</v>
      </c>
      <c r="B225" s="83"/>
      <c r="C225" s="70">
        <v>0</v>
      </c>
    </row>
    <row r="226" ht="20.45" customHeight="1" spans="1:3" s="9" customFormat="1" x14ac:dyDescent="0.25">
      <c r="A226" s="74" t="s">
        <v>66</v>
      </c>
      <c r="B226" s="74"/>
      <c r="C226" s="70">
        <v>0</v>
      </c>
    </row>
    <row r="227" ht="20.45" customHeight="1" spans="1:3" s="9" customFormat="1" x14ac:dyDescent="0.25">
      <c r="A227" s="74" t="s">
        <v>67</v>
      </c>
      <c r="B227" s="74"/>
      <c r="C227" s="70">
        <v>0</v>
      </c>
    </row>
    <row r="228" ht="2.1" customHeight="1" spans="1:5" s="9" customFormat="1" x14ac:dyDescent="0.25">
      <c r="A228" s="85"/>
      <c r="B228" s="86"/>
      <c r="C228" s="86"/>
      <c r="D228" s="72"/>
      <c r="E228" s="72"/>
    </row>
    <row r="229" ht="20.45" customHeight="1" spans="1:3" s="9" customFormat="1" x14ac:dyDescent="0.25">
      <c r="A229" s="74" t="s">
        <v>68</v>
      </c>
      <c r="B229" s="74"/>
      <c r="C229" s="103">
        <f>SUM(C225:C227)</f>
        <v>0</v>
      </c>
    </row>
    <row r="230" ht="20.45" customHeight="1" spans="1:3" s="9" customFormat="1" x14ac:dyDescent="0.25">
      <c r="A230" s="88" t="s">
        <v>69</v>
      </c>
      <c r="B230" s="89"/>
      <c r="C230" s="90" t="e">
        <f>C225/C222/$B216</f>
        <v>#DIV/0!</v>
      </c>
    </row>
    <row r="231" ht="20.45" customHeight="1" spans="1:3" s="9" customFormat="1" x14ac:dyDescent="0.25">
      <c r="A231" s="88" t="s">
        <v>70</v>
      </c>
      <c r="B231" s="89"/>
      <c r="C231" s="91" t="e">
        <f>C225/C219/$B216</f>
        <v>#DIV/0!</v>
      </c>
    </row>
    <row r="232" ht="20.45" customHeight="1" spans="1:3" s="9" customFormat="1" x14ac:dyDescent="0.25">
      <c r="A232" s="92" t="s">
        <v>71</v>
      </c>
      <c r="B232" s="92"/>
      <c r="C232" s="93"/>
    </row>
    <row r="233" ht="20.45" customHeight="1" spans="1:3" s="9" customFormat="1" x14ac:dyDescent="0.25">
      <c r="A233" s="74" t="s">
        <v>72</v>
      </c>
      <c r="B233" s="74"/>
      <c r="C233" s="94"/>
    </row>
    <row r="234" ht="20.45" customHeight="1" spans="1:3" s="9" customFormat="1" x14ac:dyDescent="0.25">
      <c r="A234" s="74" t="s">
        <v>73</v>
      </c>
      <c r="B234" s="95">
        <v>7500</v>
      </c>
      <c r="C234" s="94"/>
    </row>
    <row r="235" ht="20.45" customHeight="1" spans="1:3" s="9" customFormat="1" x14ac:dyDescent="0.25">
      <c r="A235" s="74" t="s">
        <v>74</v>
      </c>
      <c r="B235" s="95">
        <v>140</v>
      </c>
      <c r="C235" s="94"/>
    </row>
    <row r="236" ht="20.45" customHeight="1" spans="1:3" s="9" customFormat="1" x14ac:dyDescent="0.25">
      <c r="A236" s="74" t="s">
        <v>75</v>
      </c>
      <c r="B236" s="95">
        <v>140</v>
      </c>
      <c r="C236" s="94"/>
    </row>
    <row r="237" ht="20.45" customHeight="1" spans="1:3" s="9" customFormat="1" x14ac:dyDescent="0.25">
      <c r="A237" s="96" t="s">
        <v>85</v>
      </c>
      <c r="B237" s="97"/>
      <c r="C237" s="98"/>
    </row>
    <row r="238" ht="20.45" customHeight="1" spans="1:3" s="9" customFormat="1" x14ac:dyDescent="0.25">
      <c r="A238" s="66" t="s">
        <v>77</v>
      </c>
      <c r="B238" s="67"/>
      <c r="C238" s="68">
        <f>SUM(C239:C243)</f>
        <v>0</v>
      </c>
    </row>
    <row r="239" ht="20.45" customHeight="1" spans="1:3" s="9" customFormat="1" x14ac:dyDescent="0.25">
      <c r="A239" s="66" t="s">
        <v>78</v>
      </c>
      <c r="B239" s="67"/>
      <c r="C239" s="70"/>
    </row>
    <row r="240" ht="20.45" customHeight="1" spans="1:3" s="9" customFormat="1" x14ac:dyDescent="0.25">
      <c r="A240" s="69" t="s">
        <v>88</v>
      </c>
      <c r="B240" s="69"/>
      <c r="C240" s="70"/>
    </row>
    <row r="241" ht="20.45" customHeight="1" spans="1:3" s="9" customFormat="1" x14ac:dyDescent="0.25">
      <c r="A241" s="69" t="s">
        <v>80</v>
      </c>
      <c r="B241" s="69"/>
      <c r="C241" s="70"/>
    </row>
    <row r="242" ht="20.45" customHeight="1" spans="1:3" s="9" customFormat="1" x14ac:dyDescent="0.25">
      <c r="A242" s="69" t="s">
        <v>81</v>
      </c>
      <c r="B242" s="69"/>
      <c r="C242" s="70">
        <v>3901774.444444443</v>
      </c>
    </row>
    <row r="243" ht="20.45" customHeight="1" spans="1:3" s="9" customFormat="1" x14ac:dyDescent="0.25">
      <c r="A243" s="69" t="s">
        <v>84</v>
      </c>
      <c r="B243" s="69"/>
      <c r="C243" s="70"/>
    </row>
    <row r="244" ht="20.45" customHeight="1" spans="1:5" s="9" customFormat="1" x14ac:dyDescent="0.25">
      <c r="A244" s="101" t="str">
        <f>A15</f>
        <v>BLUE ZONE LOWER RIBBON DISPLAYS</v>
      </c>
      <c r="B244" s="102"/>
      <c r="C244" s="49" t="str">
        <f>C$6</f>
        <v>VENDOR NAME</v>
      </c>
      <c r="D244" s="72"/>
      <c r="E244" s="72"/>
    </row>
    <row r="245" ht="20.45" customHeight="1" spans="1:40" s="73" customFormat="1" x14ac:dyDescent="0.25">
      <c r="A245" s="74" t="s">
        <v>56</v>
      </c>
      <c r="B245" s="75">
        <v>10</v>
      </c>
      <c r="C245" s="76">
        <v>10</v>
      </c>
      <c r="D245" s="72"/>
      <c r="E245" s="72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ht="20.45" customHeight="1" spans="1:5" s="9" customFormat="1" x14ac:dyDescent="0.25">
      <c r="A246" s="74" t="s">
        <v>57</v>
      </c>
      <c r="B246" s="75">
        <v>2</v>
      </c>
      <c r="C246" s="75">
        <f>B246</f>
        <v>2</v>
      </c>
      <c r="D246" s="72"/>
      <c r="E246" s="72"/>
    </row>
    <row r="247" ht="20.45" customHeight="1" spans="1:5" s="9" customFormat="1" x14ac:dyDescent="0.25">
      <c r="A247" s="69" t="s">
        <v>58</v>
      </c>
      <c r="B247" s="77">
        <v>96</v>
      </c>
      <c r="C247" s="78">
        <v>90</v>
      </c>
      <c r="D247" s="72"/>
      <c r="E247" s="72"/>
    </row>
    <row r="248" ht="20.45" customHeight="1" spans="1:5" s="9" customFormat="1" x14ac:dyDescent="0.25">
      <c r="A248" s="69" t="s">
        <v>59</v>
      </c>
      <c r="B248" s="77">
        <v>2224</v>
      </c>
      <c r="C248" s="78">
        <v>2240</v>
      </c>
      <c r="D248" s="72"/>
      <c r="E248" s="72"/>
    </row>
    <row r="249" ht="20.45" customHeight="1" spans="1:5" s="9" customFormat="1" x14ac:dyDescent="0.25">
      <c r="A249" s="69" t="s">
        <v>60</v>
      </c>
      <c r="B249" s="77">
        <f>B248*B247</f>
        <v>213504</v>
      </c>
      <c r="C249" s="77">
        <f>C248*C247</f>
        <v>0</v>
      </c>
      <c r="D249" s="72"/>
      <c r="E249" s="72"/>
    </row>
    <row r="250" ht="20.45" customHeight="1" spans="1:5" s="9" customFormat="1" x14ac:dyDescent="0.25">
      <c r="A250" s="69" t="s">
        <v>61</v>
      </c>
      <c r="B250" s="79">
        <v>3</v>
      </c>
      <c r="C250" s="80">
        <v>2.95</v>
      </c>
      <c r="D250" s="72"/>
      <c r="E250" s="72"/>
    </row>
    <row r="251" ht="20.45" customHeight="1" spans="1:5" s="9" customFormat="1" x14ac:dyDescent="0.25">
      <c r="A251" s="69" t="s">
        <v>62</v>
      </c>
      <c r="B251" s="79">
        <v>73</v>
      </c>
      <c r="C251" s="80">
        <v>73.49</v>
      </c>
      <c r="D251" s="72"/>
      <c r="E251" s="72"/>
    </row>
    <row r="252" ht="20.45" customHeight="1" spans="1:5" s="9" customFormat="1" x14ac:dyDescent="0.25">
      <c r="A252" s="69" t="s">
        <v>63</v>
      </c>
      <c r="B252" s="77">
        <f>B250*B251</f>
        <v>219</v>
      </c>
      <c r="C252" s="77">
        <f>C250*C251</f>
        <v>0</v>
      </c>
      <c r="D252" s="72"/>
      <c r="E252" s="72"/>
    </row>
    <row r="253" ht="20.45" customHeight="1" spans="1:5" s="9" customFormat="1" x14ac:dyDescent="0.25">
      <c r="A253" s="69" t="s">
        <v>64</v>
      </c>
      <c r="B253" s="77">
        <f>B249/B252</f>
        <v>974.9041095890411</v>
      </c>
      <c r="C253" s="77" t="e">
        <f>C249/C252</f>
        <v>#DIV/0!</v>
      </c>
      <c r="D253" s="72"/>
      <c r="E253" s="72"/>
    </row>
    <row r="254" ht="2.1" customHeight="1" spans="1:5" s="9" customFormat="1" x14ac:dyDescent="0.25">
      <c r="A254" s="85"/>
      <c r="B254" s="86"/>
      <c r="C254" s="86"/>
      <c r="D254" s="72"/>
      <c r="E254" s="72"/>
    </row>
    <row r="255" ht="20.45" customHeight="1" spans="1:3" s="9" customFormat="1" x14ac:dyDescent="0.25">
      <c r="A255" s="82" t="s">
        <v>65</v>
      </c>
      <c r="B255" s="83"/>
      <c r="C255" s="70">
        <v>78136.66666666667</v>
      </c>
    </row>
    <row r="256" ht="20.45" customHeight="1" spans="1:3" s="9" customFormat="1" x14ac:dyDescent="0.25">
      <c r="A256" s="74" t="s">
        <v>66</v>
      </c>
      <c r="B256" s="74"/>
      <c r="C256" s="70">
        <v>18688.888888888887</v>
      </c>
    </row>
    <row r="257" ht="20.45" customHeight="1" spans="1:3" s="9" customFormat="1" x14ac:dyDescent="0.25">
      <c r="A257" s="74" t="s">
        <v>67</v>
      </c>
      <c r="B257" s="74"/>
      <c r="C257" s="70">
        <v>15700</v>
      </c>
    </row>
    <row r="258" ht="2.1" customHeight="1" spans="1:5" s="9" customFormat="1" x14ac:dyDescent="0.25">
      <c r="A258" s="85"/>
      <c r="B258" s="86"/>
      <c r="C258" s="86"/>
      <c r="D258" s="72"/>
      <c r="E258" s="72"/>
    </row>
    <row r="259" ht="20.45" customHeight="1" spans="1:3" s="9" customFormat="1" x14ac:dyDescent="0.25">
      <c r="A259" s="74" t="s">
        <v>68</v>
      </c>
      <c r="B259" s="74"/>
      <c r="C259" s="103">
        <f>SUM(C255:C257)</f>
        <v>0</v>
      </c>
    </row>
    <row r="260" ht="20.45" customHeight="1" spans="1:3" s="9" customFormat="1" x14ac:dyDescent="0.25">
      <c r="A260" s="88" t="s">
        <v>69</v>
      </c>
      <c r="B260" s="89"/>
      <c r="C260" s="90" t="e">
        <f>C255/C252/$B246</f>
        <v>#DIV/0!</v>
      </c>
    </row>
    <row r="261" ht="20.45" customHeight="1" spans="1:3" s="9" customFormat="1" x14ac:dyDescent="0.25">
      <c r="A261" s="88" t="s">
        <v>70</v>
      </c>
      <c r="B261" s="89"/>
      <c r="C261" s="91" t="e">
        <f>C255/C249/$B246</f>
        <v>#DIV/0!</v>
      </c>
    </row>
    <row r="262" ht="20.45" customHeight="1" spans="1:3" s="9" customFormat="1" x14ac:dyDescent="0.25">
      <c r="A262" s="92" t="s">
        <v>71</v>
      </c>
      <c r="B262" s="92"/>
      <c r="C262" s="93"/>
    </row>
    <row r="263" ht="20.45" customHeight="1" spans="1:3" s="9" customFormat="1" x14ac:dyDescent="0.25">
      <c r="A263" s="74" t="s">
        <v>72</v>
      </c>
      <c r="B263" s="74"/>
      <c r="C263" s="94"/>
    </row>
    <row r="264" ht="20.45" customHeight="1" spans="1:3" s="9" customFormat="1" x14ac:dyDescent="0.25">
      <c r="A264" s="74" t="s">
        <v>73</v>
      </c>
      <c r="B264" s="95">
        <v>7500</v>
      </c>
      <c r="C264" s="94">
        <v>10000</v>
      </c>
    </row>
    <row r="265" ht="20.45" customHeight="1" spans="1:3" s="9" customFormat="1" x14ac:dyDescent="0.25">
      <c r="A265" s="74" t="s">
        <v>74</v>
      </c>
      <c r="B265" s="95">
        <v>140</v>
      </c>
      <c r="C265" s="94">
        <v>140</v>
      </c>
    </row>
    <row r="266" ht="20.45" customHeight="1" spans="1:3" s="9" customFormat="1" x14ac:dyDescent="0.25">
      <c r="A266" s="74" t="s">
        <v>75</v>
      </c>
      <c r="B266" s="95">
        <v>140</v>
      </c>
      <c r="C266" s="94">
        <v>140</v>
      </c>
    </row>
    <row r="267" ht="20.45" customHeight="1" spans="1:3" s="9" customFormat="1" x14ac:dyDescent="0.25">
      <c r="A267" s="96" t="s">
        <v>85</v>
      </c>
      <c r="B267" s="97"/>
      <c r="C267" s="98"/>
    </row>
    <row r="268" ht="20.45" customHeight="1" spans="1:3" s="9" customFormat="1" x14ac:dyDescent="0.25">
      <c r="A268" s="66" t="s">
        <v>77</v>
      </c>
      <c r="B268" s="67"/>
      <c r="C268" s="68">
        <f>SUM(C269:C273)</f>
        <v>0</v>
      </c>
    </row>
    <row r="269" ht="20.45" customHeight="1" spans="1:3" s="9" customFormat="1" x14ac:dyDescent="0.25">
      <c r="A269" s="66" t="s">
        <v>78</v>
      </c>
      <c r="B269" s="67"/>
      <c r="C269" s="70"/>
    </row>
    <row r="270" ht="20.45" customHeight="1" spans="1:3" s="9" customFormat="1" x14ac:dyDescent="0.25">
      <c r="A270" s="69" t="s">
        <v>88</v>
      </c>
      <c r="B270" s="69"/>
      <c r="C270" s="70"/>
    </row>
    <row r="271" ht="20.45" customHeight="1" spans="1:3" s="9" customFormat="1" x14ac:dyDescent="0.25">
      <c r="A271" s="69" t="s">
        <v>80</v>
      </c>
      <c r="B271" s="69"/>
      <c r="C271" s="70"/>
    </row>
    <row r="272" ht="20.45" customHeight="1" spans="1:3" s="9" customFormat="1" x14ac:dyDescent="0.25">
      <c r="A272" s="69" t="s">
        <v>81</v>
      </c>
      <c r="B272" s="69"/>
      <c r="C272" s="70">
        <v>3901774.444444443</v>
      </c>
    </row>
    <row r="273" ht="20.45" customHeight="1" spans="1:3" s="9" customFormat="1" x14ac:dyDescent="0.25">
      <c r="A273" s="69" t="s">
        <v>84</v>
      </c>
      <c r="B273" s="69"/>
      <c r="C273" s="70"/>
    </row>
    <row r="274" ht="20.45" customHeight="1" spans="1:5" s="9" customFormat="1" x14ac:dyDescent="0.25">
      <c r="A274" s="101" t="str">
        <f>A17</f>
        <v>BLUE ZONE TUNNEL RIBBON DISPLAYS</v>
      </c>
      <c r="B274" s="102"/>
      <c r="C274" s="49" t="str">
        <f>C$6</f>
        <v>VENDOR NAME</v>
      </c>
      <c r="D274" s="72"/>
      <c r="E274" s="72"/>
    </row>
    <row r="275" ht="20.45" customHeight="1" spans="1:40" s="73" customFormat="1" x14ac:dyDescent="0.25">
      <c r="A275" s="74" t="s">
        <v>56</v>
      </c>
      <c r="B275" s="75">
        <v>10</v>
      </c>
      <c r="C275" s="76">
        <v>10</v>
      </c>
      <c r="D275" s="72"/>
      <c r="E275" s="72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ht="20.45" customHeight="1" spans="1:5" s="9" customFormat="1" x14ac:dyDescent="0.25">
      <c r="A276" s="74" t="s">
        <v>57</v>
      </c>
      <c r="B276" s="75">
        <v>2</v>
      </c>
      <c r="C276" s="75">
        <f>B276</f>
        <v>2</v>
      </c>
      <c r="D276" s="72"/>
      <c r="E276" s="72"/>
    </row>
    <row r="277" ht="20.45" customHeight="1" spans="1:5" s="9" customFormat="1" x14ac:dyDescent="0.25">
      <c r="A277" s="69" t="s">
        <v>58</v>
      </c>
      <c r="B277" s="77">
        <v>96</v>
      </c>
      <c r="C277" s="78">
        <v>90</v>
      </c>
      <c r="D277" s="72"/>
      <c r="E277" s="72"/>
    </row>
    <row r="278" ht="20.45" customHeight="1" spans="1:5" s="9" customFormat="1" x14ac:dyDescent="0.25">
      <c r="A278" s="69" t="s">
        <v>59</v>
      </c>
      <c r="B278" s="77">
        <v>576</v>
      </c>
      <c r="C278" s="78">
        <v>7440</v>
      </c>
      <c r="D278" s="72"/>
      <c r="E278" s="72"/>
    </row>
    <row r="279" ht="20.45" customHeight="1" spans="1:5" s="9" customFormat="1" x14ac:dyDescent="0.25">
      <c r="A279" s="69" t="s">
        <v>60</v>
      </c>
      <c r="B279" s="77">
        <f>B278*B277</f>
        <v>55296</v>
      </c>
      <c r="C279" s="77">
        <f>C278*C277</f>
        <v>0</v>
      </c>
      <c r="D279" s="72"/>
      <c r="E279" s="72"/>
    </row>
    <row r="280" ht="20.45" customHeight="1" spans="1:5" s="9" customFormat="1" x14ac:dyDescent="0.25">
      <c r="A280" s="69" t="s">
        <v>61</v>
      </c>
      <c r="B280" s="79">
        <v>3</v>
      </c>
      <c r="C280" s="80">
        <v>2.95</v>
      </c>
      <c r="D280" s="72"/>
      <c r="E280" s="72"/>
    </row>
    <row r="281" ht="20.45" customHeight="1" spans="1:5" s="9" customFormat="1" x14ac:dyDescent="0.25">
      <c r="A281" s="69" t="s">
        <v>62</v>
      </c>
      <c r="B281" s="79">
        <v>19</v>
      </c>
      <c r="C281" s="80">
        <v>244.09</v>
      </c>
      <c r="D281" s="72"/>
      <c r="E281" s="72"/>
    </row>
    <row r="282" ht="20.45" customHeight="1" spans="1:5" s="9" customFormat="1" x14ac:dyDescent="0.25">
      <c r="A282" s="69" t="s">
        <v>63</v>
      </c>
      <c r="B282" s="77">
        <f>B280*B281</f>
        <v>57</v>
      </c>
      <c r="C282" s="77">
        <f>C280*C281</f>
        <v>0</v>
      </c>
      <c r="D282" s="72"/>
      <c r="E282" s="72"/>
    </row>
    <row r="283" ht="20.45" customHeight="1" spans="1:5" s="9" customFormat="1" x14ac:dyDescent="0.25">
      <c r="A283" s="69" t="s">
        <v>64</v>
      </c>
      <c r="B283" s="77">
        <f>B279/B282</f>
        <v>970.1052631578947</v>
      </c>
      <c r="C283" s="77" t="e">
        <f>C279/C282</f>
        <v>#DIV/0!</v>
      </c>
      <c r="D283" s="72"/>
      <c r="E283" s="72"/>
    </row>
    <row r="284" ht="2.1" customHeight="1" spans="1:5" s="9" customFormat="1" x14ac:dyDescent="0.25">
      <c r="A284" s="85"/>
      <c r="B284" s="86"/>
      <c r="C284" s="86"/>
      <c r="D284" s="72"/>
      <c r="E284" s="72"/>
    </row>
    <row r="285" ht="20.45" customHeight="1" spans="1:3" s="9" customFormat="1" x14ac:dyDescent="0.25">
      <c r="A285" s="82" t="s">
        <v>65</v>
      </c>
      <c r="B285" s="83"/>
      <c r="C285" s="70">
        <v>125611.42611111111</v>
      </c>
    </row>
    <row r="286" ht="20.45" customHeight="1" spans="1:3" s="9" customFormat="1" x14ac:dyDescent="0.25">
      <c r="A286" s="74" t="s">
        <v>66</v>
      </c>
      <c r="B286" s="74"/>
      <c r="C286" s="70">
        <v>18688.888888888887</v>
      </c>
    </row>
    <row r="287" ht="20.45" customHeight="1" spans="1:3" s="9" customFormat="1" x14ac:dyDescent="0.25">
      <c r="A287" s="74" t="s">
        <v>67</v>
      </c>
      <c r="B287" s="74"/>
      <c r="C287" s="70">
        <v>15700</v>
      </c>
    </row>
    <row r="288" ht="2.1" customHeight="1" spans="1:5" s="9" customFormat="1" x14ac:dyDescent="0.25">
      <c r="A288" s="85"/>
      <c r="B288" s="86"/>
      <c r="C288" s="86"/>
      <c r="D288" s="72"/>
      <c r="E288" s="72"/>
    </row>
    <row r="289" ht="20.45" customHeight="1" spans="1:3" s="9" customFormat="1" x14ac:dyDescent="0.25">
      <c r="A289" s="74" t="s">
        <v>68</v>
      </c>
      <c r="B289" s="74"/>
      <c r="C289" s="103">
        <f>SUM(C285:C287)</f>
        <v>0</v>
      </c>
    </row>
    <row r="290" ht="20.45" customHeight="1" spans="1:3" s="9" customFormat="1" x14ac:dyDescent="0.25">
      <c r="A290" s="88" t="s">
        <v>69</v>
      </c>
      <c r="B290" s="89"/>
      <c r="C290" s="90" t="e">
        <f>C285/C282/$B276</f>
        <v>#DIV/0!</v>
      </c>
    </row>
    <row r="291" ht="20.45" customHeight="1" spans="1:3" s="9" customFormat="1" x14ac:dyDescent="0.25">
      <c r="A291" s="88" t="s">
        <v>70</v>
      </c>
      <c r="B291" s="89"/>
      <c r="C291" s="91" t="e">
        <f>C285/C279/$B276</f>
        <v>#DIV/0!</v>
      </c>
    </row>
    <row r="292" ht="20.45" customHeight="1" spans="1:3" s="9" customFormat="1" x14ac:dyDescent="0.25">
      <c r="A292" s="92" t="s">
        <v>71</v>
      </c>
      <c r="B292" s="92"/>
      <c r="C292" s="93"/>
    </row>
    <row r="293" ht="20.45" customHeight="1" spans="1:3" s="9" customFormat="1" x14ac:dyDescent="0.25">
      <c r="A293" s="74" t="s">
        <v>72</v>
      </c>
      <c r="B293" s="74"/>
      <c r="C293" s="94"/>
    </row>
    <row r="294" ht="20.45" customHeight="1" spans="1:3" s="9" customFormat="1" x14ac:dyDescent="0.25">
      <c r="A294" s="74" t="s">
        <v>73</v>
      </c>
      <c r="B294" s="95">
        <v>7500</v>
      </c>
      <c r="C294" s="94">
        <v>10000</v>
      </c>
    </row>
    <row r="295" ht="20.45" customHeight="1" spans="1:3" s="9" customFormat="1" x14ac:dyDescent="0.25">
      <c r="A295" s="74" t="s">
        <v>74</v>
      </c>
      <c r="B295" s="95">
        <v>140</v>
      </c>
      <c r="C295" s="94">
        <v>140</v>
      </c>
    </row>
    <row r="296" ht="20.45" customHeight="1" spans="1:3" s="9" customFormat="1" x14ac:dyDescent="0.25">
      <c r="A296" s="74" t="s">
        <v>75</v>
      </c>
      <c r="B296" s="95">
        <v>140</v>
      </c>
      <c r="C296" s="94">
        <v>140</v>
      </c>
    </row>
    <row r="297" ht="20.45" customHeight="1" spans="1:3" s="9" customFormat="1" x14ac:dyDescent="0.25">
      <c r="A297" s="96" t="s">
        <v>85</v>
      </c>
      <c r="B297" s="97"/>
      <c r="C297" s="98"/>
    </row>
    <row r="298" ht="20.45" customHeight="1" spans="1:3" s="9" customFormat="1" x14ac:dyDescent="0.25">
      <c r="A298" s="66" t="s">
        <v>77</v>
      </c>
      <c r="B298" s="67"/>
      <c r="C298" s="68">
        <f>SUM(C299:C303)</f>
        <v>0</v>
      </c>
    </row>
    <row r="299" ht="20.45" customHeight="1" spans="1:3" s="9" customFormat="1" x14ac:dyDescent="0.25">
      <c r="A299" s="66" t="s">
        <v>78</v>
      </c>
      <c r="B299" s="67"/>
      <c r="C299" s="70"/>
    </row>
    <row r="300" ht="20.45" customHeight="1" spans="1:3" s="9" customFormat="1" x14ac:dyDescent="0.25">
      <c r="A300" s="69" t="s">
        <v>88</v>
      </c>
      <c r="B300" s="69"/>
      <c r="C300" s="70"/>
    </row>
    <row r="301" ht="20.45" customHeight="1" spans="1:3" s="9" customFormat="1" x14ac:dyDescent="0.25">
      <c r="A301" s="69" t="s">
        <v>80</v>
      </c>
      <c r="B301" s="69"/>
      <c r="C301" s="70"/>
    </row>
    <row r="302" ht="20.45" customHeight="1" spans="1:3" s="9" customFormat="1" x14ac:dyDescent="0.25">
      <c r="A302" s="69" t="s">
        <v>81</v>
      </c>
      <c r="B302" s="69"/>
      <c r="C302" s="70">
        <v>3901774.444444443</v>
      </c>
    </row>
    <row r="303" ht="20.45" customHeight="1" spans="1:3" s="9" customFormat="1" x14ac:dyDescent="0.25">
      <c r="A303" s="69" t="s">
        <v>84</v>
      </c>
      <c r="B303" s="69"/>
      <c r="C303" s="70"/>
    </row>
    <row r="304" ht="20.45" customHeight="1" spans="1:3" s="9" customFormat="1" x14ac:dyDescent="0.25">
      <c r="A304" s="101" t="str">
        <f>A19</f>
        <v>BLUE ZONE RIBBON DISPLAY</v>
      </c>
      <c r="B304" s="102"/>
      <c r="C304" s="49" t="str">
        <f>C$6</f>
        <v>VENDOR NAME</v>
      </c>
    </row>
    <row r="305" ht="20.25" customHeight="1" spans="1:3" s="9" customFormat="1" x14ac:dyDescent="0.25">
      <c r="A305" s="74" t="s">
        <v>56</v>
      </c>
      <c r="B305" s="75">
        <v>10</v>
      </c>
      <c r="C305" s="76"/>
    </row>
    <row r="306" ht="20.25" customHeight="1" spans="1:3" s="9" customFormat="1" x14ac:dyDescent="0.25">
      <c r="A306" s="74" t="s">
        <v>57</v>
      </c>
      <c r="B306" s="75">
        <v>1</v>
      </c>
      <c r="C306" s="75">
        <f>B306</f>
        <v>1</v>
      </c>
    </row>
    <row r="307" ht="20.25" customHeight="1" spans="1:3" s="9" customFormat="1" x14ac:dyDescent="0.25">
      <c r="A307" s="69" t="s">
        <v>58</v>
      </c>
      <c r="B307" s="77">
        <v>96</v>
      </c>
      <c r="C307" s="78"/>
    </row>
    <row r="308" ht="20.25" customHeight="1" spans="1:3" s="9" customFormat="1" x14ac:dyDescent="0.25">
      <c r="A308" s="69" t="s">
        <v>59</v>
      </c>
      <c r="B308" s="77">
        <v>7440</v>
      </c>
      <c r="C308" s="78"/>
    </row>
    <row r="309" ht="20.25" customHeight="1" spans="1:3" s="9" customFormat="1" x14ac:dyDescent="0.25">
      <c r="A309" s="69" t="s">
        <v>60</v>
      </c>
      <c r="B309" s="77">
        <f>B308*B307</f>
        <v>714240</v>
      </c>
      <c r="C309" s="77">
        <f>C308*C307</f>
        <v>0</v>
      </c>
    </row>
    <row r="310" ht="20.25" customHeight="1" spans="1:3" s="9" customFormat="1" x14ac:dyDescent="0.25">
      <c r="A310" s="69" t="s">
        <v>61</v>
      </c>
      <c r="B310" s="79">
        <v>3</v>
      </c>
      <c r="C310" s="80"/>
    </row>
    <row r="311" ht="20.25" customHeight="1" spans="1:3" s="9" customFormat="1" x14ac:dyDescent="0.25">
      <c r="A311" s="69" t="s">
        <v>62</v>
      </c>
      <c r="B311" s="79">
        <v>244</v>
      </c>
      <c r="C311" s="80"/>
    </row>
    <row r="312" ht="20.25" customHeight="1" spans="1:3" s="9" customFormat="1" x14ac:dyDescent="0.25">
      <c r="A312" s="69" t="s">
        <v>63</v>
      </c>
      <c r="B312" s="77">
        <f>B310*B311</f>
        <v>732</v>
      </c>
      <c r="C312" s="77">
        <f>C310*C311</f>
        <v>0</v>
      </c>
    </row>
    <row r="313" ht="20.25" customHeight="1" spans="1:3" s="9" customFormat="1" x14ac:dyDescent="0.25">
      <c r="A313" s="69" t="s">
        <v>64</v>
      </c>
      <c r="B313" s="77">
        <f>B309/B312</f>
        <v>975.7377049180328</v>
      </c>
      <c r="C313" s="77" t="e">
        <f>C309/C312</f>
        <v>#DIV/0!</v>
      </c>
    </row>
    <row r="314" ht="3" customHeight="1" spans="1:3" s="9" customFormat="1" x14ac:dyDescent="0.25">
      <c r="A314" s="85"/>
      <c r="B314" s="86"/>
      <c r="C314" s="86"/>
    </row>
    <row r="315" ht="20.25" customHeight="1" spans="1:3" s="9" customFormat="1" x14ac:dyDescent="0.25">
      <c r="A315" s="82" t="s">
        <v>65</v>
      </c>
      <c r="B315" s="83"/>
      <c r="C315" s="70">
        <v>0</v>
      </c>
    </row>
    <row r="316" ht="20.25" customHeight="1" spans="1:3" s="9" customFormat="1" x14ac:dyDescent="0.25">
      <c r="A316" s="74" t="s">
        <v>66</v>
      </c>
      <c r="B316" s="74"/>
      <c r="C316" s="70">
        <v>0</v>
      </c>
    </row>
    <row r="317" ht="20.25" customHeight="1" spans="1:3" s="9" customFormat="1" x14ac:dyDescent="0.25">
      <c r="A317" s="74" t="s">
        <v>67</v>
      </c>
      <c r="B317" s="74"/>
      <c r="C317" s="70">
        <v>0</v>
      </c>
    </row>
    <row r="318" ht="2.25" customHeight="1" spans="1:3" s="9" customFormat="1" x14ac:dyDescent="0.25">
      <c r="A318" s="85"/>
      <c r="B318" s="86"/>
      <c r="C318" s="86"/>
    </row>
    <row r="319" ht="20.25" customHeight="1" spans="1:3" s="9" customFormat="1" x14ac:dyDescent="0.25">
      <c r="A319" s="74" t="s">
        <v>68</v>
      </c>
      <c r="B319" s="74"/>
      <c r="C319" s="103">
        <f>SUM(C315:C317)</f>
        <v>0</v>
      </c>
    </row>
    <row r="320" ht="20.25" customHeight="1" spans="1:3" s="9" customFormat="1" x14ac:dyDescent="0.25">
      <c r="A320" s="88" t="s">
        <v>69</v>
      </c>
      <c r="B320" s="89"/>
      <c r="C320" s="90" t="e">
        <f>C315/C312/$B306</f>
        <v>#DIV/0!</v>
      </c>
    </row>
    <row r="321" ht="20.25" customHeight="1" spans="1:3" s="9" customFormat="1" x14ac:dyDescent="0.25">
      <c r="A321" s="88" t="s">
        <v>70</v>
      </c>
      <c r="B321" s="89"/>
      <c r="C321" s="91" t="e">
        <f>C315/C309/$B306</f>
        <v>#DIV/0!</v>
      </c>
    </row>
    <row r="322" ht="20.45" customHeight="1" spans="1:3" s="9" customFormat="1" x14ac:dyDescent="0.25">
      <c r="A322" s="92" t="s">
        <v>71</v>
      </c>
      <c r="B322" s="92"/>
      <c r="C322" s="93"/>
    </row>
    <row r="323" ht="20.25" customHeight="1" spans="1:3" s="9" customFormat="1" x14ac:dyDescent="0.25">
      <c r="A323" s="74" t="s">
        <v>72</v>
      </c>
      <c r="B323" s="74"/>
      <c r="C323" s="94"/>
    </row>
    <row r="324" ht="20.25" customHeight="1" spans="1:3" s="9" customFormat="1" x14ac:dyDescent="0.25">
      <c r="A324" s="74" t="s">
        <v>73</v>
      </c>
      <c r="B324" s="95">
        <v>7500</v>
      </c>
      <c r="C324" s="94"/>
    </row>
    <row r="325" ht="20.25" customHeight="1" spans="1:3" s="9" customFormat="1" x14ac:dyDescent="0.25">
      <c r="A325" s="74" t="s">
        <v>74</v>
      </c>
      <c r="B325" s="95">
        <v>140</v>
      </c>
      <c r="C325" s="94"/>
    </row>
    <row r="326" ht="20.25" customHeight="1" spans="1:3" s="9" customFormat="1" x14ac:dyDescent="0.25">
      <c r="A326" s="74" t="s">
        <v>75</v>
      </c>
      <c r="B326" s="95">
        <v>140</v>
      </c>
      <c r="C326" s="94"/>
    </row>
    <row r="327" ht="20.45" customHeight="1" spans="1:3" s="9" customFormat="1" x14ac:dyDescent="0.25">
      <c r="A327" s="96" t="s">
        <v>85</v>
      </c>
      <c r="B327" s="97"/>
      <c r="C327" s="98"/>
    </row>
    <row r="328" ht="20.25" customHeight="1" spans="1:3" s="9" customFormat="1" x14ac:dyDescent="0.25">
      <c r="A328" s="66" t="s">
        <v>77</v>
      </c>
      <c r="B328" s="67"/>
      <c r="C328" s="68">
        <f>SUM(C329:C333)</f>
        <v>0</v>
      </c>
    </row>
    <row r="329" ht="20.25" customHeight="1" spans="1:3" s="9" customFormat="1" x14ac:dyDescent="0.25">
      <c r="A329" s="66" t="s">
        <v>78</v>
      </c>
      <c r="B329" s="69"/>
      <c r="C329" s="70"/>
    </row>
    <row r="330" ht="20.25" customHeight="1" spans="1:3" s="9" customFormat="1" x14ac:dyDescent="0.25">
      <c r="A330" s="69" t="s">
        <v>88</v>
      </c>
      <c r="B330" s="69"/>
      <c r="C330" s="70"/>
    </row>
    <row r="331" ht="20.25" customHeight="1" spans="1:3" s="9" customFormat="1" x14ac:dyDescent="0.25">
      <c r="A331" s="69" t="s">
        <v>80</v>
      </c>
      <c r="B331" s="69"/>
      <c r="C331" s="70"/>
    </row>
    <row r="332" ht="20.25" customHeight="1" spans="1:3" s="9" customFormat="1" x14ac:dyDescent="0.25">
      <c r="A332" s="69" t="s">
        <v>81</v>
      </c>
      <c r="B332" s="69"/>
      <c r="C332" s="70">
        <v>3901774.444444443</v>
      </c>
    </row>
    <row r="333" ht="20.25" customHeight="1" spans="1:3" s="9" customFormat="1" x14ac:dyDescent="0.25">
      <c r="A333" s="69" t="s">
        <v>84</v>
      </c>
      <c r="B333" s="69"/>
      <c r="C333" s="70"/>
    </row>
    <row r="334" ht="2.1" customHeight="1" spans="1:3" x14ac:dyDescent="0.25">
      <c r="A334" s="108"/>
      <c r="B334" s="108"/>
      <c r="C334" s="108"/>
    </row>
    <row r="335" spans="1:3" x14ac:dyDescent="0.25">
      <c r="A335" s="1"/>
      <c r="C335" s="1"/>
    </row>
    <row r="336" spans="1:3" x14ac:dyDescent="0.25">
      <c r="A336" s="1"/>
      <c r="C336" s="1"/>
    </row>
    <row r="337" spans="1:3" x14ac:dyDescent="0.25">
      <c r="A337" s="1"/>
      <c r="C337" s="1"/>
    </row>
    <row r="338" spans="1:3" x14ac:dyDescent="0.25">
      <c r="A338" s="1"/>
      <c r="C338" s="1"/>
    </row>
    <row r="339" spans="1:3" x14ac:dyDescent="0.25">
      <c r="A339" s="1"/>
      <c r="C339" s="1"/>
    </row>
    <row r="340" spans="1:3" x14ac:dyDescent="0.25">
      <c r="A340" s="1"/>
      <c r="C340" s="1"/>
    </row>
    <row r="341" spans="1:3" x14ac:dyDescent="0.25">
      <c r="A341" s="1"/>
      <c r="C341" s="1"/>
    </row>
    <row r="342" spans="1:3" x14ac:dyDescent="0.25">
      <c r="A342" s="1"/>
      <c r="C342" s="1"/>
    </row>
    <row r="343" spans="1:3" x14ac:dyDescent="0.25">
      <c r="A343" s="1"/>
      <c r="C343" s="1"/>
    </row>
    <row r="344" spans="1:3" x14ac:dyDescent="0.25">
      <c r="A344" s="1"/>
      <c r="C344" s="1"/>
    </row>
    <row r="345" spans="1:3" x14ac:dyDescent="0.25">
      <c r="A345" s="1"/>
      <c r="C345" s="1"/>
    </row>
    <row r="346" spans="1:3" x14ac:dyDescent="0.25">
      <c r="A346" s="1"/>
      <c r="C346" s="1"/>
    </row>
    <row r="347" spans="1:3" x14ac:dyDescent="0.25">
      <c r="A347" s="1"/>
      <c r="C347" s="1"/>
    </row>
    <row r="348" spans="1:3" x14ac:dyDescent="0.25">
      <c r="A348" s="1"/>
      <c r="C348" s="1"/>
    </row>
    <row r="349" spans="1:3" x14ac:dyDescent="0.25">
      <c r="A349" s="1"/>
      <c r="C349" s="1"/>
    </row>
    <row r="350" spans="1:3" x14ac:dyDescent="0.25">
      <c r="A350" s="1"/>
      <c r="C350" s="1"/>
    </row>
    <row r="351" spans="1:3" x14ac:dyDescent="0.25">
      <c r="A351" s="1"/>
      <c r="C351" s="1"/>
    </row>
    <row r="352" spans="1:3" x14ac:dyDescent="0.25">
      <c r="A352" s="1"/>
      <c r="C352" s="1"/>
    </row>
    <row r="353" spans="1:3" x14ac:dyDescent="0.25">
      <c r="A353" s="1"/>
      <c r="C353" s="1"/>
    </row>
    <row r="354" spans="1:3" x14ac:dyDescent="0.25">
      <c r="A354" s="1"/>
      <c r="C354" s="1"/>
    </row>
    <row r="355" spans="1:3" x14ac:dyDescent="0.25">
      <c r="A355" s="1"/>
      <c r="C355" s="1"/>
    </row>
  </sheetData>
  <sheetProtection selectLockedCells="1"/>
  <mergeCells count="137">
    <mergeCell ref="A1:C1"/>
    <mergeCell ref="A2:C2"/>
    <mergeCell ref="A3:C3"/>
    <mergeCell ref="A5:C5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6:B26"/>
    <mergeCell ref="A28:B28"/>
    <mergeCell ref="A29:B29"/>
    <mergeCell ref="A30:B30"/>
    <mergeCell ref="A32:B32"/>
    <mergeCell ref="A33:B33"/>
    <mergeCell ref="A34:B34"/>
    <mergeCell ref="A36:B36"/>
    <mergeCell ref="A37:B37"/>
    <mergeCell ref="A38:B38"/>
    <mergeCell ref="A39:B39"/>
    <mergeCell ref="A40:B40"/>
    <mergeCell ref="A42:B42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C53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C64"/>
    <mergeCell ref="A65:C65"/>
    <mergeCell ref="A67:B67"/>
    <mergeCell ref="A83:C83"/>
    <mergeCell ref="A84:B84"/>
    <mergeCell ref="A85:B85"/>
    <mergeCell ref="A86:B86"/>
    <mergeCell ref="A88:B88"/>
    <mergeCell ref="A89:B89"/>
    <mergeCell ref="A90:B90"/>
    <mergeCell ref="A97:B97"/>
    <mergeCell ref="A100:B100"/>
    <mergeCell ref="A101:B101"/>
    <mergeCell ref="A102:B102"/>
    <mergeCell ref="A103:B103"/>
    <mergeCell ref="A104:B104"/>
    <mergeCell ref="A105:B105"/>
    <mergeCell ref="A116:B116"/>
    <mergeCell ref="A117:B117"/>
    <mergeCell ref="A118:B118"/>
    <mergeCell ref="A120:B120"/>
    <mergeCell ref="A121:B121"/>
    <mergeCell ref="A122:B122"/>
    <mergeCell ref="A129:B129"/>
    <mergeCell ref="A132:B132"/>
    <mergeCell ref="A133:B133"/>
    <mergeCell ref="A134:B134"/>
    <mergeCell ref="A135:B135"/>
    <mergeCell ref="A136:B136"/>
    <mergeCell ref="A147:C147"/>
    <mergeCell ref="A148:B148"/>
    <mergeCell ref="A149:B149"/>
    <mergeCell ref="A150:B150"/>
    <mergeCell ref="A152:B152"/>
    <mergeCell ref="A153:B153"/>
    <mergeCell ref="A154:B154"/>
    <mergeCell ref="A171:B171"/>
    <mergeCell ref="A172:B172"/>
    <mergeCell ref="A173:B173"/>
    <mergeCell ref="A175:B175"/>
    <mergeCell ref="A176:B176"/>
    <mergeCell ref="A177:B177"/>
    <mergeCell ref="A183:B183"/>
    <mergeCell ref="A194:B194"/>
    <mergeCell ref="A195:B195"/>
    <mergeCell ref="A196:B196"/>
    <mergeCell ref="A198:B198"/>
    <mergeCell ref="A199:B199"/>
    <mergeCell ref="A200:B200"/>
    <mergeCell ref="A207:B207"/>
    <mergeCell ref="A213:C213"/>
    <mergeCell ref="A214:B214"/>
    <mergeCell ref="A225:B225"/>
    <mergeCell ref="A226:B226"/>
    <mergeCell ref="A227:B227"/>
    <mergeCell ref="A229:B229"/>
    <mergeCell ref="A230:B230"/>
    <mergeCell ref="A231:B231"/>
    <mergeCell ref="A238:B238"/>
    <mergeCell ref="A244:B244"/>
    <mergeCell ref="A255:B255"/>
    <mergeCell ref="A256:B256"/>
    <mergeCell ref="A257:B257"/>
    <mergeCell ref="A259:B259"/>
    <mergeCell ref="A260:B260"/>
    <mergeCell ref="A261:B261"/>
    <mergeCell ref="A268:B268"/>
    <mergeCell ref="A274:B274"/>
    <mergeCell ref="A285:B285"/>
    <mergeCell ref="A286:B286"/>
    <mergeCell ref="A287:B287"/>
    <mergeCell ref="A289:B289"/>
    <mergeCell ref="A290:B290"/>
    <mergeCell ref="A291:B291"/>
    <mergeCell ref="A298:B298"/>
    <mergeCell ref="A304:B304"/>
    <mergeCell ref="A315:B315"/>
    <mergeCell ref="A316:B316"/>
    <mergeCell ref="A317:B317"/>
    <mergeCell ref="A319:B319"/>
    <mergeCell ref="A320:B320"/>
    <mergeCell ref="A321:B321"/>
    <mergeCell ref="A328:B328"/>
    <mergeCell ref="A334:C334"/>
  </mergeCells>
  <pageMargins left="1.2" right="0.95" top="0.75" bottom="0.75" header="0.3" footer="0.3"/>
  <pageSetup orientation="portrait" horizontalDpi="4294967295" verticalDpi="4294967295" scale="50" fitToWidth="1" fitToHeight="7" firstPageNumber="1" useFirstPageNumber="1" copies="1"/>
  <headerFooter differentFirst="1">
    <oddFooter>&amp;CANTHONY JAMES PARTNERS LLC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Royce Wall</cp:lastModifiedBy>
  <cp:lastPrinted>2024-10-02T13:58:54Z</cp:lastPrinted>
  <dcterms:created xsi:type="dcterms:W3CDTF">2011-12-29T17:33:09Z</dcterms:created>
  <dcterms:modified xsi:type="dcterms:W3CDTF">2026-02-13T17:56:00Z</dcterms:modified>
</cp:coreProperties>
</file>