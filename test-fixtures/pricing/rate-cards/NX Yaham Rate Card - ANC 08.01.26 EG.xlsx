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ncny.sharepoint.com/sites/ANC/Sales/# ANC Sales Department/Vendors &amp; Partnerships/Technology &amp; LED/Nitxeon/Product Pricing Direct to ANC/"/>
    </mc:Choice>
  </mc:AlternateContent>
  <xr:revisionPtr revIDLastSave="17" documentId="8_{613A6C13-3AFC-465D-A3BD-E4C38353D2F1}" xr6:coauthVersionLast="47" xr6:coauthVersionMax="47" xr10:uidLastSave="{6579CC0E-844C-4DF3-9938-D5B89A8AA196}"/>
  <bookViews>
    <workbookView xWindow="23070" yWindow="-21600" windowWidth="26010" windowHeight="20985" activeTab="1" xr2:uid="{00000000-000D-0000-FFFF-FFFF00000000}"/>
  </bookViews>
  <sheets>
    <sheet name="NX Outdoor Sport" sheetId="39" r:id="rId1"/>
    <sheet name="NX Indoor Sport" sheetId="38" r:id="rId2"/>
  </sheets>
  <definedNames>
    <definedName name="cree">#REF!</definedName>
    <definedName name="mc">#REF!</definedName>
    <definedName name="NICHIA">#REF!</definedName>
    <definedName name="NS">#REF!</definedName>
    <definedName name="Others">#REF!</definedName>
    <definedName name="_xlnm.Print_Area" localSheetId="1">'NX Indoor Sport'!$B$2:$C$64</definedName>
    <definedName name="_xlnm.Print_Area" localSheetId="0">'NX Outdoor Sport'!$B$2:$C$51</definedName>
    <definedName name="_xlnm.Print_Titles" localSheetId="1">'NX Indoor Sport'!$B:$C,'NX Indoor Sport'!$2:$7</definedName>
    <definedName name="_xlnm.Print_Titles" localSheetId="0">'NX Outdoor Sport'!$B:$C,'NX Outdoor Sport'!$2:$8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9" i="38" l="1"/>
  <c r="AL59" i="38"/>
  <c r="AK59" i="38"/>
  <c r="AJ59" i="38"/>
  <c r="AI59" i="38"/>
  <c r="AH59" i="38"/>
  <c r="AG59" i="38"/>
  <c r="AF59" i="38"/>
  <c r="AE59" i="38"/>
  <c r="AD59" i="38"/>
  <c r="AC59" i="38"/>
  <c r="AB59" i="38"/>
  <c r="AA59" i="38"/>
  <c r="Z59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F58" i="38"/>
  <c r="U60" i="39"/>
  <c r="T60" i="39"/>
  <c r="S60" i="39"/>
  <c r="R60" i="39"/>
  <c r="Q60" i="39"/>
  <c r="P60" i="39"/>
  <c r="O60" i="39"/>
  <c r="N60" i="39"/>
  <c r="M60" i="39"/>
  <c r="L60" i="39"/>
  <c r="K60" i="39"/>
  <c r="J60" i="39"/>
  <c r="I60" i="39"/>
  <c r="H60" i="39"/>
  <c r="G60" i="39"/>
  <c r="F60" i="39"/>
  <c r="E60" i="39"/>
  <c r="D60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7" i="39"/>
  <c r="D59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U57" i="39"/>
  <c r="T57" i="39"/>
  <c r="S57" i="39"/>
  <c r="R57" i="39"/>
  <c r="Q57" i="39"/>
  <c r="P57" i="39"/>
  <c r="O57" i="39"/>
  <c r="N57" i="39"/>
  <c r="M57" i="39"/>
  <c r="L57" i="39"/>
  <c r="K57" i="39"/>
  <c r="J57" i="39"/>
  <c r="I57" i="39"/>
  <c r="H57" i="39"/>
  <c r="G57" i="39"/>
  <c r="F57" i="39"/>
  <c r="E57" i="39"/>
  <c r="AM58" i="38"/>
  <c r="AL58" i="38"/>
  <c r="AK58" i="38"/>
  <c r="AJ58" i="38"/>
  <c r="AI58" i="38"/>
  <c r="AH58" i="38"/>
  <c r="AG58" i="38"/>
  <c r="AF58" i="38"/>
  <c r="AE58" i="38"/>
  <c r="AD58" i="38"/>
  <c r="AC58" i="38"/>
  <c r="AB58" i="38"/>
  <c r="AA58" i="38"/>
  <c r="Z58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AM57" i="38"/>
  <c r="AL57" i="38"/>
  <c r="AK57" i="38"/>
  <c r="AJ57" i="38"/>
  <c r="AI57" i="38"/>
  <c r="AH57" i="38"/>
  <c r="AG57" i="38"/>
  <c r="AF57" i="38"/>
  <c r="AE57" i="38"/>
  <c r="AD57" i="38"/>
  <c r="AC57" i="38"/>
  <c r="AB57" i="38"/>
  <c r="AA57" i="38"/>
  <c r="Z57" i="38"/>
  <c r="Y57" i="38"/>
  <c r="X57" i="38"/>
  <c r="W57" i="38"/>
  <c r="V57" i="38"/>
  <c r="U57" i="38"/>
  <c r="T57" i="38"/>
  <c r="S57" i="38"/>
  <c r="R57" i="38"/>
  <c r="Q57" i="38"/>
  <c r="P57" i="38"/>
  <c r="O57" i="38"/>
  <c r="N57" i="38"/>
  <c r="M57" i="38"/>
  <c r="L57" i="38"/>
  <c r="K57" i="38"/>
  <c r="J57" i="38"/>
  <c r="I57" i="38"/>
  <c r="H57" i="38"/>
  <c r="G57" i="38"/>
  <c r="F57" i="38"/>
  <c r="AM56" i="38"/>
  <c r="AL56" i="38"/>
  <c r="AK56" i="38"/>
  <c r="AJ56" i="38"/>
  <c r="AI56" i="38"/>
  <c r="AH56" i="38"/>
  <c r="AG56" i="38"/>
  <c r="AF56" i="38"/>
  <c r="AE56" i="38"/>
  <c r="AD56" i="38"/>
  <c r="AC56" i="38"/>
  <c r="AB56" i="38"/>
  <c r="AA56" i="38"/>
  <c r="Z56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AM54" i="38" l="1"/>
  <c r="AM55" i="38" s="1"/>
  <c r="AM60" i="38" s="1"/>
  <c r="AM41" i="38"/>
  <c r="AL41" i="38"/>
  <c r="AM23" i="38"/>
  <c r="AM42" i="38" s="1"/>
  <c r="AL23" i="38"/>
  <c r="AL54" i="38" s="1"/>
  <c r="AL55" i="38" s="1"/>
  <c r="AL60" i="38" s="1"/>
  <c r="AM22" i="38"/>
  <c r="AL22" i="38"/>
  <c r="AM21" i="38"/>
  <c r="AL21" i="38"/>
  <c r="AM20" i="38"/>
  <c r="AL20" i="38"/>
  <c r="AM17" i="38"/>
  <c r="AL17" i="38"/>
  <c r="AM16" i="38"/>
  <c r="AL16" i="38"/>
  <c r="AI41" i="38"/>
  <c r="AH41" i="38"/>
  <c r="AI23" i="38"/>
  <c r="AI42" i="38" s="1"/>
  <c r="AH23" i="38"/>
  <c r="AH54" i="38" s="1"/>
  <c r="AH55" i="38" s="1"/>
  <c r="AH60" i="38" s="1"/>
  <c r="AI22" i="38"/>
  <c r="AH22" i="38"/>
  <c r="AI21" i="38"/>
  <c r="AH21" i="38"/>
  <c r="AI20" i="38"/>
  <c r="AH20" i="38"/>
  <c r="AI17" i="38"/>
  <c r="AH17" i="38"/>
  <c r="AI16" i="38"/>
  <c r="AH16" i="38"/>
  <c r="AE42" i="38"/>
  <c r="AD42" i="38"/>
  <c r="AC42" i="38"/>
  <c r="AE41" i="38"/>
  <c r="AD41" i="38"/>
  <c r="AC41" i="38"/>
  <c r="AE25" i="38"/>
  <c r="AD25" i="38"/>
  <c r="AC25" i="38"/>
  <c r="AE23" i="38"/>
  <c r="AE54" i="38" s="1"/>
  <c r="AE55" i="38" s="1"/>
  <c r="AE60" i="38" s="1"/>
  <c r="AD23" i="38"/>
  <c r="AD54" i="38" s="1"/>
  <c r="AD55" i="38" s="1"/>
  <c r="AD60" i="38" s="1"/>
  <c r="AC23" i="38"/>
  <c r="AC54" i="38" s="1"/>
  <c r="AC55" i="38" s="1"/>
  <c r="AC60" i="38" s="1"/>
  <c r="AE16" i="38"/>
  <c r="AD16" i="38"/>
  <c r="AC16" i="38"/>
  <c r="Y42" i="38"/>
  <c r="X42" i="38"/>
  <c r="W42" i="38"/>
  <c r="Y41" i="38"/>
  <c r="X41" i="38"/>
  <c r="W41" i="38"/>
  <c r="Y25" i="38"/>
  <c r="X25" i="38"/>
  <c r="W25" i="38"/>
  <c r="Y23" i="38"/>
  <c r="Y54" i="38" s="1"/>
  <c r="Y55" i="38" s="1"/>
  <c r="Y60" i="38" s="1"/>
  <c r="X23" i="38"/>
  <c r="X54" i="38" s="1"/>
  <c r="X55" i="38" s="1"/>
  <c r="X60" i="38" s="1"/>
  <c r="W23" i="38"/>
  <c r="W54" i="38" s="1"/>
  <c r="W55" i="38" s="1"/>
  <c r="W60" i="38" s="1"/>
  <c r="Y21" i="38"/>
  <c r="X21" i="38"/>
  <c r="W21" i="38"/>
  <c r="Y16" i="38"/>
  <c r="X16" i="38"/>
  <c r="W16" i="38"/>
  <c r="AL42" i="38" l="1"/>
  <c r="AI54" i="38"/>
  <c r="AI55" i="38" s="1"/>
  <c r="AI60" i="38" s="1"/>
  <c r="AH42" i="38"/>
  <c r="S42" i="38" l="1"/>
  <c r="R42" i="38"/>
  <c r="Q42" i="38"/>
  <c r="S41" i="38"/>
  <c r="R41" i="38"/>
  <c r="Q41" i="38"/>
  <c r="S23" i="38"/>
  <c r="S54" i="38" s="1"/>
  <c r="S55" i="38" s="1"/>
  <c r="S60" i="38" s="1"/>
  <c r="R23" i="38"/>
  <c r="R54" i="38" s="1"/>
  <c r="R55" i="38" s="1"/>
  <c r="R60" i="38" s="1"/>
  <c r="Q23" i="38"/>
  <c r="Q54" i="38" s="1"/>
  <c r="Q55" i="38" s="1"/>
  <c r="Q60" i="38" s="1"/>
  <c r="S21" i="38"/>
  <c r="R21" i="38"/>
  <c r="Q21" i="38"/>
  <c r="S17" i="38"/>
  <c r="R17" i="38"/>
  <c r="Q17" i="38"/>
  <c r="S16" i="38"/>
  <c r="R16" i="38"/>
  <c r="Q16" i="38"/>
  <c r="E54" i="38" l="1"/>
  <c r="E55" i="38" s="1"/>
  <c r="D54" i="38"/>
  <c r="D55" i="38" s="1"/>
  <c r="AB42" i="38"/>
  <c r="AA42" i="38"/>
  <c r="Z42" i="38"/>
  <c r="V42" i="38"/>
  <c r="U42" i="38"/>
  <c r="T42" i="38"/>
  <c r="P42" i="38"/>
  <c r="O42" i="38"/>
  <c r="N42" i="38"/>
  <c r="E42" i="38"/>
  <c r="D42" i="38"/>
  <c r="AK41" i="38"/>
  <c r="AJ41" i="38"/>
  <c r="AG41" i="38"/>
  <c r="AF41" i="38"/>
  <c r="AB41" i="38"/>
  <c r="AA41" i="38"/>
  <c r="Z41" i="38"/>
  <c r="V41" i="38"/>
  <c r="U41" i="38"/>
  <c r="T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AB25" i="38"/>
  <c r="AA25" i="38"/>
  <c r="Z25" i="38"/>
  <c r="V25" i="38"/>
  <c r="U25" i="38"/>
  <c r="T25" i="38"/>
  <c r="M25" i="38"/>
  <c r="L25" i="38"/>
  <c r="K25" i="38"/>
  <c r="J25" i="38"/>
  <c r="I25" i="38"/>
  <c r="H25" i="38"/>
  <c r="G25" i="38"/>
  <c r="F25" i="38"/>
  <c r="AK23" i="38"/>
  <c r="AK42" i="38" s="1"/>
  <c r="AJ23" i="38"/>
  <c r="AJ42" i="38" s="1"/>
  <c r="AG23" i="38"/>
  <c r="AG54" i="38" s="1"/>
  <c r="AG55" i="38" s="1"/>
  <c r="AG60" i="38" s="1"/>
  <c r="AF23" i="38"/>
  <c r="AF42" i="38" s="1"/>
  <c r="AB23" i="38"/>
  <c r="AB54" i="38" s="1"/>
  <c r="AB55" i="38" s="1"/>
  <c r="AB60" i="38" s="1"/>
  <c r="AA23" i="38"/>
  <c r="AA54" i="38" s="1"/>
  <c r="AA55" i="38" s="1"/>
  <c r="AA60" i="38" s="1"/>
  <c r="Z23" i="38"/>
  <c r="Z54" i="38" s="1"/>
  <c r="Z55" i="38" s="1"/>
  <c r="Z60" i="38" s="1"/>
  <c r="V23" i="38"/>
  <c r="V54" i="38" s="1"/>
  <c r="V55" i="38" s="1"/>
  <c r="V60" i="38" s="1"/>
  <c r="U23" i="38"/>
  <c r="U54" i="38" s="1"/>
  <c r="U55" i="38" s="1"/>
  <c r="U60" i="38" s="1"/>
  <c r="T23" i="38"/>
  <c r="T54" i="38" s="1"/>
  <c r="T55" i="38" s="1"/>
  <c r="T60" i="38" s="1"/>
  <c r="P23" i="38"/>
  <c r="P54" i="38" s="1"/>
  <c r="P55" i="38" s="1"/>
  <c r="P60" i="38" s="1"/>
  <c r="O23" i="38"/>
  <c r="O54" i="38" s="1"/>
  <c r="O55" i="38" s="1"/>
  <c r="O60" i="38" s="1"/>
  <c r="N23" i="38"/>
  <c r="N54" i="38" s="1"/>
  <c r="N55" i="38" s="1"/>
  <c r="N60" i="38" s="1"/>
  <c r="M23" i="38"/>
  <c r="M42" i="38" s="1"/>
  <c r="L23" i="38"/>
  <c r="L54" i="38" s="1"/>
  <c r="L55" i="38" s="1"/>
  <c r="L60" i="38" s="1"/>
  <c r="K23" i="38"/>
  <c r="K42" i="38" s="1"/>
  <c r="J23" i="38"/>
  <c r="J42" i="38" s="1"/>
  <c r="I23" i="38"/>
  <c r="I42" i="38" s="1"/>
  <c r="H23" i="38"/>
  <c r="H54" i="38" s="1"/>
  <c r="H55" i="38" s="1"/>
  <c r="H60" i="38" s="1"/>
  <c r="G23" i="38"/>
  <c r="G42" i="38" s="1"/>
  <c r="F23" i="38"/>
  <c r="F42" i="38" s="1"/>
  <c r="AK22" i="38"/>
  <c r="AJ22" i="38"/>
  <c r="AG22" i="38"/>
  <c r="AF22" i="38"/>
  <c r="M22" i="38"/>
  <c r="L22" i="38"/>
  <c r="K22" i="38"/>
  <c r="J22" i="38"/>
  <c r="I22" i="38"/>
  <c r="H22" i="38"/>
  <c r="G22" i="38"/>
  <c r="F22" i="38"/>
  <c r="AK21" i="38"/>
  <c r="AJ21" i="38"/>
  <c r="AG21" i="38"/>
  <c r="AF21" i="38"/>
  <c r="V21" i="38"/>
  <c r="U21" i="38"/>
  <c r="T21" i="38"/>
  <c r="P21" i="38"/>
  <c r="O21" i="38"/>
  <c r="N21" i="38"/>
  <c r="M21" i="38"/>
  <c r="L21" i="38"/>
  <c r="K21" i="38"/>
  <c r="J21" i="38"/>
  <c r="I21" i="38"/>
  <c r="H21" i="38"/>
  <c r="G21" i="38"/>
  <c r="F21" i="38"/>
  <c r="D21" i="38"/>
  <c r="AK20" i="38"/>
  <c r="AJ20" i="38"/>
  <c r="AG20" i="38"/>
  <c r="AF20" i="38"/>
  <c r="M20" i="38"/>
  <c r="L20" i="38"/>
  <c r="K20" i="38"/>
  <c r="J20" i="38"/>
  <c r="I20" i="38"/>
  <c r="H20" i="38"/>
  <c r="G20" i="38"/>
  <c r="F20" i="38"/>
  <c r="E20" i="38"/>
  <c r="D20" i="38"/>
  <c r="AK17" i="38"/>
  <c r="AJ17" i="38"/>
  <c r="AG17" i="38"/>
  <c r="AF17" i="38"/>
  <c r="P17" i="38"/>
  <c r="O17" i="38"/>
  <c r="N17" i="38"/>
  <c r="M17" i="38"/>
  <c r="L17" i="38"/>
  <c r="K17" i="38"/>
  <c r="J17" i="38"/>
  <c r="I17" i="38"/>
  <c r="H17" i="38"/>
  <c r="G17" i="38"/>
  <c r="F17" i="38"/>
  <c r="AK16" i="38"/>
  <c r="AJ16" i="38"/>
  <c r="AG16" i="38"/>
  <c r="AF16" i="38"/>
  <c r="AB16" i="38"/>
  <c r="AA16" i="38"/>
  <c r="Z16" i="38"/>
  <c r="V16" i="38"/>
  <c r="U16" i="38"/>
  <c r="T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O55" i="39"/>
  <c r="O56" i="39" s="1"/>
  <c r="O61" i="39" s="1"/>
  <c r="N55" i="39"/>
  <c r="M55" i="39"/>
  <c r="M56" i="39" s="1"/>
  <c r="M61" i="39" s="1"/>
  <c r="L55" i="39"/>
  <c r="L56" i="39" s="1"/>
  <c r="L61" i="39" s="1"/>
  <c r="K55" i="39"/>
  <c r="K56" i="39" s="1"/>
  <c r="K61" i="39" s="1"/>
  <c r="J55" i="39"/>
  <c r="J56" i="39" s="1"/>
  <c r="J61" i="39" s="1"/>
  <c r="I55" i="39"/>
  <c r="I56" i="39" s="1"/>
  <c r="I61" i="39" s="1"/>
  <c r="H55" i="39"/>
  <c r="H56" i="39" s="1"/>
  <c r="H61" i="39" s="1"/>
  <c r="G55" i="39"/>
  <c r="G56" i="39" s="1"/>
  <c r="G61" i="39" s="1"/>
  <c r="F55" i="39"/>
  <c r="F56" i="39" s="1"/>
  <c r="F61" i="39" s="1"/>
  <c r="E55" i="39"/>
  <c r="E56" i="39" s="1"/>
  <c r="E61" i="39" s="1"/>
  <c r="D55" i="39"/>
  <c r="D56" i="39" s="1"/>
  <c r="D61" i="39" s="1"/>
  <c r="O43" i="39"/>
  <c r="N43" i="39"/>
  <c r="M43" i="39"/>
  <c r="L43" i="39"/>
  <c r="K43" i="39"/>
  <c r="J43" i="39"/>
  <c r="I43" i="39"/>
  <c r="H43" i="39"/>
  <c r="G43" i="39"/>
  <c r="F43" i="39"/>
  <c r="E43" i="39"/>
  <c r="D43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U24" i="39"/>
  <c r="U43" i="39" s="1"/>
  <c r="T24" i="39"/>
  <c r="T43" i="39" s="1"/>
  <c r="S24" i="39"/>
  <c r="S55" i="39" s="1"/>
  <c r="S56" i="39" s="1"/>
  <c r="S61" i="39" s="1"/>
  <c r="R24" i="39"/>
  <c r="R55" i="39" s="1"/>
  <c r="R56" i="39" s="1"/>
  <c r="R61" i="39" s="1"/>
  <c r="Q24" i="39"/>
  <c r="Q55" i="39" s="1"/>
  <c r="Q56" i="39" s="1"/>
  <c r="Q61" i="39" s="1"/>
  <c r="P24" i="39"/>
  <c r="P55" i="39" s="1"/>
  <c r="U23" i="39"/>
  <c r="T23" i="39"/>
  <c r="S23" i="39"/>
  <c r="R23" i="39"/>
  <c r="Q23" i="39"/>
  <c r="P23" i="39"/>
  <c r="O23" i="39"/>
  <c r="N23" i="39"/>
  <c r="G23" i="39"/>
  <c r="F23" i="39"/>
  <c r="E23" i="39"/>
  <c r="D23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AF54" i="38" l="1"/>
  <c r="AF55" i="38" s="1"/>
  <c r="AF60" i="38" s="1"/>
  <c r="K54" i="38"/>
  <c r="K55" i="38" s="1"/>
  <c r="K60" i="38" s="1"/>
  <c r="H42" i="38"/>
  <c r="AG42" i="38"/>
  <c r="G54" i="38"/>
  <c r="G55" i="38" s="1"/>
  <c r="G60" i="38" s="1"/>
  <c r="L42" i="38"/>
  <c r="M54" i="38"/>
  <c r="M55" i="38" s="1"/>
  <c r="M60" i="38" s="1"/>
  <c r="F54" i="38"/>
  <c r="F55" i="38" s="1"/>
  <c r="F60" i="38" s="1"/>
  <c r="I54" i="38"/>
  <c r="I55" i="38" s="1"/>
  <c r="I60" i="38" s="1"/>
  <c r="AJ54" i="38"/>
  <c r="AJ55" i="38" s="1"/>
  <c r="AJ60" i="38" s="1"/>
  <c r="J54" i="38"/>
  <c r="J55" i="38" s="1"/>
  <c r="J60" i="38" s="1"/>
  <c r="AK54" i="38"/>
  <c r="AK55" i="38" s="1"/>
  <c r="AK60" i="38" s="1"/>
  <c r="P56" i="39"/>
  <c r="P61" i="39" s="1"/>
  <c r="P43" i="39"/>
  <c r="N56" i="39"/>
  <c r="N61" i="39" s="1"/>
  <c r="U55" i="39"/>
  <c r="T55" i="39"/>
  <c r="Q43" i="39"/>
  <c r="R43" i="39"/>
  <c r="S43" i="39"/>
  <c r="U56" i="39" l="1"/>
  <c r="U61" i="39" s="1"/>
  <c r="T56" i="39"/>
  <c r="T61" i="39" s="1"/>
</calcChain>
</file>

<file path=xl/sharedStrings.xml><?xml version="1.0" encoding="utf-8"?>
<sst xmlns="http://schemas.openxmlformats.org/spreadsheetml/2006/main" count="1641" uniqueCount="198">
  <si>
    <t>Outdoor LED Screen Spec Sheet for ANC</t>
  </si>
  <si>
    <t>Smart module</t>
  </si>
  <si>
    <t>R2.5-MIP</t>
  </si>
  <si>
    <t xml:space="preserve">R4 </t>
  </si>
  <si>
    <t>R6</t>
  </si>
  <si>
    <t>R8</t>
  </si>
  <si>
    <t>R10</t>
  </si>
  <si>
    <t>A10</t>
  </si>
  <si>
    <t>HO10T</t>
  </si>
  <si>
    <t>HO8T</t>
  </si>
  <si>
    <t>HO6T</t>
  </si>
  <si>
    <t>Radiance</t>
  </si>
  <si>
    <t>Aura</t>
  </si>
  <si>
    <t>Halo - Fascia</t>
  </si>
  <si>
    <t>FIXED INSTALLATION</t>
  </si>
  <si>
    <t>STADIUM PERIMETER</t>
  </si>
  <si>
    <t>STADIUM FASCIA/ RIBBON</t>
  </si>
  <si>
    <t>2.5mm</t>
  </si>
  <si>
    <t>3.90625mm</t>
  </si>
  <si>
    <t>5.95mm</t>
  </si>
  <si>
    <t>8.33mm</t>
  </si>
  <si>
    <t>10.417mm</t>
  </si>
  <si>
    <t>10mm</t>
  </si>
  <si>
    <t>NationStar</t>
  </si>
  <si>
    <t>Sinyopto</t>
  </si>
  <si>
    <t>Physical
Parameters</t>
  </si>
  <si>
    <t>Pixel Configuration</t>
  </si>
  <si>
    <t>MIP 3 in 1</t>
  </si>
  <si>
    <t>3 in 1 SMD White</t>
  </si>
  <si>
    <t>3 in 1 SMD Black</t>
  </si>
  <si>
    <t>LED PKG</t>
  </si>
  <si>
    <t>MIP-A1010WN</t>
  </si>
  <si>
    <t>FM-Z1921</t>
  </si>
  <si>
    <t>RS-1921MBAR</t>
  </si>
  <si>
    <t>GF-ADW1921</t>
  </si>
  <si>
    <t>RS-2727MWAS</t>
  </si>
  <si>
    <t>GF-DW2727-P</t>
  </si>
  <si>
    <t>Driver IC</t>
  </si>
  <si>
    <t>ICN</t>
  </si>
  <si>
    <t>IM (W)</t>
  </si>
  <si>
    <t>IM (H)</t>
  </si>
  <si>
    <t>R (W)</t>
  </si>
  <si>
    <t>R (H)</t>
  </si>
  <si>
    <t>Pixel Pitch(mm)</t>
  </si>
  <si>
    <t>Module Resolution (WxH)</t>
  </si>
  <si>
    <t>Module Dimension</t>
  </si>
  <si>
    <t>240X270</t>
  </si>
  <si>
    <t>500X250</t>
  </si>
  <si>
    <t>500X333.33</t>
  </si>
  <si>
    <t>400X300</t>
  </si>
  <si>
    <t>Weight per Module(kg)</t>
  </si>
  <si>
    <t>LED Manufacturer</t>
  </si>
  <si>
    <t>No. of Modules per Cabinet (WxH)</t>
  </si>
  <si>
    <t>2X2</t>
  </si>
  <si>
    <t>2X4</t>
  </si>
  <si>
    <t>2X3</t>
  </si>
  <si>
    <t>4X3</t>
  </si>
  <si>
    <t>Cabinet Resolution (WxH)</t>
  </si>
  <si>
    <t>Cabinet Dimensions</t>
  </si>
  <si>
    <t>1000x1000x120</t>
  </si>
  <si>
    <t>Cabinet Surface Area(㎡)</t>
  </si>
  <si>
    <t>Weight per Cabinet (kg)</t>
  </si>
  <si>
    <t>Physical Pixel qty./sqm.</t>
  </si>
  <si>
    <t>Flatness of cabinet</t>
  </si>
  <si>
    <t>+/- 1.0</t>
  </si>
  <si>
    <t>Case material</t>
  </si>
  <si>
    <t>AL</t>
  </si>
  <si>
    <t>Service access（IM）</t>
  </si>
  <si>
    <t>magnetic</t>
  </si>
  <si>
    <t>Latch with 8 attachment points</t>
  </si>
  <si>
    <t>Latch</t>
  </si>
  <si>
    <t>Service access</t>
  </si>
  <si>
    <t>Front and Rear</t>
  </si>
  <si>
    <t>Top</t>
  </si>
  <si>
    <t>Optical
SpecificatioNS</t>
  </si>
  <si>
    <t>Max. Brightness(After Calibration at 6500K)</t>
  </si>
  <si>
    <t>Color Temperature Range</t>
  </si>
  <si>
    <t>3200-6500</t>
  </si>
  <si>
    <t>3200-9300</t>
  </si>
  <si>
    <t>Viewing Angle-Horizontal(50% brightness)</t>
  </si>
  <si>
    <t>160(-80/+80)</t>
  </si>
  <si>
    <t>140(-70/+70)</t>
  </si>
  <si>
    <t>Viewing Angle-Vertical(50% brightness)</t>
  </si>
  <si>
    <t>100(-55/+45)</t>
  </si>
  <si>
    <t>105(-50/+55)</t>
  </si>
  <si>
    <t>95(-60/+35)</t>
  </si>
  <si>
    <t>Visual Viewing Angle-Horizontal</t>
  </si>
  <si>
    <t>Visual Viewing Angle-Vertical</t>
  </si>
  <si>
    <t>115(-60/+55)</t>
  </si>
  <si>
    <t>120(-65/+55)</t>
  </si>
  <si>
    <t>130(-70/+60)</t>
  </si>
  <si>
    <t>110(-55/+55)</t>
  </si>
  <si>
    <t>105(-65/+40)</t>
  </si>
  <si>
    <t>Brightness Uniformity</t>
  </si>
  <si>
    <t>+/-1.5%</t>
  </si>
  <si>
    <t>Color Uniformity</t>
  </si>
  <si>
    <t>±0.05Cx,Cy</t>
  </si>
  <si>
    <t>Contrast Ratio</t>
  </si>
  <si>
    <t>≥ 3500</t>
  </si>
  <si>
    <t>≥ 8000</t>
  </si>
  <si>
    <t>≥ 4500</t>
  </si>
  <si>
    <t>≥ 6000</t>
  </si>
  <si>
    <t>Processing Depth</t>
  </si>
  <si>
    <t>Power Consumption (W/panel, Max.)</t>
  </si>
  <si>
    <t>Power Consumption (W/panel, Avg.)</t>
  </si>
  <si>
    <r>
      <rPr>
        <sz val="10"/>
        <rFont val="Arial"/>
        <family val="2"/>
      </rPr>
      <t>Power Consumption (W/</t>
    </r>
    <r>
      <rPr>
        <sz val="10"/>
        <rFont val="宋体"/>
        <charset val="134"/>
      </rPr>
      <t>㎡</t>
    </r>
    <r>
      <rPr>
        <sz val="10"/>
        <rFont val="Arial"/>
        <family val="2"/>
      </rPr>
      <t>, Max.)</t>
    </r>
  </si>
  <si>
    <t>Power Supply</t>
  </si>
  <si>
    <t>100 to 240</t>
  </si>
  <si>
    <t>Frame Rate(Hz)</t>
  </si>
  <si>
    <t>50 / 60</t>
  </si>
  <si>
    <t>Refresh Rate(Hz)</t>
  </si>
  <si>
    <t>≥5040</t>
  </si>
  <si>
    <t>≥7680</t>
  </si>
  <si>
    <t>Operation
SpecificatioNS</t>
  </si>
  <si>
    <t>Lifetime (Half brightness)</t>
  </si>
  <si>
    <t>Operating Temperature</t>
  </si>
  <si>
    <r>
      <rPr>
        <sz val="10"/>
        <rFont val="Arial"/>
        <family val="2"/>
      </rPr>
      <t>-20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+50</t>
    </r>
    <r>
      <rPr>
        <sz val="10"/>
        <rFont val="宋体"/>
        <charset val="134"/>
      </rPr>
      <t>∘</t>
    </r>
  </si>
  <si>
    <t>-20∘to +50∘</t>
  </si>
  <si>
    <t>Operating Humidity</t>
  </si>
  <si>
    <t>&lt; 90% (Without condensation)</t>
  </si>
  <si>
    <t>IP rating Front</t>
  </si>
  <si>
    <t>IP66</t>
  </si>
  <si>
    <t>IP rating Rear</t>
  </si>
  <si>
    <t>Indoor LED Screen Spec Sheet for ANC</t>
  </si>
  <si>
    <t>AIO136</t>
  </si>
  <si>
    <t>AIO163</t>
  </si>
  <si>
    <t>C1.25-MIP (1G)</t>
  </si>
  <si>
    <r>
      <rPr>
        <b/>
        <u/>
        <sz val="11"/>
        <rFont val="Arial"/>
        <family val="2"/>
      </rPr>
      <t>C1.25-MIP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</si>
  <si>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C1.56-MIP (1G)</t>
  </si>
  <si>
    <r>
      <rPr>
        <b/>
        <u/>
        <sz val="11"/>
        <rFont val="Arial"/>
        <family val="2"/>
      </rPr>
      <t>C1.56-MIP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u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</si>
  <si>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C1.875-MIP (1G)</t>
  </si>
  <si>
    <r>
      <rPr>
        <b/>
        <u/>
        <sz val="11"/>
        <rFont val="Arial"/>
        <family val="2"/>
      </rPr>
      <t>C1.875-MIP (5G</t>
    </r>
    <r>
      <rPr>
        <b/>
        <u/>
        <sz val="11"/>
        <rFont val="宋体"/>
        <charset val="134"/>
      </rPr>
      <t>，DAC传输)</t>
    </r>
    <r>
      <rPr>
        <b/>
        <u/>
        <sz val="11"/>
        <rFont val="Arial"/>
        <family val="2"/>
      </rPr>
      <t>)</t>
    </r>
  </si>
  <si>
    <t>C2.5-MIP (1G)</t>
  </si>
  <si>
    <r>
      <rPr>
        <b/>
        <u/>
        <sz val="11"/>
        <rFont val="Arial"/>
        <family val="2"/>
      </rPr>
      <t>C2.5-MIP (5G</t>
    </r>
    <r>
      <rPr>
        <b/>
        <u/>
        <sz val="11"/>
        <rFont val="宋体"/>
        <charset val="134"/>
      </rPr>
      <t>，</t>
    </r>
    <r>
      <rPr>
        <b/>
        <u/>
        <sz val="11"/>
        <rFont val="Arial"/>
        <family val="2"/>
      </rPr>
      <t xml:space="preserve"> DAC</t>
    </r>
    <r>
      <rPr>
        <b/>
        <sz val="11"/>
        <rFont val="宋体"/>
        <charset val="134"/>
      </rPr>
      <t>传输</t>
    </r>
    <r>
      <rPr>
        <b/>
        <u/>
        <sz val="11"/>
        <rFont val="Arial"/>
        <family val="2"/>
      </rPr>
      <t>)</t>
    </r>
  </si>
  <si>
    <t>C4</t>
  </si>
  <si>
    <t>C6</t>
  </si>
  <si>
    <t>C10</t>
  </si>
  <si>
    <t>H6T</t>
  </si>
  <si>
    <t>H10T</t>
  </si>
  <si>
    <t>SMT with GOB</t>
  </si>
  <si>
    <t>MIP with GOB</t>
  </si>
  <si>
    <t>Corona</t>
  </si>
  <si>
    <t>1.5625mm</t>
  </si>
  <si>
    <t>1.875mm</t>
  </si>
  <si>
    <t>1.25mm</t>
  </si>
  <si>
    <t>4mm</t>
  </si>
  <si>
    <t>6mm</t>
  </si>
  <si>
    <t>SY</t>
  </si>
  <si>
    <t>XF-ADB1212-T</t>
  </si>
  <si>
    <t>RS-2020MBAR</t>
  </si>
  <si>
    <t>FM-B2020</t>
  </si>
  <si>
    <t>DP3365S</t>
  </si>
  <si>
    <t>250x281.25</t>
  </si>
  <si>
    <t>300x168.75</t>
  </si>
  <si>
    <t>240x240</t>
  </si>
  <si>
    <t>TBC</t>
  </si>
  <si>
    <t>SINYOPTO</t>
  </si>
  <si>
    <t>4x4</t>
  </si>
  <si>
    <t>1920x1080</t>
  </si>
  <si>
    <t>96x96</t>
  </si>
  <si>
    <t>3004x1692</t>
  </si>
  <si>
    <t>3604x2029</t>
  </si>
  <si>
    <t>960x960x97</t>
  </si>
  <si>
    <r>
      <rPr>
        <sz val="10"/>
        <rFont val="Arial"/>
        <family val="2"/>
      </rPr>
      <t>Cabinet Surface Area(</t>
    </r>
    <r>
      <rPr>
        <sz val="10"/>
        <rFont val="Arial Unicode MS"/>
        <family val="2"/>
      </rPr>
      <t>㎡</t>
    </r>
    <r>
      <rPr>
        <sz val="10"/>
        <rFont val="Arial"/>
        <family val="2"/>
      </rPr>
      <t>)</t>
    </r>
  </si>
  <si>
    <t>Diecast</t>
  </si>
  <si>
    <r>
      <rPr>
        <sz val="10"/>
        <rFont val="Arial"/>
        <family val="2"/>
      </rPr>
      <t>Service access</t>
    </r>
    <r>
      <rPr>
        <sz val="10"/>
        <rFont val="Arial Unicode MS"/>
        <family val="2"/>
      </rPr>
      <t>（</t>
    </r>
    <r>
      <rPr>
        <sz val="10"/>
        <rFont val="Arial"/>
        <family val="2"/>
      </rPr>
      <t>IM</t>
    </r>
    <r>
      <rPr>
        <sz val="10"/>
        <rFont val="Arial Unicode MS"/>
        <family val="2"/>
      </rPr>
      <t>）</t>
    </r>
  </si>
  <si>
    <t>Front</t>
  </si>
  <si>
    <t>135(-70/+65)</t>
  </si>
  <si>
    <t>140(-75+65)</t>
  </si>
  <si>
    <t>+/- 1.5%</t>
  </si>
  <si>
    <t>≥ 3000</t>
  </si>
  <si>
    <r>
      <rPr>
        <sz val="10"/>
        <rFont val="Arial"/>
        <family val="2"/>
      </rPr>
      <t>Power Consumption (W/</t>
    </r>
    <r>
      <rPr>
        <sz val="10"/>
        <rFont val="Arial Unicode MS"/>
        <family val="2"/>
      </rPr>
      <t>㎡</t>
    </r>
    <r>
      <rPr>
        <sz val="10"/>
        <rFont val="Arial"/>
        <family val="2"/>
      </rPr>
      <t>, Max.)</t>
    </r>
  </si>
  <si>
    <t>≥3840</t>
  </si>
  <si>
    <t>≥6000</t>
  </si>
  <si>
    <r>
      <rPr>
        <sz val="10"/>
        <rFont val="Arial"/>
        <family val="2"/>
      </rPr>
      <t>-10</t>
    </r>
    <r>
      <rPr>
        <sz val="10"/>
        <rFont val="Arial Unicode MS"/>
        <family val="2"/>
      </rPr>
      <t>℃</t>
    </r>
    <r>
      <rPr>
        <sz val="10"/>
        <rFont val="Arial"/>
        <family val="2"/>
      </rPr>
      <t>to +40</t>
    </r>
    <r>
      <rPr>
        <sz val="10"/>
        <rFont val="Arial Unicode MS"/>
        <family val="2"/>
      </rPr>
      <t>℃</t>
    </r>
  </si>
  <si>
    <r>
      <rPr>
        <sz val="10"/>
        <rFont val="Arial"/>
        <family val="2"/>
      </rPr>
      <t>0</t>
    </r>
    <r>
      <rPr>
        <sz val="10"/>
        <rFont val="宋体"/>
        <charset val="134"/>
      </rPr>
      <t>∘</t>
    </r>
    <r>
      <rPr>
        <sz val="10"/>
        <rFont val="Arial"/>
        <family val="2"/>
      </rPr>
      <t>to +40</t>
    </r>
    <r>
      <rPr>
        <sz val="10"/>
        <rFont val="宋体"/>
        <charset val="134"/>
      </rPr>
      <t>∘</t>
    </r>
  </si>
  <si>
    <t>IP30</t>
  </si>
  <si>
    <t>IP40</t>
  </si>
  <si>
    <t>IP20</t>
  </si>
  <si>
    <t>MSP/Panel (USD) in Ex-work basis</t>
  </si>
  <si>
    <t>MSP/SQM (USD) in Ex-work basis</t>
  </si>
  <si>
    <t>MSP/SQFT (USD) in Ex-work basis</t>
  </si>
  <si>
    <t>MSP/Panel (USD) in Exwork basis</t>
    <phoneticPr fontId="0" type="noConversion"/>
  </si>
  <si>
    <t>MSP/SQM (USD) in Exwork basis</t>
    <phoneticPr fontId="0" type="noConversion"/>
  </si>
  <si>
    <t>MSP/SQFT (USD) in Exwork basis</t>
  </si>
  <si>
    <t>C4(5G)</t>
  </si>
  <si>
    <t>C6(5G)</t>
  </si>
  <si>
    <t>C10(5G)</t>
  </si>
  <si>
    <t>H6T(5G)</t>
  </si>
  <si>
    <t>H10T(5G)</t>
  </si>
  <si>
    <t>Update on 2026/07/22</t>
  </si>
  <si>
    <t>Last price as of 2026/07/22</t>
  </si>
  <si>
    <t>Vessel Shipping - MSP/SQFT (USD)</t>
  </si>
  <si>
    <t>Cabinet Width - FT</t>
  </si>
  <si>
    <t>Cabinet Height - FT</t>
  </si>
  <si>
    <t>Curtomizable Width - FT</t>
  </si>
  <si>
    <t>Customizable Height - FT</t>
  </si>
  <si>
    <t>Custom Cost - MSP/SQFT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</si>
</sst>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[Red]\(#,##0.0000\)"/>
    <numFmt numFmtId="165" formatCode="#,##0.0_);[Red]\(#,##0.0\)"/>
    <numFmt numFmtId="166" formatCode="#,##0.000;[Red]\-#,##0.000"/>
    <numFmt numFmtId="167" formatCode="_(* #,##0_);_(* \(#,##0\);_(* &quot;-&quot;??_);_(@_)"/>
    <numFmt numFmtId="168" formatCode="#,##0.000_ ;[Red]\-#,##0.000\ "/>
    <numFmt numFmtId="169" formatCode="&quot;US$&quot;#,##0_);[Red]\(&quot;US$&quot;#,##0\)"/>
    <numFmt numFmtId="170" formatCode="#,##0.0;[Red]\-#,##0.0"/>
    <numFmt numFmtId="171" formatCode="#,##0.000_);[Red]\(#,##0.000\)"/>
  </numFmts>
  <fonts count="21">
    <font>
      <sz val="11"/>
      <color theme="1"/>
      <name val="Calibri"/>
      <charset val="134"/>
      <scheme val="minor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宋体"/>
      <charset val="134"/>
    </font>
    <font>
      <sz val="11"/>
      <name val="Calibri"/>
      <family val="4"/>
      <charset val="134"/>
      <scheme val="minor"/>
    </font>
    <font>
      <sz val="11"/>
      <color theme="1"/>
      <name val="Calibri"/>
      <family val="4"/>
      <charset val="134"/>
      <scheme val="minor"/>
    </font>
    <font>
      <sz val="10"/>
      <color indexed="8"/>
      <name val="MS Sans Serif"/>
      <charset val="134"/>
    </font>
    <font>
      <b/>
      <u/>
      <sz val="11"/>
      <name val="宋体"/>
      <charset val="134"/>
    </font>
    <font>
      <b/>
      <sz val="11"/>
      <name val="宋体"/>
      <charset val="134"/>
    </font>
    <font>
      <sz val="10"/>
      <name val="Arial Unicode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9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/>
    <xf numFmtId="44" fontId="19" fillId="0" borderId="0" applyFont="0" applyFill="0" applyBorder="0" applyAlignment="0" applyProtection="0"/>
  </cellStyleXfs>
  <cellXfs count="260">
    <xf numFmtId="0" fontId="0" fillId="0" borderId="0" xfId="0"/>
    <xf numFmtId="38" fontId="1" fillId="0" borderId="0" xfId="0" applyNumberFormat="1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38" fontId="3" fillId="2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40" fontId="3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38" fontId="2" fillId="2" borderId="0" xfId="0" applyNumberFormat="1" applyFont="1" applyFill="1" applyAlignment="1">
      <alignment vertical="center"/>
    </xf>
    <xf numFmtId="38" fontId="3" fillId="0" borderId="0" xfId="0" applyNumberFormat="1" applyFont="1" applyAlignment="1">
      <alignment vertical="center" wrapText="1"/>
    </xf>
    <xf numFmtId="38" fontId="4" fillId="0" borderId="0" xfId="0" applyNumberFormat="1" applyFont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3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left" vertical="center"/>
    </xf>
    <xf numFmtId="38" fontId="1" fillId="0" borderId="1" xfId="0" applyNumberFormat="1" applyFont="1" applyBorder="1" applyAlignment="1">
      <alignment vertical="center"/>
    </xf>
    <xf numFmtId="38" fontId="7" fillId="0" borderId="0" xfId="0" applyNumberFormat="1" applyFont="1" applyAlignment="1">
      <alignment horizontal="left" vertical="center"/>
    </xf>
    <xf numFmtId="38" fontId="7" fillId="0" borderId="0" xfId="0" applyNumberFormat="1" applyFont="1" applyAlignment="1">
      <alignment horizontal="center" vertical="center"/>
    </xf>
    <xf numFmtId="38" fontId="8" fillId="3" borderId="2" xfId="0" applyNumberFormat="1" applyFont="1" applyFill="1" applyBorder="1" applyAlignment="1">
      <alignment horizontal="center" vertical="center"/>
    </xf>
    <xf numFmtId="38" fontId="8" fillId="3" borderId="3" xfId="0" applyNumberFormat="1" applyFont="1" applyFill="1" applyBorder="1" applyAlignment="1">
      <alignment horizontal="center" vertical="center"/>
    </xf>
    <xf numFmtId="38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8" fontId="6" fillId="3" borderId="7" xfId="0" applyNumberFormat="1" applyFont="1" applyFill="1" applyBorder="1" applyAlignment="1">
      <alignment horizontal="center" vertical="center"/>
    </xf>
    <xf numFmtId="38" fontId="6" fillId="3" borderId="8" xfId="0" applyNumberFormat="1" applyFont="1" applyFill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4" borderId="12" xfId="10" applyNumberFormat="1" applyFont="1" applyFill="1" applyBorder="1" applyAlignment="1">
      <alignment horizontal="center" vertical="center"/>
    </xf>
    <xf numFmtId="38" fontId="2" fillId="5" borderId="13" xfId="10" applyNumberFormat="1" applyFont="1" applyFill="1" applyBorder="1" applyAlignment="1">
      <alignment horizontal="center" vertical="center"/>
    </xf>
    <xf numFmtId="38" fontId="2" fillId="5" borderId="14" xfId="10" applyNumberFormat="1" applyFont="1" applyFill="1" applyBorder="1" applyAlignment="1">
      <alignment horizontal="center" vertical="center"/>
    </xf>
    <xf numFmtId="38" fontId="2" fillId="4" borderId="13" xfId="10" applyNumberFormat="1" applyFont="1" applyFill="1" applyBorder="1" applyAlignment="1">
      <alignment horizontal="center" vertical="center"/>
    </xf>
    <xf numFmtId="38" fontId="2" fillId="4" borderId="14" xfId="10" applyNumberFormat="1" applyFont="1" applyFill="1" applyBorder="1" applyAlignment="1">
      <alignment horizontal="center" vertical="center"/>
    </xf>
    <xf numFmtId="167" fontId="2" fillId="0" borderId="0" xfId="2" applyNumberFormat="1" applyFont="1" applyAlignment="1">
      <alignment horizontal="left" vertical="center"/>
    </xf>
    <xf numFmtId="38" fontId="2" fillId="4" borderId="15" xfId="10" applyNumberFormat="1" applyFont="1" applyFill="1" applyBorder="1" applyAlignment="1">
      <alignment horizontal="center" vertical="center"/>
    </xf>
    <xf numFmtId="38" fontId="2" fillId="5" borderId="16" xfId="10" applyNumberFormat="1" applyFont="1" applyFill="1" applyBorder="1" applyAlignment="1">
      <alignment horizontal="center" vertical="center"/>
    </xf>
    <xf numFmtId="38" fontId="2" fillId="5" borderId="17" xfId="10" applyNumberFormat="1" applyFont="1" applyFill="1" applyBorder="1" applyAlignment="1">
      <alignment horizontal="center" vertical="center"/>
    </xf>
    <xf numFmtId="38" fontId="3" fillId="0" borderId="18" xfId="0" applyNumberFormat="1" applyFont="1" applyBorder="1" applyAlignment="1">
      <alignment vertical="center"/>
    </xf>
    <xf numFmtId="38" fontId="3" fillId="0" borderId="14" xfId="10" applyNumberFormat="1" applyBorder="1" applyAlignment="1">
      <alignment horizontal="center" vertical="center" wrapText="1"/>
    </xf>
    <xf numFmtId="38" fontId="3" fillId="0" borderId="13" xfId="10" applyNumberFormat="1" applyBorder="1" applyAlignment="1">
      <alignment horizontal="center" vertical="center" wrapText="1"/>
    </xf>
    <xf numFmtId="38" fontId="3" fillId="2" borderId="13" xfId="10" applyNumberFormat="1" applyFill="1" applyBorder="1" applyAlignment="1">
      <alignment horizontal="center" vertical="center" wrapText="1"/>
    </xf>
    <xf numFmtId="38" fontId="3" fillId="2" borderId="14" xfId="10" applyNumberForma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vertical="center"/>
    </xf>
    <xf numFmtId="38" fontId="3" fillId="2" borderId="20" xfId="0" applyNumberFormat="1" applyFont="1" applyFill="1" applyBorder="1" applyAlignment="1">
      <alignment vertical="center"/>
    </xf>
    <xf numFmtId="38" fontId="3" fillId="0" borderId="15" xfId="11" applyNumberFormat="1" applyBorder="1" applyAlignment="1">
      <alignment horizontal="center" vertical="center" wrapText="1"/>
    </xf>
    <xf numFmtId="38" fontId="3" fillId="0" borderId="19" xfId="11" applyNumberFormat="1" applyBorder="1" applyAlignment="1">
      <alignment horizontal="center" vertical="center" wrapText="1"/>
    </xf>
    <xf numFmtId="38" fontId="3" fillId="2" borderId="19" xfId="11" applyNumberFormat="1" applyFill="1" applyBorder="1" applyAlignment="1">
      <alignment horizontal="center" vertical="center" wrapText="1"/>
    </xf>
    <xf numFmtId="38" fontId="3" fillId="2" borderId="15" xfId="11" applyNumberFormat="1" applyFill="1" applyBorder="1" applyAlignment="1">
      <alignment horizontal="center" vertical="center" wrapText="1"/>
    </xf>
    <xf numFmtId="38" fontId="3" fillId="0" borderId="20" xfId="0" applyNumberFormat="1" applyFont="1" applyBorder="1" applyAlignment="1">
      <alignment vertical="center"/>
    </xf>
    <xf numFmtId="38" fontId="3" fillId="0" borderId="19" xfId="10" applyNumberFormat="1" applyBorder="1" applyAlignment="1">
      <alignment horizontal="center" vertical="center" wrapText="1"/>
    </xf>
    <xf numFmtId="38" fontId="3" fillId="0" borderId="15" xfId="10" applyNumberFormat="1" applyBorder="1" applyAlignment="1">
      <alignment horizontal="center" vertical="center" wrapText="1"/>
    </xf>
    <xf numFmtId="38" fontId="3" fillId="0" borderId="20" xfId="0" applyNumberFormat="1" applyFont="1" applyBorder="1" applyAlignment="1">
      <alignment horizontal="left" vertical="center"/>
    </xf>
    <xf numFmtId="38" fontId="3" fillId="0" borderId="21" xfId="10" applyNumberForma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/>
    </xf>
    <xf numFmtId="164" fontId="3" fillId="0" borderId="23" xfId="0" applyNumberFormat="1" applyFont="1" applyBorder="1" applyAlignment="1">
      <alignment horizontal="left" vertical="center"/>
    </xf>
    <xf numFmtId="164" fontId="3" fillId="0" borderId="22" xfId="10" applyNumberFormat="1" applyBorder="1" applyAlignment="1">
      <alignment horizontal="center" vertical="center"/>
    </xf>
    <xf numFmtId="164" fontId="3" fillId="0" borderId="15" xfId="10" applyNumberFormat="1" applyBorder="1" applyAlignment="1">
      <alignment horizontal="center" vertical="center"/>
    </xf>
    <xf numFmtId="38" fontId="3" fillId="2" borderId="23" xfId="0" applyNumberFormat="1" applyFont="1" applyFill="1" applyBorder="1" applyAlignment="1">
      <alignment horizontal="left" vertical="center"/>
    </xf>
    <xf numFmtId="38" fontId="3" fillId="0" borderId="15" xfId="10" applyNumberFormat="1" applyBorder="1" applyAlignment="1">
      <alignment horizontal="center" vertical="center"/>
    </xf>
    <xf numFmtId="38" fontId="3" fillId="2" borderId="23" xfId="0" applyNumberFormat="1" applyFont="1" applyFill="1" applyBorder="1" applyAlignment="1">
      <alignment vertical="center"/>
    </xf>
    <xf numFmtId="38" fontId="3" fillId="0" borderId="15" xfId="0" applyNumberFormat="1" applyFont="1" applyBorder="1" applyAlignment="1">
      <alignment horizontal="center" vertical="center"/>
    </xf>
    <xf numFmtId="40" fontId="3" fillId="0" borderId="1" xfId="0" applyNumberFormat="1" applyFont="1" applyBorder="1" applyAlignment="1">
      <alignment vertical="center"/>
    </xf>
    <xf numFmtId="40" fontId="3" fillId="0" borderId="23" xfId="0" applyNumberFormat="1" applyFont="1" applyBorder="1" applyAlignment="1">
      <alignment vertical="center"/>
    </xf>
    <xf numFmtId="40" fontId="3" fillId="0" borderId="15" xfId="0" applyNumberFormat="1" applyFont="1" applyBorder="1" applyAlignment="1">
      <alignment horizontal="center" vertical="center"/>
    </xf>
    <xf numFmtId="40" fontId="3" fillId="0" borderId="22" xfId="0" applyNumberFormat="1" applyFont="1" applyBorder="1" applyAlignment="1">
      <alignment horizontal="center" vertical="center"/>
    </xf>
    <xf numFmtId="38" fontId="3" fillId="2" borderId="23" xfId="0" applyNumberFormat="1" applyFont="1" applyFill="1" applyBorder="1" applyAlignment="1">
      <alignment vertical="center" wrapText="1"/>
    </xf>
    <xf numFmtId="38" fontId="3" fillId="0" borderId="22" xfId="10" applyNumberFormat="1" applyBorder="1" applyAlignment="1">
      <alignment horizontal="center" vertical="center" wrapText="1"/>
    </xf>
    <xf numFmtId="38" fontId="3" fillId="0" borderId="15" xfId="11" applyNumberFormat="1" applyBorder="1" applyAlignment="1">
      <alignment horizontal="center" vertical="center"/>
    </xf>
    <xf numFmtId="38" fontId="3" fillId="0" borderId="22" xfId="10" applyNumberFormat="1" applyBorder="1" applyAlignment="1">
      <alignment horizontal="center" vertical="center"/>
    </xf>
    <xf numFmtId="38" fontId="3" fillId="0" borderId="22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3" fillId="2" borderId="23" xfId="0" applyNumberFormat="1" applyFont="1" applyFill="1" applyBorder="1" applyAlignment="1">
      <alignment vertical="center"/>
    </xf>
    <xf numFmtId="164" fontId="3" fillId="0" borderId="15" xfId="11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165" fontId="3" fillId="0" borderId="15" xfId="11" applyNumberFormat="1" applyBorder="1" applyAlignment="1">
      <alignment horizontal="center" vertical="center"/>
    </xf>
    <xf numFmtId="165" fontId="3" fillId="0" borderId="22" xfId="11" applyNumberFormat="1" applyBorder="1" applyAlignment="1">
      <alignment horizontal="center" vertical="center"/>
    </xf>
    <xf numFmtId="38" fontId="3" fillId="0" borderId="23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38" fontId="3" fillId="0" borderId="25" xfId="0" applyNumberFormat="1" applyFont="1" applyBorder="1" applyAlignment="1">
      <alignment vertical="center"/>
    </xf>
    <xf numFmtId="38" fontId="3" fillId="0" borderId="26" xfId="11" applyNumberFormat="1" applyBorder="1" applyAlignment="1">
      <alignment horizontal="center" vertical="center"/>
    </xf>
    <xf numFmtId="38" fontId="3" fillId="0" borderId="24" xfId="10" applyNumberFormat="1" applyBorder="1" applyAlignment="1">
      <alignment horizontal="center" vertical="center"/>
    </xf>
    <xf numFmtId="38" fontId="3" fillId="0" borderId="28" xfId="0" applyNumberFormat="1" applyFont="1" applyBorder="1" applyAlignment="1">
      <alignment vertical="center"/>
    </xf>
    <xf numFmtId="38" fontId="3" fillId="0" borderId="29" xfId="11" applyNumberFormat="1" applyBorder="1" applyAlignment="1">
      <alignment horizontal="center" vertical="center"/>
    </xf>
    <xf numFmtId="38" fontId="3" fillId="0" borderId="27" xfId="11" applyNumberFormat="1" applyBorder="1" applyAlignment="1">
      <alignment horizontal="center" vertical="center"/>
    </xf>
    <xf numFmtId="38" fontId="3" fillId="0" borderId="31" xfId="0" applyNumberFormat="1" applyFont="1" applyBorder="1" applyAlignment="1">
      <alignment vertical="center"/>
    </xf>
    <xf numFmtId="38" fontId="3" fillId="0" borderId="21" xfId="11" applyNumberFormat="1" applyBorder="1" applyAlignment="1">
      <alignment horizontal="center" vertical="center"/>
    </xf>
    <xf numFmtId="38" fontId="3" fillId="0" borderId="22" xfId="0" applyNumberFormat="1" applyFont="1" applyBorder="1" applyAlignment="1">
      <alignment horizontal="center" vertical="center" wrapText="1"/>
    </xf>
    <xf numFmtId="38" fontId="3" fillId="2" borderId="22" xfId="10" applyNumberFormat="1" applyFill="1" applyBorder="1" applyAlignment="1">
      <alignment horizontal="center" vertical="center"/>
    </xf>
    <xf numFmtId="38" fontId="3" fillId="2" borderId="15" xfId="10" applyNumberForma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vertical="center"/>
    </xf>
    <xf numFmtId="38" fontId="3" fillId="0" borderId="27" xfId="0" applyNumberFormat="1" applyFont="1" applyBorder="1" applyAlignment="1">
      <alignment horizontal="center" vertical="center" wrapText="1"/>
    </xf>
    <xf numFmtId="38" fontId="3" fillId="2" borderId="28" xfId="0" applyNumberFormat="1" applyFont="1" applyFill="1" applyBorder="1" applyAlignment="1">
      <alignment vertical="center"/>
    </xf>
    <xf numFmtId="38" fontId="3" fillId="0" borderId="27" xfId="10" applyNumberFormat="1" applyBorder="1" applyAlignment="1">
      <alignment horizontal="center" vertical="center"/>
    </xf>
    <xf numFmtId="38" fontId="3" fillId="0" borderId="29" xfId="10" applyNumberFormat="1" applyBorder="1" applyAlignment="1">
      <alignment horizontal="center" vertical="center"/>
    </xf>
    <xf numFmtId="38" fontId="3" fillId="0" borderId="19" xfId="0" applyNumberFormat="1" applyFont="1" applyBorder="1" applyAlignment="1">
      <alignment horizontal="center" vertical="center" wrapText="1"/>
    </xf>
    <xf numFmtId="38" fontId="3" fillId="0" borderId="30" xfId="11" applyNumberFormat="1" applyBorder="1" applyAlignment="1">
      <alignment horizontal="center" vertical="center"/>
    </xf>
    <xf numFmtId="38" fontId="3" fillId="0" borderId="23" xfId="0" applyNumberFormat="1" applyFont="1" applyBorder="1" applyAlignment="1">
      <alignment horizontal="left" vertical="center"/>
    </xf>
    <xf numFmtId="38" fontId="3" fillId="0" borderId="29" xfId="0" applyNumberFormat="1" applyFont="1" applyBorder="1" applyAlignment="1">
      <alignment horizontal="center" vertical="center"/>
    </xf>
    <xf numFmtId="38" fontId="3" fillId="0" borderId="27" xfId="0" applyNumberFormat="1" applyFont="1" applyBorder="1" applyAlignment="1">
      <alignment horizontal="center" vertical="center"/>
    </xf>
    <xf numFmtId="38" fontId="3" fillId="2" borderId="31" xfId="0" applyNumberFormat="1" applyFont="1" applyFill="1" applyBorder="1" applyAlignment="1">
      <alignment vertical="center"/>
    </xf>
    <xf numFmtId="38" fontId="3" fillId="0" borderId="21" xfId="0" applyNumberFormat="1" applyFont="1" applyBorder="1" applyAlignment="1">
      <alignment horizontal="center" vertical="center"/>
    </xf>
    <xf numFmtId="38" fontId="3" fillId="2" borderId="30" xfId="0" applyNumberFormat="1" applyFont="1" applyFill="1" applyBorder="1" applyAlignment="1">
      <alignment horizontal="center" vertical="center"/>
    </xf>
    <xf numFmtId="38" fontId="3" fillId="2" borderId="15" xfId="0" applyNumberFormat="1" applyFont="1" applyFill="1" applyBorder="1" applyAlignment="1">
      <alignment horizontal="center" vertical="center"/>
    </xf>
    <xf numFmtId="38" fontId="3" fillId="0" borderId="1" xfId="0" applyNumberFormat="1" applyFont="1" applyBorder="1" applyAlignment="1">
      <alignment vertical="center" wrapText="1"/>
    </xf>
    <xf numFmtId="38" fontId="3" fillId="0" borderId="23" xfId="0" applyNumberFormat="1" applyFont="1" applyBorder="1" applyAlignment="1">
      <alignment vertical="center" wrapText="1"/>
    </xf>
    <xf numFmtId="38" fontId="3" fillId="0" borderId="15" xfId="0" applyNumberFormat="1" applyFont="1" applyBorder="1" applyAlignment="1">
      <alignment horizontal="center" vertical="center" wrapText="1"/>
    </xf>
    <xf numFmtId="38" fontId="3" fillId="0" borderId="33" xfId="0" applyNumberFormat="1" applyFont="1" applyBorder="1" applyAlignment="1">
      <alignment vertical="center"/>
    </xf>
    <xf numFmtId="38" fontId="3" fillId="0" borderId="34" xfId="11" applyNumberFormat="1" applyBorder="1" applyAlignment="1">
      <alignment horizontal="center" vertical="center"/>
    </xf>
    <xf numFmtId="38" fontId="3" fillId="0" borderId="32" xfId="10" applyNumberFormat="1" applyBorder="1" applyAlignment="1">
      <alignment horizontal="center" vertical="center"/>
    </xf>
    <xf numFmtId="38" fontId="3" fillId="0" borderId="34" xfId="10" applyNumberFormat="1" applyBorder="1" applyAlignment="1">
      <alignment horizontal="center" vertical="center"/>
    </xf>
    <xf numFmtId="38" fontId="3" fillId="0" borderId="35" xfId="11" applyNumberFormat="1" applyBorder="1" applyAlignment="1">
      <alignment horizontal="center" vertical="center"/>
    </xf>
    <xf numFmtId="38" fontId="3" fillId="0" borderId="0" xfId="10" applyNumberFormat="1" applyAlignment="1">
      <alignment horizontal="center" vertical="center"/>
    </xf>
    <xf numFmtId="38" fontId="4" fillId="0" borderId="1" xfId="0" applyNumberFormat="1" applyFont="1" applyBorder="1" applyAlignment="1">
      <alignment vertical="center"/>
    </xf>
    <xf numFmtId="38" fontId="10" fillId="6" borderId="39" xfId="0" applyNumberFormat="1" applyFont="1" applyFill="1" applyBorder="1" applyAlignment="1">
      <alignment horizontal="center" vertical="center"/>
    </xf>
    <xf numFmtId="170" fontId="3" fillId="0" borderId="0" xfId="0" applyNumberFormat="1" applyFont="1" applyAlignment="1">
      <alignment vertical="center"/>
    </xf>
    <xf numFmtId="38" fontId="0" fillId="0" borderId="0" xfId="0" applyNumberFormat="1" applyAlignment="1">
      <alignment vertical="center"/>
    </xf>
    <xf numFmtId="38" fontId="12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38" fontId="7" fillId="3" borderId="41" xfId="0" applyNumberFormat="1" applyFont="1" applyFill="1" applyBorder="1" applyAlignment="1">
      <alignment horizontal="center" vertical="center"/>
    </xf>
    <xf numFmtId="38" fontId="7" fillId="3" borderId="44" xfId="0" applyNumberFormat="1" applyFont="1" applyFill="1" applyBorder="1" applyAlignment="1">
      <alignment horizontal="center" vertical="center"/>
    </xf>
    <xf numFmtId="38" fontId="2" fillId="7" borderId="47" xfId="10" applyNumberFormat="1" applyFont="1" applyFill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2" fillId="4" borderId="50" xfId="0" applyNumberFormat="1" applyFont="1" applyFill="1" applyBorder="1" applyAlignment="1">
      <alignment horizontal="center" vertical="center"/>
    </xf>
    <xf numFmtId="38" fontId="2" fillId="5" borderId="51" xfId="0" applyNumberFormat="1" applyFont="1" applyFill="1" applyBorder="1" applyAlignment="1">
      <alignment horizontal="center" vertical="center"/>
    </xf>
    <xf numFmtId="167" fontId="10" fillId="0" borderId="0" xfId="2" applyNumberFormat="1" applyFont="1" applyAlignment="1">
      <alignment horizontal="left" vertical="center"/>
    </xf>
    <xf numFmtId="38" fontId="2" fillId="4" borderId="22" xfId="10" applyNumberFormat="1" applyFont="1" applyFill="1" applyBorder="1" applyAlignment="1">
      <alignment horizontal="center" vertical="center"/>
    </xf>
    <xf numFmtId="38" fontId="2" fillId="5" borderId="52" xfId="10" applyNumberFormat="1" applyFont="1" applyFill="1" applyBorder="1" applyAlignment="1">
      <alignment horizontal="center" vertical="center"/>
    </xf>
    <xf numFmtId="38" fontId="2" fillId="9" borderId="53" xfId="10" applyNumberFormat="1" applyFont="1" applyFill="1" applyBorder="1" applyAlignment="1">
      <alignment horizontal="center" vertical="center"/>
    </xf>
    <xf numFmtId="38" fontId="2" fillId="9" borderId="22" xfId="10" applyNumberFormat="1" applyFont="1" applyFill="1" applyBorder="1" applyAlignment="1">
      <alignment horizontal="center" vertical="center"/>
    </xf>
    <xf numFmtId="38" fontId="2" fillId="9" borderId="55" xfId="10" applyNumberFormat="1" applyFont="1" applyFill="1" applyBorder="1" applyAlignment="1">
      <alignment horizontal="center" vertical="center"/>
    </xf>
    <xf numFmtId="38" fontId="3" fillId="0" borderId="13" xfId="0" applyNumberFormat="1" applyFont="1" applyBorder="1" applyAlignment="1">
      <alignment horizontal="center" vertical="center" wrapText="1"/>
    </xf>
    <xf numFmtId="38" fontId="3" fillId="0" borderId="56" xfId="10" applyNumberFormat="1" applyBorder="1" applyAlignment="1">
      <alignment horizontal="center" vertical="center" wrapText="1"/>
    </xf>
    <xf numFmtId="38" fontId="3" fillId="0" borderId="57" xfId="10" applyNumberFormat="1" applyBorder="1" applyAlignment="1">
      <alignment horizontal="center" vertical="center" wrapText="1"/>
    </xf>
    <xf numFmtId="38" fontId="3" fillId="0" borderId="58" xfId="11" applyNumberFormat="1" applyBorder="1" applyAlignment="1">
      <alignment horizontal="center" vertical="center" wrapText="1"/>
    </xf>
    <xf numFmtId="38" fontId="3" fillId="0" borderId="59" xfId="10" applyNumberFormat="1" applyBorder="1" applyAlignment="1">
      <alignment horizontal="center" vertical="center" wrapText="1"/>
    </xf>
    <xf numFmtId="40" fontId="3" fillId="0" borderId="23" xfId="0" applyNumberFormat="1" applyFont="1" applyBorder="1" applyAlignment="1">
      <alignment horizontal="left" vertical="center"/>
    </xf>
    <xf numFmtId="40" fontId="3" fillId="0" borderId="22" xfId="10" applyNumberFormat="1" applyBorder="1" applyAlignment="1">
      <alignment horizontal="center" vertical="center"/>
    </xf>
    <xf numFmtId="40" fontId="3" fillId="0" borderId="54" xfId="10" applyNumberFormat="1" applyBorder="1" applyAlignment="1">
      <alignment horizontal="center" vertical="center"/>
    </xf>
    <xf numFmtId="38" fontId="3" fillId="0" borderId="54" xfId="10" applyNumberFormat="1" applyBorder="1" applyAlignment="1">
      <alignment horizontal="center" vertical="center"/>
    </xf>
    <xf numFmtId="38" fontId="3" fillId="0" borderId="54" xfId="0" applyNumberFormat="1" applyFont="1" applyBorder="1" applyAlignment="1">
      <alignment horizontal="center" vertical="center"/>
    </xf>
    <xf numFmtId="40" fontId="3" fillId="0" borderId="54" xfId="0" applyNumberFormat="1" applyFont="1" applyBorder="1" applyAlignment="1">
      <alignment horizontal="center" vertical="center"/>
    </xf>
    <xf numFmtId="40" fontId="4" fillId="0" borderId="22" xfId="0" applyNumberFormat="1" applyFont="1" applyBorder="1" applyAlignment="1">
      <alignment horizontal="center" vertical="center"/>
    </xf>
    <xf numFmtId="38" fontId="3" fillId="0" borderId="54" xfId="10" applyNumberFormat="1" applyBorder="1" applyAlignment="1">
      <alignment horizontal="center" vertical="center" wrapText="1"/>
    </xf>
    <xf numFmtId="38" fontId="4" fillId="0" borderId="22" xfId="10" applyNumberFormat="1" applyFont="1" applyBorder="1" applyAlignment="1">
      <alignment horizontal="center" vertical="center" wrapText="1"/>
    </xf>
    <xf numFmtId="38" fontId="4" fillId="0" borderId="22" xfId="10" applyNumberFormat="1" applyFont="1" applyBorder="1" applyAlignment="1">
      <alignment horizontal="center" vertical="center"/>
    </xf>
    <xf numFmtId="38" fontId="4" fillId="0" borderId="22" xfId="0" applyNumberFormat="1" applyFont="1" applyBorder="1" applyAlignment="1">
      <alignment horizontal="center" vertical="center"/>
    </xf>
    <xf numFmtId="165" fontId="4" fillId="0" borderId="22" xfId="10" applyNumberFormat="1" applyFont="1" applyBorder="1" applyAlignment="1">
      <alignment horizontal="center" vertical="center"/>
    </xf>
    <xf numFmtId="40" fontId="4" fillId="0" borderId="22" xfId="1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vertical="center"/>
    </xf>
    <xf numFmtId="170" fontId="3" fillId="0" borderId="22" xfId="10" applyNumberFormat="1" applyBorder="1" applyAlignment="1">
      <alignment horizontal="center" vertical="center"/>
    </xf>
    <xf numFmtId="170" fontId="3" fillId="0" borderId="54" xfId="10" applyNumberFormat="1" applyBorder="1" applyAlignment="1">
      <alignment horizontal="center" vertical="center"/>
    </xf>
    <xf numFmtId="170" fontId="4" fillId="0" borderId="22" xfId="10" applyNumberFormat="1" applyFont="1" applyBorder="1" applyAlignment="1">
      <alignment horizontal="center" vertical="center"/>
    </xf>
    <xf numFmtId="49" fontId="3" fillId="0" borderId="54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38" fontId="3" fillId="0" borderId="24" xfId="0" applyNumberFormat="1" applyFont="1" applyBorder="1" applyAlignment="1">
      <alignment horizontal="center" vertical="center" wrapText="1"/>
    </xf>
    <xf numFmtId="38" fontId="3" fillId="0" borderId="54" xfId="0" applyNumberFormat="1" applyFont="1" applyBorder="1" applyAlignment="1">
      <alignment horizontal="center" vertical="center" wrapText="1"/>
    </xf>
    <xf numFmtId="38" fontId="3" fillId="0" borderId="60" xfId="10" applyNumberFormat="1" applyBorder="1" applyAlignment="1">
      <alignment horizontal="center" vertical="center"/>
    </xf>
    <xf numFmtId="38" fontId="3" fillId="0" borderId="30" xfId="10" applyNumberFormat="1" applyBorder="1" applyAlignment="1">
      <alignment horizontal="center" vertical="center"/>
    </xf>
    <xf numFmtId="38" fontId="3" fillId="0" borderId="61" xfId="10" applyNumberFormat="1" applyBorder="1" applyAlignment="1">
      <alignment horizontal="center" vertical="center"/>
    </xf>
    <xf numFmtId="38" fontId="4" fillId="0" borderId="30" xfId="10" applyNumberFormat="1" applyFont="1" applyBorder="1" applyAlignment="1">
      <alignment horizontal="center" vertical="center"/>
    </xf>
    <xf numFmtId="38" fontId="0" fillId="0" borderId="1" xfId="0" applyNumberFormat="1" applyBorder="1" applyAlignment="1">
      <alignment vertical="center"/>
    </xf>
    <xf numFmtId="38" fontId="0" fillId="0" borderId="23" xfId="0" applyNumberFormat="1" applyBorder="1" applyAlignment="1">
      <alignment vertical="center"/>
    </xf>
    <xf numFmtId="38" fontId="0" fillId="0" borderId="22" xfId="0" applyNumberFormat="1" applyBorder="1" applyAlignment="1">
      <alignment horizontal="center" vertical="center"/>
    </xf>
    <xf numFmtId="38" fontId="0" fillId="0" borderId="54" xfId="0" applyNumberFormat="1" applyBorder="1" applyAlignment="1">
      <alignment horizontal="center" vertical="center"/>
    </xf>
    <xf numFmtId="38" fontId="12" fillId="0" borderId="1" xfId="0" applyNumberFormat="1" applyFont="1" applyBorder="1" applyAlignment="1">
      <alignment vertical="center"/>
    </xf>
    <xf numFmtId="38" fontId="12" fillId="0" borderId="23" xfId="0" applyNumberFormat="1" applyFont="1" applyBorder="1" applyAlignment="1">
      <alignment vertical="center"/>
    </xf>
    <xf numFmtId="38" fontId="13" fillId="0" borderId="27" xfId="0" applyNumberFormat="1" applyFont="1" applyBorder="1" applyAlignment="1">
      <alignment horizontal="center" vertical="center"/>
    </xf>
    <xf numFmtId="38" fontId="12" fillId="0" borderId="22" xfId="0" applyNumberFormat="1" applyFont="1" applyBorder="1" applyAlignment="1">
      <alignment horizontal="center" vertical="center"/>
    </xf>
    <xf numFmtId="38" fontId="12" fillId="0" borderId="54" xfId="0" applyNumberFormat="1" applyFont="1" applyBorder="1" applyAlignment="1">
      <alignment horizontal="center" vertical="center"/>
    </xf>
    <xf numFmtId="38" fontId="13" fillId="0" borderId="27" xfId="12" applyNumberFormat="1" applyBorder="1" applyAlignment="1">
      <alignment horizontal="center" vertical="center"/>
    </xf>
    <xf numFmtId="38" fontId="3" fillId="0" borderId="30" xfId="0" applyNumberFormat="1" applyFont="1" applyBorder="1" applyAlignment="1">
      <alignment horizontal="center" vertical="center"/>
    </xf>
    <xf numFmtId="38" fontId="3" fillId="0" borderId="62" xfId="0" applyNumberFormat="1" applyFont="1" applyBorder="1" applyAlignment="1">
      <alignment horizontal="center" vertical="center"/>
    </xf>
    <xf numFmtId="38" fontId="3" fillId="2" borderId="63" xfId="0" applyNumberFormat="1" applyFont="1" applyFill="1" applyBorder="1" applyAlignment="1">
      <alignment vertical="center"/>
    </xf>
    <xf numFmtId="38" fontId="4" fillId="0" borderId="16" xfId="10" applyNumberFormat="1" applyFont="1" applyBorder="1" applyAlignment="1">
      <alignment horizontal="center" vertical="center"/>
    </xf>
    <xf numFmtId="38" fontId="3" fillId="0" borderId="16" xfId="10" applyNumberFormat="1" applyBorder="1" applyAlignment="1">
      <alignment horizontal="center" vertical="center"/>
    </xf>
    <xf numFmtId="38" fontId="3" fillId="0" borderId="52" xfId="10" applyNumberFormat="1" applyBorder="1" applyAlignment="1">
      <alignment horizontal="center" vertical="center"/>
    </xf>
    <xf numFmtId="38" fontId="2" fillId="0" borderId="0" xfId="10" applyNumberFormat="1" applyFont="1" applyAlignment="1">
      <alignment horizontal="center" vertical="center" wrapText="1"/>
    </xf>
    <xf numFmtId="38" fontId="3" fillId="0" borderId="64" xfId="0" applyNumberFormat="1" applyFont="1" applyBorder="1" applyAlignment="1">
      <alignment vertical="center"/>
    </xf>
    <xf numFmtId="171" fontId="3" fillId="0" borderId="0" xfId="0" applyNumberFormat="1" applyFont="1" applyAlignment="1">
      <alignment vertical="center"/>
    </xf>
    <xf numFmtId="38" fontId="3" fillId="0" borderId="22" xfId="0" quotePrefix="1" applyNumberFormat="1" applyFont="1" applyBorder="1" applyAlignment="1">
      <alignment horizontal="center" vertical="center"/>
    </xf>
    <xf numFmtId="38" fontId="3" fillId="0" borderId="54" xfId="0" quotePrefix="1" applyNumberFormat="1" applyFont="1" applyBorder="1" applyAlignment="1">
      <alignment horizontal="center" vertical="center"/>
    </xf>
    <xf numFmtId="38" fontId="3" fillId="0" borderId="15" xfId="0" quotePrefix="1" applyNumberFormat="1" applyFont="1" applyBorder="1" applyAlignment="1">
      <alignment horizontal="center" vertical="center"/>
    </xf>
    <xf numFmtId="38" fontId="3" fillId="0" borderId="15" xfId="0" quotePrefix="1" applyNumberFormat="1" applyFont="1" applyBorder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38" fontId="3" fillId="0" borderId="0" xfId="11" applyNumberFormat="1" applyAlignment="1">
      <alignment horizontal="center" vertical="center"/>
    </xf>
    <xf numFmtId="38" fontId="10" fillId="6" borderId="2" xfId="0" applyNumberFormat="1" applyFont="1" applyFill="1" applyBorder="1" applyAlignment="1">
      <alignment horizontal="center" vertical="center"/>
    </xf>
    <xf numFmtId="38" fontId="2" fillId="5" borderId="50" xfId="0" applyNumberFormat="1" applyFont="1" applyFill="1" applyBorder="1" applyAlignment="1">
      <alignment horizontal="center" vertical="center"/>
    </xf>
    <xf numFmtId="38" fontId="2" fillId="0" borderId="36" xfId="0" applyNumberFormat="1" applyFont="1" applyBorder="1" applyAlignment="1">
      <alignment vertical="center"/>
    </xf>
    <xf numFmtId="38" fontId="2" fillId="0" borderId="4" xfId="0" applyNumberFormat="1" applyFont="1" applyBorder="1" applyAlignment="1">
      <alignment vertical="center"/>
    </xf>
    <xf numFmtId="44" fontId="2" fillId="0" borderId="65" xfId="23" applyFont="1" applyBorder="1" applyAlignment="1">
      <alignment horizontal="center" vertical="center"/>
    </xf>
    <xf numFmtId="44" fontId="2" fillId="0" borderId="38" xfId="23" applyFont="1" applyBorder="1" applyAlignment="1">
      <alignment horizontal="center" vertical="center"/>
    </xf>
    <xf numFmtId="169" fontId="10" fillId="6" borderId="36" xfId="0" applyNumberFormat="1" applyFont="1" applyFill="1" applyBorder="1" applyAlignment="1">
      <alignment horizontal="left"/>
    </xf>
    <xf numFmtId="169" fontId="2" fillId="6" borderId="38" xfId="0" applyNumberFormat="1" applyFont="1" applyFill="1" applyBorder="1" applyAlignment="1">
      <alignment horizontal="left"/>
    </xf>
    <xf numFmtId="169" fontId="2" fillId="6" borderId="36" xfId="0" applyNumberFormat="1" applyFont="1" applyFill="1" applyBorder="1" applyAlignment="1">
      <alignment horizontal="left"/>
    </xf>
    <xf numFmtId="38" fontId="3" fillId="0" borderId="30" xfId="0" applyNumberFormat="1" applyFont="1" applyBorder="1" applyAlignment="1">
      <alignment horizontal="center" vertical="center" wrapText="1"/>
    </xf>
    <xf numFmtId="38" fontId="3" fillId="0" borderId="22" xfId="0" applyNumberFormat="1" applyFont="1" applyBorder="1" applyAlignment="1">
      <alignment horizontal="center" vertical="center" wrapText="1"/>
    </xf>
    <xf numFmtId="38" fontId="3" fillId="0" borderId="27" xfId="0" applyNumberFormat="1" applyFont="1" applyBorder="1" applyAlignment="1">
      <alignment horizontal="center" vertical="center" wrapText="1"/>
    </xf>
    <xf numFmtId="38" fontId="3" fillId="0" borderId="19" xfId="0" applyNumberFormat="1" applyFont="1" applyBorder="1" applyAlignment="1">
      <alignment horizontal="center" vertical="center" wrapText="1"/>
    </xf>
    <xf numFmtId="38" fontId="3" fillId="2" borderId="30" xfId="0" applyNumberFormat="1" applyFont="1" applyFill="1" applyBorder="1" applyAlignment="1">
      <alignment horizontal="center" vertical="center" wrapText="1"/>
    </xf>
    <xf numFmtId="38" fontId="3" fillId="2" borderId="22" xfId="0" applyNumberFormat="1" applyFont="1" applyFill="1" applyBorder="1" applyAlignment="1">
      <alignment horizontal="center" vertical="center" wrapText="1"/>
    </xf>
    <xf numFmtId="38" fontId="3" fillId="2" borderId="16" xfId="0" applyNumberFormat="1" applyFont="1" applyFill="1" applyBorder="1" applyAlignment="1">
      <alignment horizontal="center" vertical="center" wrapText="1"/>
    </xf>
    <xf numFmtId="38" fontId="2" fillId="5" borderId="50" xfId="0" applyNumberFormat="1" applyFont="1" applyFill="1" applyBorder="1" applyAlignment="1">
      <alignment horizontal="center" vertical="center"/>
    </xf>
    <xf numFmtId="38" fontId="2" fillId="5" borderId="51" xfId="0" applyNumberFormat="1" applyFont="1" applyFill="1" applyBorder="1" applyAlignment="1">
      <alignment horizontal="center" vertical="center"/>
    </xf>
    <xf numFmtId="38" fontId="2" fillId="4" borderId="13" xfId="0" applyNumberFormat="1" applyFont="1" applyFill="1" applyBorder="1" applyAlignment="1">
      <alignment horizontal="center" vertical="center"/>
    </xf>
    <xf numFmtId="38" fontId="2" fillId="4" borderId="14" xfId="0" applyNumberFormat="1" applyFont="1" applyFill="1" applyBorder="1" applyAlignment="1">
      <alignment horizontal="center" vertical="center"/>
    </xf>
    <xf numFmtId="38" fontId="9" fillId="2" borderId="0" xfId="0" applyNumberFormat="1" applyFont="1" applyFill="1" applyAlignment="1">
      <alignment horizontal="left" vertical="center" wrapText="1"/>
    </xf>
    <xf numFmtId="38" fontId="7" fillId="3" borderId="44" xfId="0" applyNumberFormat="1" applyFont="1" applyFill="1" applyBorder="1" applyAlignment="1">
      <alignment horizontal="center" vertical="center"/>
    </xf>
    <xf numFmtId="38" fontId="7" fillId="3" borderId="45" xfId="0" applyNumberFormat="1" applyFont="1" applyFill="1" applyBorder="1" applyAlignment="1">
      <alignment horizontal="center" vertical="center"/>
    </xf>
    <xf numFmtId="38" fontId="7" fillId="3" borderId="46" xfId="0" applyNumberFormat="1" applyFont="1" applyFill="1" applyBorder="1" applyAlignment="1">
      <alignment horizontal="center" vertical="center"/>
    </xf>
    <xf numFmtId="38" fontId="2" fillId="8" borderId="47" xfId="10" applyNumberFormat="1" applyFont="1" applyFill="1" applyBorder="1" applyAlignment="1">
      <alignment horizontal="center" vertical="center"/>
    </xf>
    <xf numFmtId="38" fontId="2" fillId="8" borderId="48" xfId="10" applyNumberFormat="1" applyFont="1" applyFill="1" applyBorder="1" applyAlignment="1">
      <alignment horizontal="center" vertical="center"/>
    </xf>
    <xf numFmtId="38" fontId="7" fillId="10" borderId="41" xfId="0" applyNumberFormat="1" applyFont="1" applyFill="1" applyBorder="1" applyAlignment="1">
      <alignment horizontal="center" vertical="center"/>
    </xf>
    <xf numFmtId="38" fontId="7" fillId="10" borderId="42" xfId="0" applyNumberFormat="1" applyFont="1" applyFill="1" applyBorder="1" applyAlignment="1">
      <alignment horizontal="center" vertical="center"/>
    </xf>
    <xf numFmtId="38" fontId="2" fillId="7" borderId="47" xfId="10" applyNumberFormat="1" applyFont="1" applyFill="1" applyBorder="1" applyAlignment="1">
      <alignment horizontal="center" vertical="center"/>
    </xf>
    <xf numFmtId="38" fontId="2" fillId="7" borderId="49" xfId="10" applyNumberFormat="1" applyFont="1" applyFill="1" applyBorder="1" applyAlignment="1">
      <alignment horizontal="center" vertical="center"/>
    </xf>
    <xf numFmtId="38" fontId="7" fillId="3" borderId="41" xfId="0" applyNumberFormat="1" applyFont="1" applyFill="1" applyBorder="1" applyAlignment="1">
      <alignment horizontal="center" vertical="center"/>
    </xf>
    <xf numFmtId="38" fontId="7" fillId="3" borderId="42" xfId="0" applyNumberFormat="1" applyFont="1" applyFill="1" applyBorder="1" applyAlignment="1">
      <alignment horizontal="center" vertical="center"/>
    </xf>
    <xf numFmtId="38" fontId="7" fillId="3" borderId="43" xfId="0" applyNumberFormat="1" applyFont="1" applyFill="1" applyBorder="1" applyAlignment="1">
      <alignment horizontal="center" vertical="center"/>
    </xf>
    <xf numFmtId="38" fontId="5" fillId="0" borderId="0" xfId="0" applyNumberFormat="1" applyFont="1" applyAlignment="1">
      <alignment horizontal="left" vertical="center"/>
    </xf>
    <xf numFmtId="38" fontId="2" fillId="0" borderId="0" xfId="0" applyNumberFormat="1" applyFont="1" applyAlignment="1">
      <alignment horizontal="center" vertical="center"/>
    </xf>
    <xf numFmtId="38" fontId="2" fillId="0" borderId="35" xfId="0" applyNumberFormat="1" applyFont="1" applyBorder="1" applyAlignment="1">
      <alignment horizontal="center" vertical="center"/>
    </xf>
    <xf numFmtId="38" fontId="8" fillId="3" borderId="3" xfId="0" applyNumberFormat="1" applyFont="1" applyFill="1" applyBorder="1" applyAlignment="1">
      <alignment horizontal="center" vertical="center"/>
    </xf>
    <xf numFmtId="38" fontId="8" fillId="3" borderId="5" xfId="0" applyNumberFormat="1" applyFont="1" applyFill="1" applyBorder="1" applyAlignment="1">
      <alignment horizontal="center" vertical="center"/>
    </xf>
    <xf numFmtId="38" fontId="6" fillId="3" borderId="8" xfId="0" applyNumberFormat="1" applyFont="1" applyFill="1" applyBorder="1" applyAlignment="1">
      <alignment horizontal="center" vertical="center"/>
    </xf>
    <xf numFmtId="38" fontId="6" fillId="3" borderId="10" xfId="0" applyNumberFormat="1" applyFont="1" applyFill="1" applyBorder="1" applyAlignment="1">
      <alignment horizontal="center" vertical="center"/>
    </xf>
    <xf numFmtId="38" fontId="11" fillId="0" borderId="0" xfId="0" applyNumberFormat="1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left"/>
    </xf>
    <xf numFmtId="9" fontId="10" fillId="0" borderId="0" xfId="1" applyFont="1" applyFill="1" applyBorder="1" applyAlignment="1">
      <alignment horizontal="left"/>
    </xf>
    <xf numFmtId="38" fontId="6" fillId="3" borderId="9" xfId="0" applyNumberFormat="1" applyFont="1" applyFill="1" applyBorder="1" applyAlignment="1">
      <alignment horizontal="center" vertical="center"/>
    </xf>
    <xf numFmtId="38" fontId="6" fillId="3" borderId="11" xfId="0" applyNumberFormat="1" applyFont="1" applyFill="1" applyBorder="1" applyAlignment="1">
      <alignment horizontal="center" vertical="center"/>
    </xf>
    <xf numFmtId="38" fontId="8" fillId="3" borderId="4" xfId="0" applyNumberFormat="1" applyFont="1" applyFill="1" applyBorder="1" applyAlignment="1">
      <alignment horizontal="center" vertical="center"/>
    </xf>
    <xf numFmtId="38" fontId="8" fillId="3" borderId="6" xfId="0" applyNumberFormat="1" applyFont="1" applyFill="1" applyBorder="1" applyAlignment="1">
      <alignment horizontal="center" vertical="center"/>
    </xf>
    <xf numFmtId="168" fontId="3" fillId="0" borderId="13" xfId="0" applyNumberFormat="1" applyFont="1" applyBorder="1" applyAlignment="1">
      <alignment horizontal="center" vertical="center" wrapText="1"/>
    </xf>
    <xf numFmtId="168" fontId="3" fillId="0" borderId="19" xfId="0" applyNumberFormat="1" applyFont="1" applyBorder="1" applyAlignment="1">
      <alignment horizontal="center" vertical="center" wrapText="1"/>
    </xf>
    <xf numFmtId="168" fontId="3" fillId="0" borderId="22" xfId="0" applyNumberFormat="1" applyFont="1" applyBorder="1" applyAlignment="1">
      <alignment horizontal="center" vertical="center" wrapText="1"/>
    </xf>
    <xf numFmtId="168" fontId="3" fillId="0" borderId="24" xfId="0" applyNumberFormat="1" applyFont="1" applyBorder="1" applyAlignment="1">
      <alignment horizontal="center" vertical="center" wrapText="1"/>
    </xf>
    <xf numFmtId="168" fontId="3" fillId="0" borderId="27" xfId="0" applyNumberFormat="1" applyFont="1" applyBorder="1" applyAlignment="1">
      <alignment horizontal="center" vertical="center" wrapText="1"/>
    </xf>
    <xf numFmtId="38" fontId="3" fillId="0" borderId="32" xfId="0" applyNumberFormat="1" applyFont="1" applyBorder="1" applyAlignment="1">
      <alignment horizontal="center" vertical="center" wrapText="1"/>
    </xf>
    <xf numFmtId="38" fontId="9" fillId="0" borderId="0" xfId="0" applyNumberFormat="1" applyFont="1" applyAlignment="1">
      <alignment horizontal="left" vertical="center" wrapText="1"/>
    </xf>
    <xf numFmtId="169" fontId="10" fillId="6" borderId="37" xfId="0" applyNumberFormat="1" applyFont="1" applyFill="1" applyBorder="1" applyAlignment="1">
      <alignment horizontal="left"/>
    </xf>
    <xf numFmtId="169" fontId="10" fillId="0" borderId="38" xfId="0" applyNumberFormat="1" applyFont="1" applyFill="1" applyBorder="1" applyAlignment="1">
      <alignment horizontal="left"/>
    </xf>
    <xf numFmtId="169" fontId="10" fillId="0" borderId="36" xfId="0" applyNumberFormat="1" applyFont="1" applyFill="1" applyBorder="1" applyAlignment="1">
      <alignment horizontal="left"/>
    </xf>
    <xf numFmtId="38" fontId="10" fillId="0" borderId="37" xfId="10" applyNumberFormat="1" applyFont="1" applyFill="1" applyBorder="1" applyAlignment="1">
      <alignment horizontal="center" vertical="center" wrapText="1"/>
    </xf>
    <xf numFmtId="38" fontId="10" fillId="0" borderId="38" xfId="10" applyNumberFormat="1" applyFont="1" applyFill="1" applyBorder="1" applyAlignment="1">
      <alignment horizontal="center" vertical="center" wrapText="1"/>
    </xf>
    <xf numFmtId="38" fontId="2" fillId="0" borderId="38" xfId="10" applyNumberFormat="1" applyFont="1" applyFill="1" applyBorder="1" applyAlignment="1">
      <alignment horizontal="center" vertical="center" wrapText="1"/>
    </xf>
    <xf numFmtId="38" fontId="10" fillId="0" borderId="37" xfId="0" applyNumberFormat="1" applyFont="1" applyFill="1" applyBorder="1" applyAlignment="1">
      <alignment horizontal="center" vertical="center"/>
    </xf>
    <xf numFmtId="38" fontId="20" fillId="6" borderId="37" xfId="10" applyNumberFormat="1" applyFont="1" applyFill="1" applyBorder="1" applyAlignment="1">
      <alignment horizontal="center" vertical="center" wrapText="1"/>
    </xf>
    <xf numFmtId="169" fontId="10" fillId="0" borderId="37" xfId="0" applyNumberFormat="1" applyFont="1" applyFill="1" applyBorder="1" applyAlignment="1">
      <alignment horizontal="left"/>
    </xf>
    <xf numFmtId="38" fontId="10" fillId="0" borderId="38" xfId="0" applyNumberFormat="1" applyFont="1" applyFill="1" applyBorder="1" applyAlignment="1">
      <alignment horizontal="center" vertical="center"/>
    </xf>
    <xf numFmtId="38" fontId="10" fillId="0" borderId="39" xfId="0" applyNumberFormat="1" applyFont="1" applyFill="1" applyBorder="1" applyAlignment="1">
      <alignment horizontal="center" vertical="center"/>
    </xf>
    <xf numFmtId="38" fontId="10" fillId="0" borderId="4" xfId="0" applyNumberFormat="1" applyFont="1" applyFill="1" applyBorder="1" applyAlignment="1">
      <alignment horizontal="center" vertical="center"/>
    </xf>
    <xf numFmtId="38" fontId="10" fillId="0" borderId="40" xfId="0" applyNumberFormat="1" applyFont="1" applyFill="1" applyBorder="1" applyAlignment="1">
      <alignment horizontal="center" vertical="center"/>
    </xf>
    <xf numFmtId="38" fontId="20" fillId="6" borderId="39" xfId="0" applyNumberFormat="1" applyFont="1" applyFill="1" applyBorder="1" applyAlignment="1">
      <alignment horizontal="center" vertical="center"/>
    </xf>
    <xf numFmtId="38" fontId="20" fillId="6" borderId="40" xfId="0" applyNumberFormat="1" applyFont="1" applyFill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38" fontId="3" fillId="6" borderId="36" xfId="0" applyNumberFormat="1" applyFont="1" applyFill="1" applyBorder="1" applyAlignment="1">
      <alignment vertical="center"/>
    </xf>
    <xf numFmtId="38" fontId="3" fillId="6" borderId="37" xfId="0" applyNumberFormat="1" applyFont="1" applyFill="1" applyBorder="1" applyAlignment="1">
      <alignment vertical="center"/>
    </xf>
    <xf numFmtId="44" fontId="2" fillId="6" borderId="38" xfId="23" applyFont="1" applyFill="1" applyBorder="1" applyAlignment="1">
      <alignment horizontal="center" vertical="center" wrapText="1"/>
    </xf>
  </cellXfs>
  <cellStyles count="24">
    <cellStyle name="Comma 2" xfId="2" xr:uid="{00000000-0005-0000-0000-000031000000}"/>
    <cellStyle name="Currency" xfId="23" builtinId="4"/>
    <cellStyle name="Normal" xfId="0" builtinId="0"/>
    <cellStyle name="Normal 2" xfId="3" xr:uid="{00000000-0005-0000-0000-000032000000}"/>
    <cellStyle name="Normal 3" xfId="4" xr:uid="{00000000-0005-0000-0000-000033000000}"/>
    <cellStyle name="Normal 4" xfId="5" xr:uid="{00000000-0005-0000-0000-000034000000}"/>
    <cellStyle name="Normal 4 2" xfId="6" xr:uid="{00000000-0005-0000-0000-000035000000}"/>
    <cellStyle name="Normal 5" xfId="7" xr:uid="{00000000-0005-0000-0000-000036000000}"/>
    <cellStyle name="Percent" xfId="1" builtinId="5"/>
    <cellStyle name="Percent 2" xfId="8" xr:uid="{00000000-0005-0000-0000-000037000000}"/>
    <cellStyle name="Percent 3" xfId="9" xr:uid="{00000000-0005-0000-0000-000038000000}"/>
    <cellStyle name="표준 2" xfId="10" xr:uid="{00000000-0005-0000-0000-000039000000}"/>
    <cellStyle name="표준 2 2" xfId="11" xr:uid="{00000000-0005-0000-0000-00003A000000}"/>
    <cellStyle name="一般 2" xfId="12" xr:uid="{00000000-0005-0000-0000-00003B000000}"/>
    <cellStyle name="一般 3" xfId="13" xr:uid="{00000000-0005-0000-0000-00003C000000}"/>
    <cellStyle name="常规 2" xfId="14" xr:uid="{00000000-0005-0000-0000-00003D000000}"/>
    <cellStyle name="常规 3" xfId="15" xr:uid="{00000000-0005-0000-0000-00003E000000}"/>
    <cellStyle name="常规 4" xfId="16" xr:uid="{00000000-0005-0000-0000-00003F000000}"/>
    <cellStyle name="常规 4 2" xfId="17" xr:uid="{00000000-0005-0000-0000-000040000000}"/>
    <cellStyle name="常规 5" xfId="18" xr:uid="{00000000-0005-0000-0000-000041000000}"/>
    <cellStyle name="常规 5 2" xfId="19" xr:uid="{00000000-0005-0000-0000-000042000000}"/>
    <cellStyle name="常规 5 2 2" xfId="20" xr:uid="{00000000-0005-0000-0000-000043000000}"/>
    <cellStyle name="常规 5 3" xfId="21" xr:uid="{00000000-0005-0000-0000-000044000000}"/>
    <cellStyle name="常规_000-LI06TH-1D-PF P6-FA 0706015" xfId="22" xr:uid="{00000000-0005-0000-0000-000045000000}"/>
  </cellStyles>
  <dxfs count="0"/>
  <tableStyles count="0" defaultTableStyle="TableStyleMedium2" defaultPivotStyle="PivotStyleLight16"/>
  <colors>
    <mruColors>
      <color rgb="FF0000FF"/>
      <color rgb="FFFF99FF"/>
      <color rgb="FFCCFFFF"/>
      <color rgb="FF0066FF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showGridLines="0" zoomScale="114" zoomScaleNormal="85" zoomScaleSheetLayoutView="40" workbookViewId="0">
      <pane xSplit="3" ySplit="11" topLeftCell="O38" activePane="bottomRight" state="frozen"/>
      <selection pane="topRight"/>
      <selection pane="bottomLeft"/>
      <selection pane="bottomRight" activeCell="U71" sqref="U71"/>
    </sheetView>
  </sheetViews>
  <sheetFormatPr defaultColWidth="9" defaultRowHeight="12.75"/>
  <cols>
    <col min="1" max="1" width="2.33203125" style="11" customWidth="1"/>
    <col min="2" max="2" width="11.1328125" style="12" customWidth="1"/>
    <col min="3" max="3" width="24.6640625" style="12" customWidth="1"/>
    <col min="4" max="4" width="24.1328125" style="12" customWidth="1"/>
    <col min="5" max="21" width="15.796875" style="12" customWidth="1"/>
    <col min="22" max="16384" width="9" style="12"/>
  </cols>
  <sheetData>
    <row r="1" spans="1:21" ht="5.25" customHeight="1">
      <c r="B1" s="13"/>
      <c r="C1" s="13"/>
    </row>
    <row r="2" spans="1:21" ht="17.25" customHeight="1">
      <c r="B2" s="219" t="s">
        <v>0</v>
      </c>
      <c r="C2" s="219"/>
    </row>
    <row r="3" spans="1:21" ht="12" customHeight="1" thickBot="1">
      <c r="B3" s="16"/>
      <c r="C3" s="16"/>
      <c r="D3" s="2" t="s">
        <v>1</v>
      </c>
      <c r="H3" s="220" t="s">
        <v>1</v>
      </c>
      <c r="I3" s="220"/>
      <c r="J3" s="221" t="s">
        <v>1</v>
      </c>
      <c r="K3" s="221"/>
      <c r="L3" s="221" t="s">
        <v>1</v>
      </c>
      <c r="M3" s="221"/>
    </row>
    <row r="4" spans="1:21" s="1" customFormat="1" ht="13.5" customHeight="1" thickBot="1">
      <c r="A4" s="17"/>
      <c r="B4" s="18"/>
      <c r="C4" s="118"/>
      <c r="D4" s="119" t="s">
        <v>2</v>
      </c>
      <c r="E4" s="216" t="s">
        <v>3</v>
      </c>
      <c r="F4" s="217"/>
      <c r="G4" s="217"/>
      <c r="H4" s="216" t="s">
        <v>4</v>
      </c>
      <c r="I4" s="217"/>
      <c r="J4" s="216" t="s">
        <v>5</v>
      </c>
      <c r="K4" s="217"/>
      <c r="L4" s="216" t="s">
        <v>6</v>
      </c>
      <c r="M4" s="217"/>
      <c r="N4" s="216" t="s">
        <v>7</v>
      </c>
      <c r="O4" s="217"/>
      <c r="P4" s="216" t="s">
        <v>8</v>
      </c>
      <c r="Q4" s="217"/>
      <c r="R4" s="216" t="s">
        <v>9</v>
      </c>
      <c r="S4" s="217"/>
      <c r="T4" s="216" t="s">
        <v>10</v>
      </c>
      <c r="U4" s="218"/>
    </row>
    <row r="5" spans="1:21" s="1" customFormat="1" ht="13.5" customHeight="1" thickBot="1">
      <c r="A5" s="17"/>
      <c r="B5" s="18"/>
      <c r="C5" s="118"/>
      <c r="D5" s="120" t="s">
        <v>11</v>
      </c>
      <c r="E5" s="207" t="s">
        <v>11</v>
      </c>
      <c r="F5" s="208"/>
      <c r="G5" s="208"/>
      <c r="H5" s="216" t="s">
        <v>11</v>
      </c>
      <c r="I5" s="217"/>
      <c r="J5" s="207" t="s">
        <v>11</v>
      </c>
      <c r="K5" s="208"/>
      <c r="L5" s="207" t="s">
        <v>11</v>
      </c>
      <c r="M5" s="208"/>
      <c r="N5" s="207" t="s">
        <v>12</v>
      </c>
      <c r="O5" s="208"/>
      <c r="P5" s="207" t="s">
        <v>13</v>
      </c>
      <c r="Q5" s="208"/>
      <c r="R5" s="207" t="s">
        <v>13</v>
      </c>
      <c r="S5" s="208"/>
      <c r="T5" s="207" t="s">
        <v>13</v>
      </c>
      <c r="U5" s="209"/>
    </row>
    <row r="6" spans="1:21" ht="13.5" customHeight="1" thickTop="1" thickBot="1">
      <c r="D6" s="121" t="s">
        <v>14</v>
      </c>
      <c r="E6" s="210" t="s">
        <v>14</v>
      </c>
      <c r="F6" s="211"/>
      <c r="G6" s="211"/>
      <c r="H6" s="212" t="s">
        <v>14</v>
      </c>
      <c r="I6" s="213"/>
      <c r="J6" s="210" t="s">
        <v>14</v>
      </c>
      <c r="K6" s="211"/>
      <c r="L6" s="210" t="s">
        <v>14</v>
      </c>
      <c r="M6" s="211"/>
      <c r="N6" s="210" t="s">
        <v>15</v>
      </c>
      <c r="O6" s="211"/>
      <c r="P6" s="210" t="s">
        <v>16</v>
      </c>
      <c r="Q6" s="211"/>
      <c r="R6" s="210" t="s">
        <v>16</v>
      </c>
      <c r="S6" s="211"/>
      <c r="T6" s="214" t="s">
        <v>16</v>
      </c>
      <c r="U6" s="215"/>
    </row>
    <row r="7" spans="1:21" s="15" customFormat="1" ht="15" customHeight="1" thickTop="1">
      <c r="A7" s="122"/>
      <c r="D7" s="123" t="s">
        <v>17</v>
      </c>
      <c r="E7" s="202" t="s">
        <v>18</v>
      </c>
      <c r="F7" s="203"/>
      <c r="G7" s="203"/>
      <c r="H7" s="202" t="s">
        <v>19</v>
      </c>
      <c r="I7" s="203"/>
      <c r="J7" s="202" t="s">
        <v>20</v>
      </c>
      <c r="K7" s="203"/>
      <c r="L7" s="203" t="s">
        <v>21</v>
      </c>
      <c r="M7" s="203"/>
      <c r="N7" s="187" t="s">
        <v>22</v>
      </c>
      <c r="O7" s="124"/>
      <c r="P7" s="202" t="s">
        <v>22</v>
      </c>
      <c r="Q7" s="203"/>
      <c r="R7" s="202" t="s">
        <v>20</v>
      </c>
      <c r="S7" s="203"/>
      <c r="T7" s="204"/>
      <c r="U7" s="205"/>
    </row>
    <row r="8" spans="1:21" ht="13.5" thickBot="1">
      <c r="B8" s="125" t="s">
        <v>190</v>
      </c>
      <c r="D8" s="126" t="s">
        <v>23</v>
      </c>
      <c r="E8" s="34" t="s">
        <v>23</v>
      </c>
      <c r="F8" s="127" t="s">
        <v>23</v>
      </c>
      <c r="G8" s="128" t="s">
        <v>24</v>
      </c>
      <c r="H8" s="129" t="s">
        <v>23</v>
      </c>
      <c r="I8" s="130" t="s">
        <v>24</v>
      </c>
      <c r="J8" s="129" t="s">
        <v>23</v>
      </c>
      <c r="K8" s="130" t="s">
        <v>24</v>
      </c>
      <c r="L8" s="129" t="s">
        <v>23</v>
      </c>
      <c r="M8" s="130" t="s">
        <v>24</v>
      </c>
      <c r="N8" s="129" t="s">
        <v>23</v>
      </c>
      <c r="O8" s="130" t="s">
        <v>24</v>
      </c>
      <c r="P8" s="129" t="s">
        <v>23</v>
      </c>
      <c r="Q8" s="130" t="s">
        <v>24</v>
      </c>
      <c r="R8" s="129" t="s">
        <v>23</v>
      </c>
      <c r="S8" s="130" t="s">
        <v>24</v>
      </c>
      <c r="T8" s="129" t="s">
        <v>23</v>
      </c>
      <c r="U8" s="130" t="s">
        <v>24</v>
      </c>
    </row>
    <row r="9" spans="1:21" ht="25.9" thickTop="1">
      <c r="B9" s="131" t="s">
        <v>25</v>
      </c>
      <c r="C9" s="36" t="s">
        <v>26</v>
      </c>
      <c r="D9" s="38" t="s">
        <v>27</v>
      </c>
      <c r="E9" s="38" t="s">
        <v>28</v>
      </c>
      <c r="F9" s="132" t="s">
        <v>29</v>
      </c>
      <c r="G9" s="133" t="s">
        <v>28</v>
      </c>
      <c r="H9" s="38" t="s">
        <v>28</v>
      </c>
      <c r="I9" s="132" t="s">
        <v>28</v>
      </c>
      <c r="J9" s="38" t="s">
        <v>28</v>
      </c>
      <c r="K9" s="132" t="s">
        <v>28</v>
      </c>
      <c r="L9" s="38" t="s">
        <v>28</v>
      </c>
      <c r="M9" s="132" t="s">
        <v>28</v>
      </c>
      <c r="N9" s="38" t="s">
        <v>28</v>
      </c>
      <c r="O9" s="132" t="s">
        <v>28</v>
      </c>
      <c r="P9" s="38" t="s">
        <v>28</v>
      </c>
      <c r="Q9" s="132" t="s">
        <v>28</v>
      </c>
      <c r="R9" s="38" t="s">
        <v>28</v>
      </c>
      <c r="S9" s="132" t="s">
        <v>28</v>
      </c>
      <c r="T9" s="38" t="s">
        <v>28</v>
      </c>
      <c r="U9" s="132" t="s">
        <v>28</v>
      </c>
    </row>
    <row r="10" spans="1:21" ht="25.05" customHeight="1">
      <c r="B10" s="95"/>
      <c r="C10" s="47" t="s">
        <v>30</v>
      </c>
      <c r="D10" s="44" t="s">
        <v>31</v>
      </c>
      <c r="E10" s="44" t="s">
        <v>32</v>
      </c>
      <c r="F10" s="134" t="s">
        <v>33</v>
      </c>
      <c r="G10" s="44" t="s">
        <v>34</v>
      </c>
      <c r="H10" s="44" t="s">
        <v>35</v>
      </c>
      <c r="I10" s="134" t="s">
        <v>36</v>
      </c>
      <c r="J10" s="44" t="s">
        <v>35</v>
      </c>
      <c r="K10" s="134" t="s">
        <v>36</v>
      </c>
      <c r="L10" s="44" t="s">
        <v>35</v>
      </c>
      <c r="M10" s="134" t="s">
        <v>36</v>
      </c>
      <c r="N10" s="44" t="s">
        <v>35</v>
      </c>
      <c r="O10" s="134" t="s">
        <v>36</v>
      </c>
      <c r="P10" s="44" t="s">
        <v>35</v>
      </c>
      <c r="Q10" s="134" t="s">
        <v>36</v>
      </c>
      <c r="R10" s="44" t="s">
        <v>35</v>
      </c>
      <c r="S10" s="134" t="s">
        <v>36</v>
      </c>
      <c r="T10" s="44" t="s">
        <v>35</v>
      </c>
      <c r="U10" s="134" t="s">
        <v>36</v>
      </c>
    </row>
    <row r="11" spans="1:21">
      <c r="B11" s="95"/>
      <c r="C11" s="50" t="s">
        <v>37</v>
      </c>
      <c r="D11" s="48" t="s">
        <v>38</v>
      </c>
      <c r="E11" s="48" t="s">
        <v>38</v>
      </c>
      <c r="F11" s="135" t="s">
        <v>38</v>
      </c>
      <c r="G11" s="48" t="s">
        <v>38</v>
      </c>
      <c r="H11" s="48" t="s">
        <v>38</v>
      </c>
      <c r="I11" s="48" t="s">
        <v>38</v>
      </c>
      <c r="J11" s="48" t="s">
        <v>38</v>
      </c>
      <c r="K11" s="48" t="s">
        <v>38</v>
      </c>
      <c r="L11" s="48" t="s">
        <v>38</v>
      </c>
      <c r="M11" s="48" t="s">
        <v>38</v>
      </c>
      <c r="N11" s="48" t="s">
        <v>38</v>
      </c>
      <c r="O11" s="48" t="s">
        <v>38</v>
      </c>
      <c r="P11" s="48" t="s">
        <v>38</v>
      </c>
      <c r="Q11" s="48" t="s">
        <v>38</v>
      </c>
      <c r="R11" s="48" t="s">
        <v>38</v>
      </c>
      <c r="S11" s="48" t="s">
        <v>38</v>
      </c>
      <c r="T11" s="48" t="s">
        <v>38</v>
      </c>
      <c r="U11" s="48" t="s">
        <v>38</v>
      </c>
    </row>
    <row r="12" spans="1:21">
      <c r="B12" s="95"/>
      <c r="C12" s="50" t="s">
        <v>39</v>
      </c>
      <c r="D12" s="48">
        <v>2</v>
      </c>
      <c r="E12" s="48">
        <v>2</v>
      </c>
      <c r="F12" s="135">
        <v>2</v>
      </c>
      <c r="G12" s="48">
        <v>2</v>
      </c>
      <c r="H12" s="48">
        <v>2</v>
      </c>
      <c r="I12" s="48">
        <v>2</v>
      </c>
      <c r="J12" s="48">
        <v>2</v>
      </c>
      <c r="K12" s="48">
        <v>2</v>
      </c>
      <c r="L12" s="48">
        <v>2</v>
      </c>
      <c r="M12" s="48">
        <v>2</v>
      </c>
      <c r="N12" s="48">
        <v>4</v>
      </c>
      <c r="O12" s="48">
        <v>4</v>
      </c>
      <c r="P12" s="48">
        <v>2</v>
      </c>
      <c r="Q12" s="48">
        <v>2</v>
      </c>
      <c r="R12" s="48">
        <v>2</v>
      </c>
      <c r="S12" s="48">
        <v>2</v>
      </c>
      <c r="T12" s="48">
        <v>2</v>
      </c>
      <c r="U12" s="48">
        <v>2</v>
      </c>
    </row>
    <row r="13" spans="1:21">
      <c r="B13" s="95"/>
      <c r="C13" s="50" t="s">
        <v>40</v>
      </c>
      <c r="D13" s="48">
        <v>2</v>
      </c>
      <c r="E13" s="48">
        <v>4</v>
      </c>
      <c r="F13" s="135">
        <v>4</v>
      </c>
      <c r="G13" s="48">
        <v>4</v>
      </c>
      <c r="H13" s="48">
        <v>3</v>
      </c>
      <c r="I13" s="48">
        <v>3</v>
      </c>
      <c r="J13" s="48">
        <v>3</v>
      </c>
      <c r="K13" s="48">
        <v>3</v>
      </c>
      <c r="L13" s="48">
        <v>3</v>
      </c>
      <c r="M13" s="48">
        <v>3</v>
      </c>
      <c r="N13" s="48">
        <v>3</v>
      </c>
      <c r="O13" s="48">
        <v>3</v>
      </c>
      <c r="P13" s="48">
        <v>3</v>
      </c>
      <c r="Q13" s="48">
        <v>3</v>
      </c>
      <c r="R13" s="48">
        <v>3</v>
      </c>
      <c r="S13" s="48">
        <v>3</v>
      </c>
      <c r="T13" s="48">
        <v>3</v>
      </c>
      <c r="U13" s="48">
        <v>3</v>
      </c>
    </row>
    <row r="14" spans="1:21">
      <c r="B14" s="95"/>
      <c r="C14" s="50" t="s">
        <v>41</v>
      </c>
      <c r="D14" s="48">
        <v>96</v>
      </c>
      <c r="E14" s="48">
        <v>128</v>
      </c>
      <c r="F14" s="135">
        <v>128</v>
      </c>
      <c r="G14" s="48">
        <v>128</v>
      </c>
      <c r="H14" s="48">
        <v>84</v>
      </c>
      <c r="I14" s="48">
        <v>84</v>
      </c>
      <c r="J14" s="48">
        <v>60</v>
      </c>
      <c r="K14" s="48">
        <v>60</v>
      </c>
      <c r="L14" s="48">
        <v>48</v>
      </c>
      <c r="M14" s="48">
        <v>48</v>
      </c>
      <c r="N14" s="48">
        <v>40</v>
      </c>
      <c r="O14" s="48">
        <v>40</v>
      </c>
      <c r="P14" s="48">
        <v>40</v>
      </c>
      <c r="Q14" s="48">
        <v>40</v>
      </c>
      <c r="R14" s="48">
        <v>48</v>
      </c>
      <c r="S14" s="48">
        <v>48</v>
      </c>
      <c r="T14" s="48">
        <v>64</v>
      </c>
      <c r="U14" s="48">
        <v>64</v>
      </c>
    </row>
    <row r="15" spans="1:21">
      <c r="B15" s="95"/>
      <c r="C15" s="50" t="s">
        <v>42</v>
      </c>
      <c r="D15" s="48">
        <v>108</v>
      </c>
      <c r="E15" s="48">
        <v>64</v>
      </c>
      <c r="F15" s="135">
        <v>64</v>
      </c>
      <c r="G15" s="48">
        <v>64</v>
      </c>
      <c r="H15" s="48">
        <v>56</v>
      </c>
      <c r="I15" s="48">
        <v>56</v>
      </c>
      <c r="J15" s="48">
        <v>40</v>
      </c>
      <c r="K15" s="48">
        <v>40</v>
      </c>
      <c r="L15" s="48">
        <v>32</v>
      </c>
      <c r="M15" s="48">
        <v>32</v>
      </c>
      <c r="N15" s="48">
        <v>30</v>
      </c>
      <c r="O15" s="48">
        <v>30</v>
      </c>
      <c r="P15" s="48">
        <v>30</v>
      </c>
      <c r="Q15" s="48">
        <v>30</v>
      </c>
      <c r="R15" s="48">
        <v>36</v>
      </c>
      <c r="S15" s="48">
        <v>36</v>
      </c>
      <c r="T15" s="48">
        <v>48</v>
      </c>
      <c r="U15" s="48">
        <v>48</v>
      </c>
    </row>
    <row r="16" spans="1:21" s="5" customFormat="1">
      <c r="A16" s="60"/>
      <c r="B16" s="87"/>
      <c r="C16" s="136" t="s">
        <v>43</v>
      </c>
      <c r="D16" s="137">
        <v>2.5</v>
      </c>
      <c r="E16" s="137">
        <v>3.90625</v>
      </c>
      <c r="F16" s="138">
        <v>3.90625</v>
      </c>
      <c r="G16" s="137">
        <v>3.90625</v>
      </c>
      <c r="H16" s="137">
        <v>5.95</v>
      </c>
      <c r="I16" s="137">
        <v>5.95</v>
      </c>
      <c r="J16" s="137">
        <v>8.33</v>
      </c>
      <c r="K16" s="137">
        <v>8.33</v>
      </c>
      <c r="L16" s="137">
        <v>10.416700000000001</v>
      </c>
      <c r="M16" s="137">
        <v>10.416700000000001</v>
      </c>
      <c r="N16" s="137">
        <v>10</v>
      </c>
      <c r="O16" s="137">
        <v>10</v>
      </c>
      <c r="P16" s="137">
        <v>10</v>
      </c>
      <c r="Q16" s="137">
        <v>10</v>
      </c>
      <c r="R16" s="137">
        <v>8.33</v>
      </c>
      <c r="S16" s="137">
        <v>8.33</v>
      </c>
      <c r="T16" s="137">
        <v>6.25</v>
      </c>
      <c r="U16" s="137">
        <v>6.25</v>
      </c>
    </row>
    <row r="17" spans="1:21">
      <c r="B17" s="87"/>
      <c r="C17" s="97" t="s">
        <v>44</v>
      </c>
      <c r="D17" s="67" t="str">
        <f t="shared" ref="D17:U17" si="0">D14&amp;"x"&amp;D15</f>
        <v>96x108</v>
      </c>
      <c r="E17" s="67" t="str">
        <f t="shared" si="0"/>
        <v>128x64</v>
      </c>
      <c r="F17" s="139" t="str">
        <f t="shared" si="0"/>
        <v>128x64</v>
      </c>
      <c r="G17" s="67" t="str">
        <f t="shared" si="0"/>
        <v>128x64</v>
      </c>
      <c r="H17" s="67" t="str">
        <f t="shared" si="0"/>
        <v>84x56</v>
      </c>
      <c r="I17" s="67" t="str">
        <f t="shared" si="0"/>
        <v>84x56</v>
      </c>
      <c r="J17" s="67" t="str">
        <f t="shared" si="0"/>
        <v>60x40</v>
      </c>
      <c r="K17" s="67" t="str">
        <f t="shared" si="0"/>
        <v>60x40</v>
      </c>
      <c r="L17" s="67" t="str">
        <f t="shared" si="0"/>
        <v>48x32</v>
      </c>
      <c r="M17" s="67" t="str">
        <f t="shared" si="0"/>
        <v>48x32</v>
      </c>
      <c r="N17" s="67" t="str">
        <f t="shared" si="0"/>
        <v>40x30</v>
      </c>
      <c r="O17" s="67" t="str">
        <f t="shared" si="0"/>
        <v>40x30</v>
      </c>
      <c r="P17" s="67" t="str">
        <f t="shared" si="0"/>
        <v>40x30</v>
      </c>
      <c r="Q17" s="67" t="str">
        <f t="shared" si="0"/>
        <v>40x30</v>
      </c>
      <c r="R17" s="67" t="str">
        <f t="shared" si="0"/>
        <v>48x36</v>
      </c>
      <c r="S17" s="67" t="str">
        <f t="shared" si="0"/>
        <v>48x36</v>
      </c>
      <c r="T17" s="67" t="str">
        <f t="shared" si="0"/>
        <v>64x48</v>
      </c>
      <c r="U17" s="67" t="str">
        <f t="shared" si="0"/>
        <v>64x48</v>
      </c>
    </row>
    <row r="18" spans="1:21">
      <c r="B18" s="87"/>
      <c r="C18" s="76" t="s">
        <v>45</v>
      </c>
      <c r="D18" s="68" t="s">
        <v>46</v>
      </c>
      <c r="E18" s="68" t="s">
        <v>47</v>
      </c>
      <c r="F18" s="140" t="s">
        <v>47</v>
      </c>
      <c r="G18" s="68" t="s">
        <v>47</v>
      </c>
      <c r="H18" s="68" t="s">
        <v>48</v>
      </c>
      <c r="I18" s="68" t="s">
        <v>48</v>
      </c>
      <c r="J18" s="68" t="s">
        <v>48</v>
      </c>
      <c r="K18" s="68" t="s">
        <v>48</v>
      </c>
      <c r="L18" s="68" t="s">
        <v>48</v>
      </c>
      <c r="M18" s="68" t="s">
        <v>48</v>
      </c>
      <c r="N18" s="68" t="s">
        <v>49</v>
      </c>
      <c r="O18" s="68" t="s">
        <v>49</v>
      </c>
      <c r="P18" s="68" t="s">
        <v>49</v>
      </c>
      <c r="Q18" s="68" t="s">
        <v>49</v>
      </c>
      <c r="R18" s="68" t="s">
        <v>49</v>
      </c>
      <c r="S18" s="68" t="s">
        <v>49</v>
      </c>
      <c r="T18" s="68" t="s">
        <v>49</v>
      </c>
      <c r="U18" s="68" t="s">
        <v>49</v>
      </c>
    </row>
    <row r="19" spans="1:21">
      <c r="B19" s="87"/>
      <c r="C19" s="76" t="s">
        <v>50</v>
      </c>
      <c r="D19" s="63">
        <v>2.2999999999999998</v>
      </c>
      <c r="E19" s="63">
        <v>1.8</v>
      </c>
      <c r="F19" s="141">
        <v>1.8</v>
      </c>
      <c r="G19" s="63">
        <v>1.8</v>
      </c>
      <c r="H19" s="142">
        <v>2.1</v>
      </c>
      <c r="I19" s="142">
        <v>2.1</v>
      </c>
      <c r="J19" s="142">
        <v>2.1</v>
      </c>
      <c r="K19" s="142">
        <v>2.1</v>
      </c>
      <c r="L19" s="142">
        <v>2.1</v>
      </c>
      <c r="M19" s="142">
        <v>2.1</v>
      </c>
      <c r="N19" s="142">
        <v>1.65</v>
      </c>
      <c r="O19" s="142">
        <v>1.65</v>
      </c>
      <c r="P19" s="142">
        <v>1.65</v>
      </c>
      <c r="Q19" s="142">
        <v>1.65</v>
      </c>
      <c r="R19" s="142">
        <v>1.65</v>
      </c>
      <c r="S19" s="142">
        <v>1.65</v>
      </c>
      <c r="T19" s="142">
        <v>1.65</v>
      </c>
      <c r="U19" s="142">
        <v>1.65</v>
      </c>
    </row>
    <row r="20" spans="1:21">
      <c r="B20" s="87"/>
      <c r="C20" s="105" t="s">
        <v>51</v>
      </c>
      <c r="D20" s="65" t="s">
        <v>23</v>
      </c>
      <c r="E20" s="65" t="s">
        <v>23</v>
      </c>
      <c r="F20" s="143" t="s">
        <v>23</v>
      </c>
      <c r="G20" s="65" t="s">
        <v>23</v>
      </c>
      <c r="H20" s="144" t="s">
        <v>23</v>
      </c>
      <c r="I20" s="144" t="s">
        <v>23</v>
      </c>
      <c r="J20" s="144" t="s">
        <v>23</v>
      </c>
      <c r="K20" s="144" t="s">
        <v>23</v>
      </c>
      <c r="L20" s="144" t="s">
        <v>23</v>
      </c>
      <c r="M20" s="144" t="s">
        <v>23</v>
      </c>
      <c r="N20" s="144" t="s">
        <v>23</v>
      </c>
      <c r="O20" s="144" t="s">
        <v>23</v>
      </c>
      <c r="P20" s="144" t="s">
        <v>23</v>
      </c>
      <c r="Q20" s="144" t="s">
        <v>23</v>
      </c>
      <c r="R20" s="144" t="s">
        <v>23</v>
      </c>
      <c r="S20" s="144" t="s">
        <v>23</v>
      </c>
      <c r="T20" s="144" t="s">
        <v>23</v>
      </c>
      <c r="U20" s="144" t="s">
        <v>23</v>
      </c>
    </row>
    <row r="21" spans="1:21">
      <c r="B21" s="87"/>
      <c r="C21" s="97" t="s">
        <v>52</v>
      </c>
      <c r="D21" s="67" t="s">
        <v>53</v>
      </c>
      <c r="E21" s="67" t="s">
        <v>54</v>
      </c>
      <c r="F21" s="139" t="s">
        <v>54</v>
      </c>
      <c r="G21" s="67" t="s">
        <v>54</v>
      </c>
      <c r="H21" s="145" t="s">
        <v>55</v>
      </c>
      <c r="I21" s="145" t="s">
        <v>55</v>
      </c>
      <c r="J21" s="145" t="s">
        <v>55</v>
      </c>
      <c r="K21" s="145" t="s">
        <v>55</v>
      </c>
      <c r="L21" s="145" t="s">
        <v>55</v>
      </c>
      <c r="M21" s="145" t="s">
        <v>55</v>
      </c>
      <c r="N21" s="145" t="s">
        <v>56</v>
      </c>
      <c r="O21" s="145" t="s">
        <v>56</v>
      </c>
      <c r="P21" s="145" t="s">
        <v>55</v>
      </c>
      <c r="Q21" s="145" t="s">
        <v>55</v>
      </c>
      <c r="R21" s="145" t="s">
        <v>55</v>
      </c>
      <c r="S21" s="145" t="s">
        <v>55</v>
      </c>
      <c r="T21" s="145" t="s">
        <v>55</v>
      </c>
      <c r="U21" s="145" t="s">
        <v>55</v>
      </c>
    </row>
    <row r="22" spans="1:21">
      <c r="B22" s="87"/>
      <c r="C22" s="97" t="s">
        <v>57</v>
      </c>
      <c r="D22" s="68" t="str">
        <f t="shared" ref="D22:U22" si="1">D12*D14&amp;"x"&amp;D13*D15</f>
        <v>192x216</v>
      </c>
      <c r="E22" s="68" t="str">
        <f t="shared" si="1"/>
        <v>256x256</v>
      </c>
      <c r="F22" s="140" t="str">
        <f t="shared" si="1"/>
        <v>256x256</v>
      </c>
      <c r="G22" s="68" t="str">
        <f t="shared" si="1"/>
        <v>256x256</v>
      </c>
      <c r="H22" s="146" t="str">
        <f t="shared" si="1"/>
        <v>168x168</v>
      </c>
      <c r="I22" s="146" t="str">
        <f t="shared" si="1"/>
        <v>168x168</v>
      </c>
      <c r="J22" s="146" t="str">
        <f t="shared" si="1"/>
        <v>120x120</v>
      </c>
      <c r="K22" s="146" t="str">
        <f t="shared" si="1"/>
        <v>120x120</v>
      </c>
      <c r="L22" s="146" t="str">
        <f t="shared" si="1"/>
        <v>96x96</v>
      </c>
      <c r="M22" s="146" t="str">
        <f t="shared" si="1"/>
        <v>96x96</v>
      </c>
      <c r="N22" s="146" t="str">
        <f t="shared" si="1"/>
        <v>160x90</v>
      </c>
      <c r="O22" s="146" t="str">
        <f t="shared" si="1"/>
        <v>160x90</v>
      </c>
      <c r="P22" s="146" t="str">
        <f t="shared" si="1"/>
        <v>80x90</v>
      </c>
      <c r="Q22" s="146" t="str">
        <f t="shared" si="1"/>
        <v>80x90</v>
      </c>
      <c r="R22" s="146" t="str">
        <f t="shared" si="1"/>
        <v>96x108</v>
      </c>
      <c r="S22" s="146" t="str">
        <f t="shared" si="1"/>
        <v>96x108</v>
      </c>
      <c r="T22" s="146" t="str">
        <f t="shared" si="1"/>
        <v>128x144</v>
      </c>
      <c r="U22" s="146" t="str">
        <f t="shared" si="1"/>
        <v>128x144</v>
      </c>
    </row>
    <row r="23" spans="1:21">
      <c r="B23" s="87"/>
      <c r="C23" s="97" t="s">
        <v>58</v>
      </c>
      <c r="D23" s="67" t="str">
        <f>ROUND(D14*D16*D12,0)&amp;"x"&amp;ROUND(D15*D16*D13,0)&amp;"x"&amp;"120"</f>
        <v>480x540x120</v>
      </c>
      <c r="E23" s="67" t="str">
        <f>ROUND(E14*E16*E12,0)&amp;"x"&amp;ROUND(E15*E16*E13,0)&amp;"x"&amp;"120"</f>
        <v>1000x1000x120</v>
      </c>
      <c r="F23" s="139" t="str">
        <f>ROUND(F14*F16*F12,0)&amp;"x"&amp;ROUND(F15*F16*F13,0)&amp;"x"&amp;"120"</f>
        <v>1000x1000x120</v>
      </c>
      <c r="G23" s="67" t="str">
        <f>ROUND(G14*G16*G12,0)&amp;"x"&amp;ROUND(G15*G16*G13,0)&amp;"x"&amp;"120"</f>
        <v>1000x1000x120</v>
      </c>
      <c r="H23" s="146" t="s">
        <v>59</v>
      </c>
      <c r="I23" s="146" t="s">
        <v>59</v>
      </c>
      <c r="J23" s="146" t="s">
        <v>59</v>
      </c>
      <c r="K23" s="146" t="s">
        <v>59</v>
      </c>
      <c r="L23" s="146" t="s">
        <v>59</v>
      </c>
      <c r="M23" s="146" t="s">
        <v>59</v>
      </c>
      <c r="N23" s="145" t="str">
        <f>ROUND(N14*N16*N12,0)&amp;"x"&amp;ROUND(N15*N16*N13,0)&amp;"x"&amp;"114"</f>
        <v>1600x900x114</v>
      </c>
      <c r="O23" s="145" t="str">
        <f>ROUND(O14*O16*O12,0)&amp;"x"&amp;ROUND(O15*O16*O13,0)&amp;"x"&amp;"114"</f>
        <v>1600x900x114</v>
      </c>
      <c r="P23" s="145" t="str">
        <f t="shared" ref="P23:U23" si="2">ROUND(P14*P16*P12,0)&amp;"x"&amp;ROUND(P15*P16*P13,0)&amp;"x"&amp;"130"</f>
        <v>800x900x130</v>
      </c>
      <c r="Q23" s="145" t="str">
        <f t="shared" si="2"/>
        <v>800x900x130</v>
      </c>
      <c r="R23" s="145" t="str">
        <f t="shared" si="2"/>
        <v>800x900x130</v>
      </c>
      <c r="S23" s="145" t="str">
        <f t="shared" si="2"/>
        <v>800x900x130</v>
      </c>
      <c r="T23" s="145" t="str">
        <f t="shared" si="2"/>
        <v>800x900x130</v>
      </c>
      <c r="U23" s="145" t="str">
        <f t="shared" si="2"/>
        <v>800x900x130</v>
      </c>
    </row>
    <row r="24" spans="1:21">
      <c r="B24" s="87"/>
      <c r="C24" s="76" t="s">
        <v>60</v>
      </c>
      <c r="D24" s="54">
        <v>0.25919999999999999</v>
      </c>
      <c r="E24" s="137">
        <v>1</v>
      </c>
      <c r="F24" s="138">
        <v>1</v>
      </c>
      <c r="G24" s="137">
        <v>1</v>
      </c>
      <c r="H24" s="147">
        <v>1</v>
      </c>
      <c r="I24" s="147">
        <v>1</v>
      </c>
      <c r="J24" s="147">
        <v>1</v>
      </c>
      <c r="K24" s="147">
        <v>1</v>
      </c>
      <c r="L24" s="147">
        <v>1</v>
      </c>
      <c r="M24" s="147">
        <v>1</v>
      </c>
      <c r="N24" s="147">
        <v>1.44</v>
      </c>
      <c r="O24" s="147">
        <v>1.44</v>
      </c>
      <c r="P24" s="147">
        <f t="shared" ref="P24:U24" si="3">0.8*0.9</f>
        <v>0.72000000000000008</v>
      </c>
      <c r="Q24" s="147">
        <f t="shared" si="3"/>
        <v>0.72000000000000008</v>
      </c>
      <c r="R24" s="147">
        <f t="shared" si="3"/>
        <v>0.72000000000000008</v>
      </c>
      <c r="S24" s="147">
        <f t="shared" si="3"/>
        <v>0.72000000000000008</v>
      </c>
      <c r="T24" s="148">
        <f t="shared" si="3"/>
        <v>0.72000000000000008</v>
      </c>
      <c r="U24" s="148">
        <f t="shared" si="3"/>
        <v>0.72000000000000008</v>
      </c>
    </row>
    <row r="25" spans="1:21" s="115" customFormat="1">
      <c r="A25" s="149"/>
      <c r="B25" s="87"/>
      <c r="C25" s="76" t="s">
        <v>61</v>
      </c>
      <c r="D25" s="150">
        <v>9.5</v>
      </c>
      <c r="E25" s="150">
        <v>31</v>
      </c>
      <c r="F25" s="151">
        <v>31</v>
      </c>
      <c r="G25" s="150">
        <v>31</v>
      </c>
      <c r="H25" s="152">
        <v>29.5</v>
      </c>
      <c r="I25" s="152">
        <v>29.5</v>
      </c>
      <c r="J25" s="152">
        <v>29.5</v>
      </c>
      <c r="K25" s="152">
        <v>29.5</v>
      </c>
      <c r="L25" s="152">
        <v>29.5</v>
      </c>
      <c r="M25" s="152">
        <v>29.5</v>
      </c>
      <c r="N25" s="152">
        <v>55</v>
      </c>
      <c r="O25" s="152">
        <v>55</v>
      </c>
      <c r="P25" s="152">
        <v>33</v>
      </c>
      <c r="Q25" s="152">
        <v>33</v>
      </c>
      <c r="R25" s="152">
        <v>33</v>
      </c>
      <c r="S25" s="152">
        <v>33</v>
      </c>
      <c r="T25" s="152">
        <v>33</v>
      </c>
      <c r="U25" s="152">
        <v>33</v>
      </c>
    </row>
    <row r="26" spans="1:21">
      <c r="B26" s="87"/>
      <c r="C26" s="76" t="s">
        <v>62</v>
      </c>
      <c r="D26" s="68">
        <v>41472</v>
      </c>
      <c r="E26" s="68">
        <v>65536</v>
      </c>
      <c r="F26" s="140">
        <v>65536</v>
      </c>
      <c r="G26" s="68">
        <v>65536</v>
      </c>
      <c r="H26" s="146">
        <v>28224</v>
      </c>
      <c r="I26" s="146">
        <v>28224</v>
      </c>
      <c r="J26" s="146">
        <v>14400</v>
      </c>
      <c r="K26" s="146">
        <v>14400</v>
      </c>
      <c r="L26" s="146">
        <v>9216</v>
      </c>
      <c r="M26" s="146">
        <v>9216</v>
      </c>
      <c r="N26" s="68">
        <v>14400</v>
      </c>
      <c r="O26" s="68">
        <v>14400</v>
      </c>
      <c r="P26" s="68">
        <v>14400</v>
      </c>
      <c r="Q26" s="68">
        <v>14400</v>
      </c>
      <c r="R26" s="68">
        <v>14400</v>
      </c>
      <c r="S26" s="68">
        <v>14400</v>
      </c>
      <c r="T26" s="68">
        <v>14400</v>
      </c>
      <c r="U26" s="68">
        <v>14400</v>
      </c>
    </row>
    <row r="27" spans="1:21">
      <c r="B27" s="87"/>
      <c r="C27" s="76" t="s">
        <v>63</v>
      </c>
      <c r="D27" s="78" t="s">
        <v>64</v>
      </c>
      <c r="E27" s="78" t="s">
        <v>64</v>
      </c>
      <c r="F27" s="153" t="s">
        <v>64</v>
      </c>
      <c r="G27" s="78" t="s">
        <v>64</v>
      </c>
      <c r="H27" s="154" t="s">
        <v>64</v>
      </c>
      <c r="I27" s="154" t="s">
        <v>64</v>
      </c>
      <c r="J27" s="154" t="s">
        <v>64</v>
      </c>
      <c r="K27" s="154" t="s">
        <v>64</v>
      </c>
      <c r="L27" s="154" t="s">
        <v>64</v>
      </c>
      <c r="M27" s="154" t="s">
        <v>64</v>
      </c>
      <c r="N27" s="78" t="s">
        <v>64</v>
      </c>
      <c r="O27" s="78" t="s">
        <v>64</v>
      </c>
      <c r="P27" s="78" t="s">
        <v>64</v>
      </c>
      <c r="Q27" s="78" t="s">
        <v>64</v>
      </c>
      <c r="R27" s="78" t="s">
        <v>64</v>
      </c>
      <c r="S27" s="78" t="s">
        <v>64</v>
      </c>
      <c r="T27" s="78" t="s">
        <v>64</v>
      </c>
      <c r="U27" s="78" t="s">
        <v>64</v>
      </c>
    </row>
    <row r="28" spans="1:21">
      <c r="B28" s="87"/>
      <c r="C28" s="76" t="s">
        <v>65</v>
      </c>
      <c r="D28" s="67" t="s">
        <v>66</v>
      </c>
      <c r="E28" s="67" t="s">
        <v>66</v>
      </c>
      <c r="F28" s="139" t="s">
        <v>66</v>
      </c>
      <c r="G28" s="67" t="s">
        <v>66</v>
      </c>
      <c r="H28" s="67" t="s">
        <v>66</v>
      </c>
      <c r="I28" s="67" t="s">
        <v>66</v>
      </c>
      <c r="J28" s="67" t="s">
        <v>66</v>
      </c>
      <c r="K28" s="67" t="s">
        <v>66</v>
      </c>
      <c r="L28" s="67" t="s">
        <v>66</v>
      </c>
      <c r="M28" s="67" t="s">
        <v>66</v>
      </c>
      <c r="N28" s="67" t="s">
        <v>66</v>
      </c>
      <c r="O28" s="67" t="s">
        <v>66</v>
      </c>
      <c r="P28" s="67" t="s">
        <v>66</v>
      </c>
      <c r="Q28" s="67" t="s">
        <v>66</v>
      </c>
      <c r="R28" s="67" t="s">
        <v>66</v>
      </c>
      <c r="S28" s="67" t="s">
        <v>66</v>
      </c>
      <c r="T28" s="67" t="s">
        <v>66</v>
      </c>
      <c r="U28" s="67" t="s">
        <v>66</v>
      </c>
    </row>
    <row r="29" spans="1:21" ht="46.05" customHeight="1">
      <c r="B29" s="155"/>
      <c r="C29" s="79" t="s">
        <v>67</v>
      </c>
      <c r="D29" s="87" t="s">
        <v>68</v>
      </c>
      <c r="E29" s="87" t="s">
        <v>69</v>
      </c>
      <c r="F29" s="156" t="s">
        <v>69</v>
      </c>
      <c r="G29" s="87" t="s">
        <v>69</v>
      </c>
      <c r="H29" s="87" t="s">
        <v>69</v>
      </c>
      <c r="I29" s="87" t="s">
        <v>69</v>
      </c>
      <c r="J29" s="87" t="s">
        <v>69</v>
      </c>
      <c r="K29" s="87" t="s">
        <v>69</v>
      </c>
      <c r="L29" s="87" t="s">
        <v>69</v>
      </c>
      <c r="M29" s="87" t="s">
        <v>69</v>
      </c>
      <c r="N29" s="87" t="s">
        <v>70</v>
      </c>
      <c r="O29" s="87" t="s">
        <v>70</v>
      </c>
      <c r="P29" s="87" t="s">
        <v>70</v>
      </c>
      <c r="Q29" s="87" t="s">
        <v>70</v>
      </c>
      <c r="R29" s="87" t="s">
        <v>70</v>
      </c>
      <c r="S29" s="87" t="s">
        <v>70</v>
      </c>
      <c r="T29" s="87" t="s">
        <v>70</v>
      </c>
      <c r="U29" s="87" t="s">
        <v>70</v>
      </c>
    </row>
    <row r="30" spans="1:21" ht="13.15" thickBot="1">
      <c r="B30" s="91"/>
      <c r="C30" s="82" t="s">
        <v>71</v>
      </c>
      <c r="D30" s="93" t="s">
        <v>72</v>
      </c>
      <c r="E30" s="93" t="s">
        <v>72</v>
      </c>
      <c r="F30" s="157" t="s">
        <v>72</v>
      </c>
      <c r="G30" s="93" t="s">
        <v>72</v>
      </c>
      <c r="H30" s="93" t="s">
        <v>72</v>
      </c>
      <c r="I30" s="93" t="s">
        <v>72</v>
      </c>
      <c r="J30" s="93" t="s">
        <v>72</v>
      </c>
      <c r="K30" s="93" t="s">
        <v>72</v>
      </c>
      <c r="L30" s="93" t="s">
        <v>72</v>
      </c>
      <c r="M30" s="93" t="s">
        <v>72</v>
      </c>
      <c r="N30" s="93" t="s">
        <v>72</v>
      </c>
      <c r="O30" s="93" t="s">
        <v>72</v>
      </c>
      <c r="P30" s="93" t="s">
        <v>73</v>
      </c>
      <c r="Q30" s="93" t="s">
        <v>73</v>
      </c>
      <c r="R30" s="93" t="s">
        <v>73</v>
      </c>
      <c r="S30" s="93" t="s">
        <v>73</v>
      </c>
      <c r="T30" s="93" t="s">
        <v>73</v>
      </c>
      <c r="U30" s="93" t="s">
        <v>73</v>
      </c>
    </row>
    <row r="31" spans="1:21">
      <c r="B31" s="195" t="s">
        <v>74</v>
      </c>
      <c r="C31" s="85" t="s">
        <v>75</v>
      </c>
      <c r="D31" s="158">
        <v>3000</v>
      </c>
      <c r="E31" s="158">
        <v>7000</v>
      </c>
      <c r="F31" s="159">
        <v>7000</v>
      </c>
      <c r="G31" s="158">
        <v>7000</v>
      </c>
      <c r="H31" s="160">
        <v>10000</v>
      </c>
      <c r="I31" s="160">
        <v>10000</v>
      </c>
      <c r="J31" s="160">
        <v>10000</v>
      </c>
      <c r="K31" s="160">
        <v>10000</v>
      </c>
      <c r="L31" s="160">
        <v>10000</v>
      </c>
      <c r="M31" s="160">
        <v>10000</v>
      </c>
      <c r="N31" s="160">
        <v>7500</v>
      </c>
      <c r="O31" s="160">
        <v>7500</v>
      </c>
      <c r="P31" s="160">
        <v>10000</v>
      </c>
      <c r="Q31" s="160">
        <v>10000</v>
      </c>
      <c r="R31" s="160">
        <v>10000</v>
      </c>
      <c r="S31" s="160">
        <v>10000</v>
      </c>
      <c r="T31" s="160">
        <v>10000</v>
      </c>
      <c r="U31" s="160">
        <v>10000</v>
      </c>
    </row>
    <row r="32" spans="1:21">
      <c r="B32" s="196"/>
      <c r="C32" s="76" t="s">
        <v>76</v>
      </c>
      <c r="D32" s="68" t="s">
        <v>77</v>
      </c>
      <c r="E32" s="68" t="s">
        <v>78</v>
      </c>
      <c r="F32" s="140" t="s">
        <v>78</v>
      </c>
      <c r="G32" s="68" t="s">
        <v>78</v>
      </c>
      <c r="H32" s="68" t="s">
        <v>78</v>
      </c>
      <c r="I32" s="68" t="s">
        <v>78</v>
      </c>
      <c r="J32" s="68" t="s">
        <v>78</v>
      </c>
      <c r="K32" s="68" t="s">
        <v>78</v>
      </c>
      <c r="L32" s="68" t="s">
        <v>78</v>
      </c>
      <c r="M32" s="68" t="s">
        <v>78</v>
      </c>
      <c r="N32" s="68" t="s">
        <v>78</v>
      </c>
      <c r="O32" s="68" t="s">
        <v>78</v>
      </c>
      <c r="P32" s="68" t="s">
        <v>78</v>
      </c>
      <c r="Q32" s="68" t="s">
        <v>78</v>
      </c>
      <c r="R32" s="68" t="s">
        <v>78</v>
      </c>
      <c r="S32" s="68" t="s">
        <v>78</v>
      </c>
      <c r="T32" s="68" t="s">
        <v>78</v>
      </c>
      <c r="U32" s="68" t="s">
        <v>78</v>
      </c>
    </row>
    <row r="33" spans="1:26">
      <c r="B33" s="196"/>
      <c r="C33" s="76" t="s">
        <v>79</v>
      </c>
      <c r="D33" s="67" t="s">
        <v>80</v>
      </c>
      <c r="E33" s="68" t="s">
        <v>81</v>
      </c>
      <c r="F33" s="140" t="s">
        <v>81</v>
      </c>
      <c r="G33" s="68" t="s">
        <v>81</v>
      </c>
      <c r="H33" s="68" t="s">
        <v>81</v>
      </c>
      <c r="I33" s="68" t="s">
        <v>81</v>
      </c>
      <c r="J33" s="68" t="s">
        <v>81</v>
      </c>
      <c r="K33" s="68" t="s">
        <v>81</v>
      </c>
      <c r="L33" s="68" t="s">
        <v>81</v>
      </c>
      <c r="M33" s="68" t="s">
        <v>81</v>
      </c>
      <c r="N33" s="68" t="s">
        <v>81</v>
      </c>
      <c r="O33" s="68" t="s">
        <v>81</v>
      </c>
      <c r="P33" s="68" t="s">
        <v>81</v>
      </c>
      <c r="Q33" s="68" t="s">
        <v>81</v>
      </c>
      <c r="R33" s="68" t="s">
        <v>81</v>
      </c>
      <c r="S33" s="68" t="s">
        <v>81</v>
      </c>
      <c r="T33" s="68" t="s">
        <v>81</v>
      </c>
      <c r="U33" s="68" t="s">
        <v>81</v>
      </c>
    </row>
    <row r="34" spans="1:26">
      <c r="B34" s="196"/>
      <c r="C34" s="76" t="s">
        <v>82</v>
      </c>
      <c r="D34" s="67" t="s">
        <v>80</v>
      </c>
      <c r="E34" s="67" t="s">
        <v>81</v>
      </c>
      <c r="F34" s="139" t="s">
        <v>81</v>
      </c>
      <c r="G34" s="67" t="s">
        <v>81</v>
      </c>
      <c r="H34" s="67" t="s">
        <v>83</v>
      </c>
      <c r="I34" s="67" t="s">
        <v>83</v>
      </c>
      <c r="J34" s="67" t="s">
        <v>83</v>
      </c>
      <c r="K34" s="67" t="s">
        <v>83</v>
      </c>
      <c r="L34" s="67" t="s">
        <v>83</v>
      </c>
      <c r="M34" s="67" t="s">
        <v>83</v>
      </c>
      <c r="N34" s="67" t="s">
        <v>84</v>
      </c>
      <c r="O34" s="67" t="s">
        <v>84</v>
      </c>
      <c r="P34" s="67" t="s">
        <v>85</v>
      </c>
      <c r="Q34" s="67" t="s">
        <v>85</v>
      </c>
      <c r="R34" s="67" t="s">
        <v>85</v>
      </c>
      <c r="S34" s="67" t="s">
        <v>85</v>
      </c>
      <c r="T34" s="67" t="s">
        <v>85</v>
      </c>
      <c r="U34" s="67" t="s">
        <v>85</v>
      </c>
    </row>
    <row r="35" spans="1:26" s="3" customFormat="1">
      <c r="A35" s="41"/>
      <c r="B35" s="196"/>
      <c r="C35" s="58" t="s">
        <v>86</v>
      </c>
      <c r="D35" s="67" t="s">
        <v>80</v>
      </c>
      <c r="E35" s="67" t="s">
        <v>80</v>
      </c>
      <c r="F35" s="139" t="s">
        <v>80</v>
      </c>
      <c r="G35" s="67" t="s">
        <v>80</v>
      </c>
      <c r="H35" s="67" t="s">
        <v>80</v>
      </c>
      <c r="I35" s="67" t="s">
        <v>80</v>
      </c>
      <c r="J35" s="67" t="s">
        <v>80</v>
      </c>
      <c r="K35" s="67" t="s">
        <v>80</v>
      </c>
      <c r="L35" s="67" t="s">
        <v>80</v>
      </c>
      <c r="M35" s="67" t="s">
        <v>80</v>
      </c>
      <c r="N35" s="67" t="s">
        <v>80</v>
      </c>
      <c r="O35" s="67" t="s">
        <v>80</v>
      </c>
      <c r="P35" s="67" t="s">
        <v>80</v>
      </c>
      <c r="Q35" s="67" t="s">
        <v>80</v>
      </c>
      <c r="R35" s="67" t="s">
        <v>80</v>
      </c>
      <c r="S35" s="67" t="s">
        <v>80</v>
      </c>
      <c r="T35" s="67" t="s">
        <v>80</v>
      </c>
      <c r="U35" s="67" t="s">
        <v>80</v>
      </c>
    </row>
    <row r="36" spans="1:26" s="3" customFormat="1">
      <c r="A36" s="41"/>
      <c r="B36" s="196"/>
      <c r="C36" s="58" t="s">
        <v>87</v>
      </c>
      <c r="D36" s="67" t="s">
        <v>80</v>
      </c>
      <c r="E36" s="67" t="s">
        <v>80</v>
      </c>
      <c r="F36" s="139" t="s">
        <v>80</v>
      </c>
      <c r="G36" s="67" t="s">
        <v>80</v>
      </c>
      <c r="H36" s="67" t="s">
        <v>88</v>
      </c>
      <c r="I36" s="67" t="s">
        <v>88</v>
      </c>
      <c r="J36" s="67" t="s">
        <v>89</v>
      </c>
      <c r="K36" s="67" t="s">
        <v>89</v>
      </c>
      <c r="L36" s="67" t="s">
        <v>90</v>
      </c>
      <c r="M36" s="67" t="s">
        <v>90</v>
      </c>
      <c r="N36" s="67" t="s">
        <v>91</v>
      </c>
      <c r="O36" s="67" t="s">
        <v>91</v>
      </c>
      <c r="P36" s="67" t="s">
        <v>92</v>
      </c>
      <c r="Q36" s="67" t="s">
        <v>92</v>
      </c>
      <c r="R36" s="67" t="s">
        <v>92</v>
      </c>
      <c r="S36" s="67" t="s">
        <v>92</v>
      </c>
      <c r="T36" s="67" t="s">
        <v>92</v>
      </c>
      <c r="U36" s="67" t="s">
        <v>92</v>
      </c>
    </row>
    <row r="37" spans="1:26">
      <c r="B37" s="196"/>
      <c r="C37" s="76" t="s">
        <v>93</v>
      </c>
      <c r="D37" s="68" t="s">
        <v>94</v>
      </c>
      <c r="E37" s="68" t="s">
        <v>94</v>
      </c>
      <c r="F37" s="140" t="s">
        <v>94</v>
      </c>
      <c r="G37" s="68" t="s">
        <v>94</v>
      </c>
      <c r="H37" s="68" t="s">
        <v>94</v>
      </c>
      <c r="I37" s="68" t="s">
        <v>94</v>
      </c>
      <c r="J37" s="68" t="s">
        <v>94</v>
      </c>
      <c r="K37" s="68" t="s">
        <v>94</v>
      </c>
      <c r="L37" s="68" t="s">
        <v>94</v>
      </c>
      <c r="M37" s="68" t="s">
        <v>94</v>
      </c>
      <c r="N37" s="68" t="s">
        <v>94</v>
      </c>
      <c r="O37" s="68" t="s">
        <v>94</v>
      </c>
      <c r="P37" s="68" t="s">
        <v>94</v>
      </c>
      <c r="Q37" s="68" t="s">
        <v>94</v>
      </c>
      <c r="R37" s="68" t="s">
        <v>94</v>
      </c>
      <c r="S37" s="68" t="s">
        <v>94</v>
      </c>
      <c r="T37" s="68" t="s">
        <v>94</v>
      </c>
      <c r="U37" s="68" t="s">
        <v>94</v>
      </c>
    </row>
    <row r="38" spans="1:26">
      <c r="B38" s="196"/>
      <c r="C38" s="76" t="s">
        <v>95</v>
      </c>
      <c r="D38" s="68" t="s">
        <v>96</v>
      </c>
      <c r="E38" s="68" t="s">
        <v>96</v>
      </c>
      <c r="F38" s="140" t="s">
        <v>96</v>
      </c>
      <c r="G38" s="68" t="s">
        <v>96</v>
      </c>
      <c r="H38" s="68" t="s">
        <v>96</v>
      </c>
      <c r="I38" s="68" t="s">
        <v>96</v>
      </c>
      <c r="J38" s="68" t="s">
        <v>96</v>
      </c>
      <c r="K38" s="68" t="s">
        <v>96</v>
      </c>
      <c r="L38" s="68" t="s">
        <v>96</v>
      </c>
      <c r="M38" s="68" t="s">
        <v>96</v>
      </c>
      <c r="N38" s="68" t="s">
        <v>96</v>
      </c>
      <c r="O38" s="68" t="s">
        <v>96</v>
      </c>
      <c r="P38" s="68" t="s">
        <v>96</v>
      </c>
      <c r="Q38" s="68" t="s">
        <v>96</v>
      </c>
      <c r="R38" s="68" t="s">
        <v>96</v>
      </c>
      <c r="S38" s="68" t="s">
        <v>96</v>
      </c>
      <c r="T38" s="68" t="s">
        <v>96</v>
      </c>
      <c r="U38" s="68" t="s">
        <v>96</v>
      </c>
    </row>
    <row r="39" spans="1:26" s="116" customFormat="1" ht="14.25">
      <c r="A39" s="161"/>
      <c r="B39" s="196"/>
      <c r="C39" s="162" t="s">
        <v>97</v>
      </c>
      <c r="D39" s="163" t="s">
        <v>98</v>
      </c>
      <c r="E39" s="163" t="s">
        <v>98</v>
      </c>
      <c r="F39" s="164" t="s">
        <v>99</v>
      </c>
      <c r="G39" s="163" t="s">
        <v>98</v>
      </c>
      <c r="H39" s="163" t="s">
        <v>100</v>
      </c>
      <c r="I39" s="163" t="s">
        <v>100</v>
      </c>
      <c r="J39" s="163" t="s">
        <v>101</v>
      </c>
      <c r="K39" s="163" t="s">
        <v>101</v>
      </c>
      <c r="L39" s="163" t="s">
        <v>99</v>
      </c>
      <c r="M39" s="163" t="s">
        <v>99</v>
      </c>
      <c r="N39" s="163" t="s">
        <v>99</v>
      </c>
      <c r="O39" s="163" t="s">
        <v>99</v>
      </c>
      <c r="P39" s="163" t="s">
        <v>99</v>
      </c>
      <c r="Q39" s="163" t="s">
        <v>99</v>
      </c>
      <c r="R39" s="163" t="s">
        <v>99</v>
      </c>
      <c r="S39" s="163" t="s">
        <v>99</v>
      </c>
      <c r="T39" s="163" t="s">
        <v>100</v>
      </c>
      <c r="U39" s="163" t="s">
        <v>100</v>
      </c>
      <c r="V39" s="117"/>
      <c r="W39" s="117"/>
      <c r="X39" s="117"/>
      <c r="Y39" s="117"/>
      <c r="Z39" s="117"/>
    </row>
    <row r="40" spans="1:26" ht="13.15" thickBot="1">
      <c r="B40" s="197"/>
      <c r="C40" s="82" t="s">
        <v>102</v>
      </c>
      <c r="D40" s="93">
        <v>16</v>
      </c>
      <c r="E40" s="93">
        <v>16</v>
      </c>
      <c r="F40" s="157">
        <v>16</v>
      </c>
      <c r="G40" s="93">
        <v>16</v>
      </c>
      <c r="H40" s="93">
        <v>16</v>
      </c>
      <c r="I40" s="93">
        <v>16</v>
      </c>
      <c r="J40" s="93">
        <v>16</v>
      </c>
      <c r="K40" s="93">
        <v>16</v>
      </c>
      <c r="L40" s="93">
        <v>16</v>
      </c>
      <c r="M40" s="93">
        <v>16</v>
      </c>
      <c r="N40" s="93">
        <v>16</v>
      </c>
      <c r="O40" s="93">
        <v>16</v>
      </c>
      <c r="P40" s="93">
        <v>16</v>
      </c>
      <c r="Q40" s="93">
        <v>16</v>
      </c>
      <c r="R40" s="93">
        <v>16</v>
      </c>
      <c r="S40" s="93">
        <v>16</v>
      </c>
      <c r="T40" s="93">
        <v>16</v>
      </c>
      <c r="U40" s="93">
        <v>16</v>
      </c>
    </row>
    <row r="41" spans="1:26">
      <c r="B41" s="198"/>
      <c r="C41" s="76" t="s">
        <v>103</v>
      </c>
      <c r="D41" s="68">
        <v>150</v>
      </c>
      <c r="E41" s="146">
        <v>650</v>
      </c>
      <c r="F41" s="140">
        <v>505</v>
      </c>
      <c r="G41" s="146">
        <v>650</v>
      </c>
      <c r="H41" s="68">
        <v>650</v>
      </c>
      <c r="I41" s="68">
        <v>650</v>
      </c>
      <c r="J41" s="68">
        <v>650</v>
      </c>
      <c r="K41" s="68">
        <v>650</v>
      </c>
      <c r="L41" s="68">
        <v>650</v>
      </c>
      <c r="M41" s="68">
        <v>650</v>
      </c>
      <c r="N41" s="68">
        <v>680</v>
      </c>
      <c r="O41" s="68">
        <v>680</v>
      </c>
      <c r="P41" s="68">
        <v>460</v>
      </c>
      <c r="Q41" s="68">
        <v>460</v>
      </c>
      <c r="R41" s="68">
        <v>460</v>
      </c>
      <c r="S41" s="68">
        <v>460</v>
      </c>
      <c r="T41" s="68">
        <v>460</v>
      </c>
      <c r="U41" s="68">
        <v>460</v>
      </c>
    </row>
    <row r="42" spans="1:26">
      <c r="B42" s="196"/>
      <c r="C42" s="97" t="s">
        <v>104</v>
      </c>
      <c r="D42" s="68">
        <f t="shared" ref="D42:U42" si="4">D41*0.4</f>
        <v>60</v>
      </c>
      <c r="E42" s="146">
        <f t="shared" si="4"/>
        <v>260</v>
      </c>
      <c r="F42" s="140">
        <f t="shared" si="4"/>
        <v>202</v>
      </c>
      <c r="G42" s="146">
        <f t="shared" si="4"/>
        <v>260</v>
      </c>
      <c r="H42" s="68">
        <f t="shared" si="4"/>
        <v>260</v>
      </c>
      <c r="I42" s="68">
        <f t="shared" si="4"/>
        <v>260</v>
      </c>
      <c r="J42" s="68">
        <f t="shared" si="4"/>
        <v>260</v>
      </c>
      <c r="K42" s="68">
        <f t="shared" si="4"/>
        <v>260</v>
      </c>
      <c r="L42" s="68">
        <f t="shared" si="4"/>
        <v>260</v>
      </c>
      <c r="M42" s="68">
        <f t="shared" si="4"/>
        <v>260</v>
      </c>
      <c r="N42" s="68">
        <f t="shared" si="4"/>
        <v>272</v>
      </c>
      <c r="O42" s="68">
        <f t="shared" si="4"/>
        <v>272</v>
      </c>
      <c r="P42" s="68">
        <f t="shared" si="4"/>
        <v>184</v>
      </c>
      <c r="Q42" s="68">
        <f t="shared" si="4"/>
        <v>184</v>
      </c>
      <c r="R42" s="68">
        <f t="shared" si="4"/>
        <v>184</v>
      </c>
      <c r="S42" s="68">
        <f t="shared" si="4"/>
        <v>184</v>
      </c>
      <c r="T42" s="68">
        <f t="shared" si="4"/>
        <v>184</v>
      </c>
      <c r="U42" s="68">
        <f t="shared" si="4"/>
        <v>184</v>
      </c>
    </row>
    <row r="43" spans="1:26">
      <c r="B43" s="196"/>
      <c r="C43" s="97" t="s">
        <v>105</v>
      </c>
      <c r="D43" s="68">
        <f t="shared" ref="D43:U43" si="5">D41/D24</f>
        <v>578.7037037037037</v>
      </c>
      <c r="E43" s="146">
        <f t="shared" si="5"/>
        <v>650</v>
      </c>
      <c r="F43" s="140">
        <f t="shared" si="5"/>
        <v>505</v>
      </c>
      <c r="G43" s="146">
        <f t="shared" si="5"/>
        <v>650</v>
      </c>
      <c r="H43" s="68">
        <f t="shared" si="5"/>
        <v>650</v>
      </c>
      <c r="I43" s="68">
        <f t="shared" si="5"/>
        <v>650</v>
      </c>
      <c r="J43" s="68">
        <f t="shared" si="5"/>
        <v>650</v>
      </c>
      <c r="K43" s="68">
        <f t="shared" si="5"/>
        <v>650</v>
      </c>
      <c r="L43" s="68">
        <f t="shared" si="5"/>
        <v>650</v>
      </c>
      <c r="M43" s="68">
        <f t="shared" si="5"/>
        <v>650</v>
      </c>
      <c r="N43" s="68">
        <f t="shared" si="5"/>
        <v>472.22222222222223</v>
      </c>
      <c r="O43" s="68">
        <f t="shared" si="5"/>
        <v>472.22222222222223</v>
      </c>
      <c r="P43" s="68">
        <f t="shared" si="5"/>
        <v>638.8888888888888</v>
      </c>
      <c r="Q43" s="68">
        <f t="shared" si="5"/>
        <v>638.8888888888888</v>
      </c>
      <c r="R43" s="68">
        <f t="shared" si="5"/>
        <v>638.8888888888888</v>
      </c>
      <c r="S43" s="68">
        <f t="shared" si="5"/>
        <v>638.8888888888888</v>
      </c>
      <c r="T43" s="68">
        <f t="shared" si="5"/>
        <v>638.8888888888888</v>
      </c>
      <c r="U43" s="68">
        <f t="shared" si="5"/>
        <v>638.8888888888888</v>
      </c>
    </row>
    <row r="44" spans="1:26">
      <c r="B44" s="196"/>
      <c r="C44" s="76" t="s">
        <v>106</v>
      </c>
      <c r="D44" s="68" t="s">
        <v>107</v>
      </c>
      <c r="E44" s="68" t="s">
        <v>107</v>
      </c>
      <c r="F44" s="140" t="s">
        <v>107</v>
      </c>
      <c r="G44" s="68" t="s">
        <v>107</v>
      </c>
      <c r="H44" s="68" t="s">
        <v>107</v>
      </c>
      <c r="I44" s="68" t="s">
        <v>107</v>
      </c>
      <c r="J44" s="68" t="s">
        <v>107</v>
      </c>
      <c r="K44" s="68" t="s">
        <v>107</v>
      </c>
      <c r="L44" s="68" t="s">
        <v>107</v>
      </c>
      <c r="M44" s="68" t="s">
        <v>107</v>
      </c>
      <c r="N44" s="68" t="s">
        <v>107</v>
      </c>
      <c r="O44" s="68" t="s">
        <v>107</v>
      </c>
      <c r="P44" s="68" t="s">
        <v>107</v>
      </c>
      <c r="Q44" s="68" t="s">
        <v>107</v>
      </c>
      <c r="R44" s="68" t="s">
        <v>107</v>
      </c>
      <c r="S44" s="68" t="s">
        <v>107</v>
      </c>
      <c r="T44" s="68" t="s">
        <v>107</v>
      </c>
      <c r="U44" s="68" t="s">
        <v>107</v>
      </c>
    </row>
    <row r="45" spans="1:26">
      <c r="B45" s="196"/>
      <c r="C45" s="76" t="s">
        <v>108</v>
      </c>
      <c r="D45" s="68" t="s">
        <v>109</v>
      </c>
      <c r="E45" s="68" t="s">
        <v>109</v>
      </c>
      <c r="F45" s="140" t="s">
        <v>109</v>
      </c>
      <c r="G45" s="68" t="s">
        <v>109</v>
      </c>
      <c r="H45" s="68" t="s">
        <v>109</v>
      </c>
      <c r="I45" s="68" t="s">
        <v>109</v>
      </c>
      <c r="J45" s="68" t="s">
        <v>109</v>
      </c>
      <c r="K45" s="68" t="s">
        <v>109</v>
      </c>
      <c r="L45" s="68" t="s">
        <v>109</v>
      </c>
      <c r="M45" s="68" t="s">
        <v>109</v>
      </c>
      <c r="N45" s="68" t="s">
        <v>109</v>
      </c>
      <c r="O45" s="68" t="s">
        <v>109</v>
      </c>
      <c r="P45" s="68" t="s">
        <v>109</v>
      </c>
      <c r="Q45" s="68" t="s">
        <v>109</v>
      </c>
      <c r="R45" s="68" t="s">
        <v>109</v>
      </c>
      <c r="S45" s="68" t="s">
        <v>109</v>
      </c>
      <c r="T45" s="68" t="s">
        <v>109</v>
      </c>
      <c r="U45" s="68" t="s">
        <v>109</v>
      </c>
    </row>
    <row r="46" spans="1:26" s="117" customFormat="1" ht="14.65" thickBot="1">
      <c r="A46" s="165"/>
      <c r="B46" s="196"/>
      <c r="C46" s="166" t="s">
        <v>110</v>
      </c>
      <c r="D46" s="167" t="s">
        <v>111</v>
      </c>
      <c r="E46" s="168" t="s">
        <v>111</v>
      </c>
      <c r="F46" s="169" t="s">
        <v>111</v>
      </c>
      <c r="G46" s="168" t="s">
        <v>111</v>
      </c>
      <c r="H46" s="170" t="s">
        <v>112</v>
      </c>
      <c r="I46" s="170" t="s">
        <v>112</v>
      </c>
      <c r="J46" s="170" t="s">
        <v>112</v>
      </c>
      <c r="K46" s="170" t="s">
        <v>112</v>
      </c>
      <c r="L46" s="170" t="s">
        <v>112</v>
      </c>
      <c r="M46" s="170" t="s">
        <v>112</v>
      </c>
      <c r="N46" s="170" t="s">
        <v>112</v>
      </c>
      <c r="O46" s="170" t="s">
        <v>112</v>
      </c>
      <c r="P46" s="170" t="s">
        <v>112</v>
      </c>
      <c r="Q46" s="170" t="s">
        <v>112</v>
      </c>
      <c r="R46" s="170" t="s">
        <v>112</v>
      </c>
      <c r="S46" s="170" t="s">
        <v>112</v>
      </c>
      <c r="T46" s="170" t="s">
        <v>112</v>
      </c>
      <c r="U46" s="170" t="s">
        <v>112</v>
      </c>
    </row>
    <row r="47" spans="1:26">
      <c r="B47" s="199" t="s">
        <v>113</v>
      </c>
      <c r="C47" s="85" t="s">
        <v>114</v>
      </c>
      <c r="D47" s="171">
        <v>100000</v>
      </c>
      <c r="E47" s="171">
        <v>100000</v>
      </c>
      <c r="F47" s="172">
        <v>100000</v>
      </c>
      <c r="G47" s="171">
        <v>100000</v>
      </c>
      <c r="H47" s="171">
        <v>100000</v>
      </c>
      <c r="I47" s="171">
        <v>100000</v>
      </c>
      <c r="J47" s="171">
        <v>100000</v>
      </c>
      <c r="K47" s="171">
        <v>100000</v>
      </c>
      <c r="L47" s="171">
        <v>100000</v>
      </c>
      <c r="M47" s="171">
        <v>100000</v>
      </c>
      <c r="N47" s="171">
        <v>100000</v>
      </c>
      <c r="O47" s="171">
        <v>100000</v>
      </c>
      <c r="P47" s="171">
        <v>100000</v>
      </c>
      <c r="Q47" s="171">
        <v>100000</v>
      </c>
      <c r="R47" s="171">
        <v>100000</v>
      </c>
      <c r="S47" s="171">
        <v>100000</v>
      </c>
      <c r="T47" s="171">
        <v>100000</v>
      </c>
      <c r="U47" s="171">
        <v>100000</v>
      </c>
    </row>
    <row r="48" spans="1:26">
      <c r="B48" s="200"/>
      <c r="C48" s="76" t="s">
        <v>115</v>
      </c>
      <c r="D48" s="180" t="s">
        <v>116</v>
      </c>
      <c r="E48" s="180" t="s">
        <v>117</v>
      </c>
      <c r="F48" s="181" t="s">
        <v>117</v>
      </c>
      <c r="G48" s="180" t="s">
        <v>117</v>
      </c>
      <c r="H48" s="180" t="s">
        <v>117</v>
      </c>
      <c r="I48" s="180" t="s">
        <v>117</v>
      </c>
      <c r="J48" s="180" t="s">
        <v>117</v>
      </c>
      <c r="K48" s="180" t="s">
        <v>117</v>
      </c>
      <c r="L48" s="180" t="s">
        <v>117</v>
      </c>
      <c r="M48" s="180" t="s">
        <v>117</v>
      </c>
      <c r="N48" s="180" t="s">
        <v>117</v>
      </c>
      <c r="O48" s="180" t="s">
        <v>117</v>
      </c>
      <c r="P48" s="180" t="s">
        <v>117</v>
      </c>
      <c r="Q48" s="180" t="s">
        <v>117</v>
      </c>
      <c r="R48" s="180" t="s">
        <v>117</v>
      </c>
      <c r="S48" s="180" t="s">
        <v>117</v>
      </c>
      <c r="T48" s="180" t="s">
        <v>117</v>
      </c>
      <c r="U48" s="180" t="s">
        <v>117</v>
      </c>
    </row>
    <row r="49" spans="1:21" s="9" customFormat="1" ht="25.5">
      <c r="A49" s="104"/>
      <c r="B49" s="200"/>
      <c r="C49" s="105" t="s">
        <v>118</v>
      </c>
      <c r="D49" s="87" t="s">
        <v>119</v>
      </c>
      <c r="E49" s="87" t="s">
        <v>119</v>
      </c>
      <c r="F49" s="156" t="s">
        <v>119</v>
      </c>
      <c r="G49" s="87" t="s">
        <v>119</v>
      </c>
      <c r="H49" s="87" t="s">
        <v>119</v>
      </c>
      <c r="I49" s="87" t="s">
        <v>119</v>
      </c>
      <c r="J49" s="87" t="s">
        <v>119</v>
      </c>
      <c r="K49" s="87" t="s">
        <v>119</v>
      </c>
      <c r="L49" s="87" t="s">
        <v>119</v>
      </c>
      <c r="M49" s="87" t="s">
        <v>119</v>
      </c>
      <c r="N49" s="87" t="s">
        <v>119</v>
      </c>
      <c r="O49" s="87" t="s">
        <v>119</v>
      </c>
      <c r="P49" s="87" t="s">
        <v>119</v>
      </c>
      <c r="Q49" s="87" t="s">
        <v>119</v>
      </c>
      <c r="R49" s="87" t="s">
        <v>119</v>
      </c>
      <c r="S49" s="87" t="s">
        <v>119</v>
      </c>
      <c r="T49" s="87" t="s">
        <v>119</v>
      </c>
      <c r="U49" s="87" t="s">
        <v>119</v>
      </c>
    </row>
    <row r="50" spans="1:21" s="3" customFormat="1">
      <c r="A50" s="41"/>
      <c r="B50" s="200"/>
      <c r="C50" s="58" t="s">
        <v>120</v>
      </c>
      <c r="D50" s="145" t="s">
        <v>121</v>
      </c>
      <c r="E50" s="67" t="s">
        <v>121</v>
      </c>
      <c r="F50" s="139" t="s">
        <v>121</v>
      </c>
      <c r="G50" s="67" t="s">
        <v>121</v>
      </c>
      <c r="H50" s="145" t="s">
        <v>121</v>
      </c>
      <c r="I50" s="145" t="s">
        <v>121</v>
      </c>
      <c r="J50" s="145" t="s">
        <v>121</v>
      </c>
      <c r="K50" s="145" t="s">
        <v>121</v>
      </c>
      <c r="L50" s="145" t="s">
        <v>121</v>
      </c>
      <c r="M50" s="145" t="s">
        <v>121</v>
      </c>
      <c r="N50" s="145" t="s">
        <v>121</v>
      </c>
      <c r="O50" s="145" t="s">
        <v>121</v>
      </c>
      <c r="P50" s="145" t="s">
        <v>121</v>
      </c>
      <c r="Q50" s="145" t="s">
        <v>121</v>
      </c>
      <c r="R50" s="145" t="s">
        <v>121</v>
      </c>
      <c r="S50" s="145" t="s">
        <v>121</v>
      </c>
      <c r="T50" s="145" t="s">
        <v>121</v>
      </c>
      <c r="U50" s="145" t="s">
        <v>121</v>
      </c>
    </row>
    <row r="51" spans="1:21" s="3" customFormat="1" ht="13.15" thickBot="1">
      <c r="A51" s="41"/>
      <c r="B51" s="201"/>
      <c r="C51" s="173" t="s">
        <v>122</v>
      </c>
      <c r="D51" s="174" t="s">
        <v>121</v>
      </c>
      <c r="E51" s="175" t="s">
        <v>121</v>
      </c>
      <c r="F51" s="176" t="s">
        <v>121</v>
      </c>
      <c r="G51" s="175" t="s">
        <v>121</v>
      </c>
      <c r="H51" s="174" t="s">
        <v>121</v>
      </c>
      <c r="I51" s="174" t="s">
        <v>121</v>
      </c>
      <c r="J51" s="174" t="s">
        <v>121</v>
      </c>
      <c r="K51" s="174" t="s">
        <v>121</v>
      </c>
      <c r="L51" s="174" t="s">
        <v>121</v>
      </c>
      <c r="M51" s="174" t="s">
        <v>121</v>
      </c>
      <c r="N51" s="174" t="s">
        <v>121</v>
      </c>
      <c r="O51" s="174" t="s">
        <v>121</v>
      </c>
      <c r="P51" s="174" t="s">
        <v>121</v>
      </c>
      <c r="Q51" s="174" t="s">
        <v>121</v>
      </c>
      <c r="R51" s="174" t="s">
        <v>121</v>
      </c>
      <c r="S51" s="174" t="s">
        <v>121</v>
      </c>
      <c r="T51" s="174" t="s">
        <v>121</v>
      </c>
      <c r="U51" s="174" t="s">
        <v>121</v>
      </c>
    </row>
    <row r="52" spans="1:21" ht="13.15" thickTop="1">
      <c r="D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</row>
    <row r="53" spans="1:21" ht="13.5" thickBot="1">
      <c r="B53" s="206" t="s">
        <v>191</v>
      </c>
      <c r="C53" s="206"/>
      <c r="D53" s="177"/>
    </row>
    <row r="54" spans="1:21" s="10" customFormat="1" ht="13.5" thickBot="1">
      <c r="A54" s="113"/>
      <c r="B54" s="242" t="s">
        <v>182</v>
      </c>
      <c r="C54" s="243"/>
      <c r="D54" s="244">
        <v>1469</v>
      </c>
      <c r="E54" s="244">
        <v>2231</v>
      </c>
      <c r="F54" s="245">
        <v>3329</v>
      </c>
      <c r="G54" s="245">
        <v>2298</v>
      </c>
      <c r="H54" s="245">
        <v>2422</v>
      </c>
      <c r="I54" s="245">
        <v>1911</v>
      </c>
      <c r="J54" s="245">
        <v>1847</v>
      </c>
      <c r="K54" s="245">
        <v>1409</v>
      </c>
      <c r="L54" s="245">
        <v>1473</v>
      </c>
      <c r="M54" s="245">
        <v>1260</v>
      </c>
      <c r="N54" s="245">
        <v>3011</v>
      </c>
      <c r="O54" s="245">
        <v>2660</v>
      </c>
      <c r="P54" s="245">
        <v>1320</v>
      </c>
      <c r="Q54" s="245">
        <v>1189</v>
      </c>
      <c r="R54" s="245">
        <v>1407</v>
      </c>
      <c r="S54" s="246">
        <v>1240</v>
      </c>
      <c r="T54" s="246">
        <v>2232</v>
      </c>
      <c r="U54" s="246">
        <v>1545</v>
      </c>
    </row>
    <row r="55" spans="1:21" s="10" customFormat="1" ht="13.5" thickBot="1">
      <c r="A55" s="113"/>
      <c r="B55" s="242" t="s">
        <v>183</v>
      </c>
      <c r="C55" s="243"/>
      <c r="D55" s="247">
        <f t="shared" ref="D55:U55" si="6">D54/D24</f>
        <v>5667.4382716049386</v>
      </c>
      <c r="E55" s="247">
        <f t="shared" si="6"/>
        <v>2231</v>
      </c>
      <c r="F55" s="247">
        <f t="shared" si="6"/>
        <v>3329</v>
      </c>
      <c r="G55" s="247">
        <f t="shared" si="6"/>
        <v>2298</v>
      </c>
      <c r="H55" s="247">
        <f t="shared" si="6"/>
        <v>2422</v>
      </c>
      <c r="I55" s="247">
        <f t="shared" si="6"/>
        <v>1911</v>
      </c>
      <c r="J55" s="247">
        <f t="shared" si="6"/>
        <v>1847</v>
      </c>
      <c r="K55" s="247">
        <f t="shared" si="6"/>
        <v>1409</v>
      </c>
      <c r="L55" s="247">
        <f t="shared" si="6"/>
        <v>1473</v>
      </c>
      <c r="M55" s="247">
        <f t="shared" si="6"/>
        <v>1260</v>
      </c>
      <c r="N55" s="247">
        <f t="shared" si="6"/>
        <v>2090.9722222222222</v>
      </c>
      <c r="O55" s="247">
        <f t="shared" si="6"/>
        <v>1847.2222222222224</v>
      </c>
      <c r="P55" s="247">
        <f t="shared" si="6"/>
        <v>1833.333333333333</v>
      </c>
      <c r="Q55" s="247">
        <f t="shared" si="6"/>
        <v>1651.3888888888887</v>
      </c>
      <c r="R55" s="247">
        <f t="shared" si="6"/>
        <v>1954.1666666666665</v>
      </c>
      <c r="S55" s="247">
        <f t="shared" si="6"/>
        <v>1722.2222222222219</v>
      </c>
      <c r="T55" s="247">
        <f t="shared" si="6"/>
        <v>3099.9999999999995</v>
      </c>
      <c r="U55" s="247">
        <f t="shared" si="6"/>
        <v>2145.833333333333</v>
      </c>
    </row>
    <row r="56" spans="1:21" ht="13.5" thickBot="1">
      <c r="B56" s="193" t="s">
        <v>184</v>
      </c>
      <c r="C56" s="194"/>
      <c r="D56" s="248">
        <f t="shared" ref="D56:U56" si="7">D55/10.7639</f>
        <v>526.52275398368056</v>
      </c>
      <c r="E56" s="248">
        <f t="shared" si="7"/>
        <v>207.26688282128225</v>
      </c>
      <c r="F56" s="248">
        <f t="shared" si="7"/>
        <v>309.27451945856058</v>
      </c>
      <c r="G56" s="248">
        <f t="shared" si="7"/>
        <v>213.49139252501416</v>
      </c>
      <c r="H56" s="248">
        <f t="shared" si="7"/>
        <v>225.01138063341355</v>
      </c>
      <c r="I56" s="248">
        <f t="shared" si="7"/>
        <v>177.53788125121937</v>
      </c>
      <c r="J56" s="248">
        <f t="shared" si="7"/>
        <v>171.59208093720679</v>
      </c>
      <c r="K56" s="248">
        <f t="shared" si="7"/>
        <v>130.9005100381832</v>
      </c>
      <c r="L56" s="248">
        <f t="shared" si="7"/>
        <v>136.84631035219576</v>
      </c>
      <c r="M56" s="248">
        <f t="shared" si="7"/>
        <v>117.05794368212266</v>
      </c>
      <c r="N56" s="248">
        <f t="shared" si="7"/>
        <v>194.25786399188235</v>
      </c>
      <c r="O56" s="248">
        <f t="shared" si="7"/>
        <v>171.61272607718601</v>
      </c>
      <c r="P56" s="248">
        <f t="shared" si="7"/>
        <v>170.3224048284853</v>
      </c>
      <c r="Q56" s="248">
        <f t="shared" si="7"/>
        <v>153.41919647050685</v>
      </c>
      <c r="R56" s="248">
        <f t="shared" si="7"/>
        <v>181.54819969218096</v>
      </c>
      <c r="S56" s="248">
        <f t="shared" si="7"/>
        <v>159.99983483888013</v>
      </c>
      <c r="T56" s="248">
        <f t="shared" si="7"/>
        <v>287.99970270998426</v>
      </c>
      <c r="U56" s="248">
        <f t="shared" si="7"/>
        <v>199.35463292424987</v>
      </c>
    </row>
    <row r="57" spans="1:21">
      <c r="C57" s="12" t="s">
        <v>193</v>
      </c>
      <c r="D57" s="256">
        <f>480/24.5/12</f>
        <v>1.6326530612244898</v>
      </c>
      <c r="E57" s="256">
        <f>1000/24.5/12</f>
        <v>3.4013605442176869</v>
      </c>
      <c r="F57" s="256">
        <f>480/24.5/12</f>
        <v>1.6326530612244898</v>
      </c>
      <c r="G57" s="256">
        <f t="shared" ref="G57:U58" si="8">1000/24.5/12</f>
        <v>3.4013605442176869</v>
      </c>
      <c r="H57" s="256">
        <f t="shared" si="8"/>
        <v>3.4013605442176869</v>
      </c>
      <c r="I57" s="256">
        <f t="shared" si="8"/>
        <v>3.4013605442176869</v>
      </c>
      <c r="J57" s="256">
        <f t="shared" si="8"/>
        <v>3.4013605442176869</v>
      </c>
      <c r="K57" s="256">
        <f t="shared" si="8"/>
        <v>3.4013605442176869</v>
      </c>
      <c r="L57" s="256">
        <f t="shared" si="8"/>
        <v>3.4013605442176869</v>
      </c>
      <c r="M57" s="256">
        <f t="shared" si="8"/>
        <v>3.4013605442176869</v>
      </c>
      <c r="N57" s="256">
        <f t="shared" si="8"/>
        <v>3.4013605442176869</v>
      </c>
      <c r="O57" s="256">
        <f t="shared" si="8"/>
        <v>3.4013605442176869</v>
      </c>
      <c r="P57" s="256">
        <f t="shared" si="8"/>
        <v>3.4013605442176869</v>
      </c>
      <c r="Q57" s="256">
        <f t="shared" si="8"/>
        <v>3.4013605442176869</v>
      </c>
      <c r="R57" s="256">
        <f t="shared" si="8"/>
        <v>3.4013605442176869</v>
      </c>
      <c r="S57" s="256">
        <f t="shared" si="8"/>
        <v>3.4013605442176869</v>
      </c>
      <c r="T57" s="256">
        <f t="shared" si="8"/>
        <v>3.4013605442176869</v>
      </c>
      <c r="U57" s="256">
        <f t="shared" si="8"/>
        <v>3.4013605442176869</v>
      </c>
    </row>
    <row r="58" spans="1:21">
      <c r="C58" s="12" t="s">
        <v>194</v>
      </c>
      <c r="D58" s="256">
        <f>540/24.5/12</f>
        <v>1.8367346938775511</v>
      </c>
      <c r="E58" s="256">
        <f>1000/24.5/12</f>
        <v>3.4013605442176869</v>
      </c>
      <c r="F58" s="256">
        <f>540/24.5/12</f>
        <v>1.8367346938775511</v>
      </c>
      <c r="G58" s="256">
        <f t="shared" si="8"/>
        <v>3.4013605442176869</v>
      </c>
      <c r="H58" s="256">
        <f t="shared" si="8"/>
        <v>3.4013605442176869</v>
      </c>
      <c r="I58" s="256">
        <f t="shared" si="8"/>
        <v>3.4013605442176869</v>
      </c>
      <c r="J58" s="256">
        <f t="shared" si="8"/>
        <v>3.4013605442176869</v>
      </c>
      <c r="K58" s="256">
        <f t="shared" si="8"/>
        <v>3.4013605442176869</v>
      </c>
      <c r="L58" s="256">
        <f t="shared" si="8"/>
        <v>3.4013605442176869</v>
      </c>
      <c r="M58" s="256">
        <f t="shared" si="8"/>
        <v>3.4013605442176869</v>
      </c>
      <c r="N58" s="256">
        <f t="shared" si="8"/>
        <v>3.4013605442176869</v>
      </c>
      <c r="O58" s="256">
        <f t="shared" si="8"/>
        <v>3.4013605442176869</v>
      </c>
      <c r="P58" s="256">
        <f t="shared" si="8"/>
        <v>3.4013605442176869</v>
      </c>
      <c r="Q58" s="256">
        <f t="shared" si="8"/>
        <v>3.4013605442176869</v>
      </c>
      <c r="R58" s="256">
        <f t="shared" si="8"/>
        <v>3.4013605442176869</v>
      </c>
      <c r="S58" s="256">
        <f t="shared" si="8"/>
        <v>3.4013605442176869</v>
      </c>
      <c r="T58" s="256">
        <f t="shared" si="8"/>
        <v>3.4013605442176869</v>
      </c>
      <c r="U58" s="256">
        <f t="shared" si="8"/>
        <v>3.4013605442176869</v>
      </c>
    </row>
    <row r="59" spans="1:21">
      <c r="C59" s="12" t="s">
        <v>195</v>
      </c>
      <c r="D59" s="256">
        <f>D57/D12</f>
        <v>0.81632653061224492</v>
      </c>
      <c r="E59" s="256">
        <f t="shared" ref="E59:U59" si="9">E57/E12</f>
        <v>1.7006802721088434</v>
      </c>
      <c r="F59" s="256">
        <f t="shared" si="9"/>
        <v>0.81632653061224492</v>
      </c>
      <c r="G59" s="256">
        <f t="shared" si="9"/>
        <v>1.7006802721088434</v>
      </c>
      <c r="H59" s="256">
        <f t="shared" si="9"/>
        <v>1.7006802721088434</v>
      </c>
      <c r="I59" s="256">
        <f t="shared" si="9"/>
        <v>1.7006802721088434</v>
      </c>
      <c r="J59" s="256">
        <f t="shared" si="9"/>
        <v>1.7006802721088434</v>
      </c>
      <c r="K59" s="256">
        <f t="shared" si="9"/>
        <v>1.7006802721088434</v>
      </c>
      <c r="L59" s="256">
        <f t="shared" si="9"/>
        <v>1.7006802721088434</v>
      </c>
      <c r="M59" s="256">
        <f t="shared" si="9"/>
        <v>1.7006802721088434</v>
      </c>
      <c r="N59" s="256">
        <f t="shared" si="9"/>
        <v>0.85034013605442171</v>
      </c>
      <c r="O59" s="256">
        <f t="shared" si="9"/>
        <v>0.85034013605442171</v>
      </c>
      <c r="P59" s="256">
        <f t="shared" si="9"/>
        <v>1.7006802721088434</v>
      </c>
      <c r="Q59" s="256">
        <f t="shared" si="9"/>
        <v>1.7006802721088434</v>
      </c>
      <c r="R59" s="256">
        <f t="shared" si="9"/>
        <v>1.7006802721088434</v>
      </c>
      <c r="S59" s="256">
        <f t="shared" si="9"/>
        <v>1.7006802721088434</v>
      </c>
      <c r="T59" s="256">
        <f t="shared" si="9"/>
        <v>1.7006802721088434</v>
      </c>
      <c r="U59" s="256">
        <f t="shared" si="9"/>
        <v>1.7006802721088434</v>
      </c>
    </row>
    <row r="60" spans="1:21" ht="13.15" thickBot="1">
      <c r="C60" s="12" t="s">
        <v>196</v>
      </c>
      <c r="D60" s="256">
        <f>D58/D13</f>
        <v>0.91836734693877553</v>
      </c>
      <c r="E60" s="256">
        <f t="shared" ref="E60:U60" si="10">E58/E13</f>
        <v>0.85034013605442171</v>
      </c>
      <c r="F60" s="256">
        <f t="shared" si="10"/>
        <v>0.45918367346938777</v>
      </c>
      <c r="G60" s="256">
        <f t="shared" si="10"/>
        <v>0.85034013605442171</v>
      </c>
      <c r="H60" s="256">
        <f t="shared" si="10"/>
        <v>1.1337868480725624</v>
      </c>
      <c r="I60" s="256">
        <f t="shared" si="10"/>
        <v>1.1337868480725624</v>
      </c>
      <c r="J60" s="256">
        <f t="shared" si="10"/>
        <v>1.1337868480725624</v>
      </c>
      <c r="K60" s="256">
        <f t="shared" si="10"/>
        <v>1.1337868480725624</v>
      </c>
      <c r="L60" s="256">
        <f t="shared" si="10"/>
        <v>1.1337868480725624</v>
      </c>
      <c r="M60" s="256">
        <f t="shared" si="10"/>
        <v>1.1337868480725624</v>
      </c>
      <c r="N60" s="256">
        <f t="shared" si="10"/>
        <v>1.1337868480725624</v>
      </c>
      <c r="O60" s="256">
        <f t="shared" si="10"/>
        <v>1.1337868480725624</v>
      </c>
      <c r="P60" s="256">
        <f t="shared" si="10"/>
        <v>1.1337868480725624</v>
      </c>
      <c r="Q60" s="256">
        <f t="shared" si="10"/>
        <v>1.1337868480725624</v>
      </c>
      <c r="R60" s="256">
        <f t="shared" si="10"/>
        <v>1.1337868480725624</v>
      </c>
      <c r="S60" s="256">
        <f t="shared" si="10"/>
        <v>1.1337868480725624</v>
      </c>
      <c r="T60" s="256">
        <f t="shared" si="10"/>
        <v>1.1337868480725624</v>
      </c>
      <c r="U60" s="256">
        <f t="shared" si="10"/>
        <v>1.1337868480725624</v>
      </c>
    </row>
    <row r="61" spans="1:21" ht="13.5" thickBot="1">
      <c r="B61" s="257" t="s">
        <v>197</v>
      </c>
      <c r="C61" s="258"/>
      <c r="D61" s="259">
        <f t="shared" ref="D61:U61" si="11">D56*1.1</f>
        <v>579.17502938204871</v>
      </c>
      <c r="E61" s="259">
        <f t="shared" si="11"/>
        <v>227.99357110341049</v>
      </c>
      <c r="F61" s="259">
        <f t="shared" si="11"/>
        <v>340.20197140441667</v>
      </c>
      <c r="G61" s="259">
        <f t="shared" si="11"/>
        <v>234.84053177751559</v>
      </c>
      <c r="H61" s="259">
        <f t="shared" si="11"/>
        <v>247.51251869675494</v>
      </c>
      <c r="I61" s="259">
        <f t="shared" si="11"/>
        <v>195.29166937634133</v>
      </c>
      <c r="J61" s="259">
        <f t="shared" si="11"/>
        <v>188.7512890309275</v>
      </c>
      <c r="K61" s="259">
        <f t="shared" si="11"/>
        <v>143.99056104200153</v>
      </c>
      <c r="L61" s="259">
        <f t="shared" si="11"/>
        <v>150.53094138741534</v>
      </c>
      <c r="M61" s="259">
        <f t="shared" si="11"/>
        <v>128.76373805033492</v>
      </c>
      <c r="N61" s="259">
        <f t="shared" si="11"/>
        <v>213.68365039107059</v>
      </c>
      <c r="O61" s="259">
        <f t="shared" si="11"/>
        <v>188.77399868490463</v>
      </c>
      <c r="P61" s="259">
        <f t="shared" si="11"/>
        <v>187.35464531133385</v>
      </c>
      <c r="Q61" s="259">
        <f t="shared" si="11"/>
        <v>168.76111611755755</v>
      </c>
      <c r="R61" s="259">
        <f t="shared" si="11"/>
        <v>199.70301966139908</v>
      </c>
      <c r="S61" s="259">
        <f t="shared" si="11"/>
        <v>175.99981832276816</v>
      </c>
      <c r="T61" s="259">
        <f t="shared" si="11"/>
        <v>316.79967298098273</v>
      </c>
      <c r="U61" s="259">
        <f t="shared" si="11"/>
        <v>219.29009621667487</v>
      </c>
    </row>
    <row r="62" spans="1:21" ht="13.15" thickBot="1">
      <c r="N62" s="178"/>
    </row>
    <row r="63" spans="1:21" ht="13.5" thickBot="1">
      <c r="B63" s="188" t="s">
        <v>192</v>
      </c>
      <c r="C63" s="189"/>
      <c r="D63" s="190">
        <v>12</v>
      </c>
      <c r="E63" s="190">
        <v>12</v>
      </c>
      <c r="F63" s="190">
        <v>12</v>
      </c>
      <c r="G63" s="190">
        <v>12</v>
      </c>
      <c r="H63" s="190">
        <v>12</v>
      </c>
      <c r="I63" s="190">
        <v>12</v>
      </c>
      <c r="J63" s="190">
        <v>12</v>
      </c>
      <c r="K63" s="190">
        <v>12</v>
      </c>
      <c r="L63" s="190">
        <v>12</v>
      </c>
      <c r="M63" s="190">
        <v>12</v>
      </c>
      <c r="N63" s="190">
        <v>12</v>
      </c>
      <c r="O63" s="190">
        <v>12</v>
      </c>
      <c r="P63" s="190">
        <v>12</v>
      </c>
      <c r="Q63" s="190">
        <v>12</v>
      </c>
      <c r="R63" s="190">
        <v>12</v>
      </c>
      <c r="S63" s="190">
        <v>12</v>
      </c>
      <c r="T63" s="190">
        <v>12</v>
      </c>
      <c r="U63" s="191">
        <v>12</v>
      </c>
    </row>
    <row r="69" spans="4:20">
      <c r="D69" s="4"/>
      <c r="E69" s="4"/>
      <c r="S69" s="179"/>
      <c r="T69" s="179"/>
    </row>
  </sheetData>
  <mergeCells count="42">
    <mergeCell ref="N4:O4"/>
    <mergeCell ref="P4:Q4"/>
    <mergeCell ref="R4:S4"/>
    <mergeCell ref="T4:U4"/>
    <mergeCell ref="B2:C2"/>
    <mergeCell ref="H3:I3"/>
    <mergeCell ref="E4:G4"/>
    <mergeCell ref="H4:I4"/>
    <mergeCell ref="J4:K4"/>
    <mergeCell ref="J3:K3"/>
    <mergeCell ref="L3:M3"/>
    <mergeCell ref="L4:M4"/>
    <mergeCell ref="P5:Q5"/>
    <mergeCell ref="R5:S5"/>
    <mergeCell ref="T5:U5"/>
    <mergeCell ref="E6:G6"/>
    <mergeCell ref="H6:I6"/>
    <mergeCell ref="J6:K6"/>
    <mergeCell ref="L6:M6"/>
    <mergeCell ref="N6:O6"/>
    <mergeCell ref="P6:Q6"/>
    <mergeCell ref="R6:S6"/>
    <mergeCell ref="T6:U6"/>
    <mergeCell ref="E5:G5"/>
    <mergeCell ref="H5:I5"/>
    <mergeCell ref="J5:K5"/>
    <mergeCell ref="L5:M5"/>
    <mergeCell ref="N5:O5"/>
    <mergeCell ref="P7:Q7"/>
    <mergeCell ref="R7:S7"/>
    <mergeCell ref="T7:U7"/>
    <mergeCell ref="B53:C53"/>
    <mergeCell ref="B54:C54"/>
    <mergeCell ref="E7:G7"/>
    <mergeCell ref="H7:I7"/>
    <mergeCell ref="J7:K7"/>
    <mergeCell ref="L7:M7"/>
    <mergeCell ref="B55:C55"/>
    <mergeCell ref="B56:C56"/>
    <mergeCell ref="B31:B40"/>
    <mergeCell ref="B41:B46"/>
    <mergeCell ref="B47:B51"/>
  </mergeCells>
  <pageMargins left="0.23622047244094499" right="0.23622047244094499" top="0.23622047244094499" bottom="0.23622047244094499" header="0.31496062992126" footer="0.31496062992126"/>
  <pageSetup paperSize="9"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6"/>
  <sheetViews>
    <sheetView showGridLines="0" tabSelected="1" zoomScaleNormal="100" workbookViewId="0">
      <pane xSplit="3" ySplit="10" topLeftCell="AG24" activePane="bottomRight" state="frozen"/>
      <selection pane="topRight"/>
      <selection pane="bottomLeft"/>
      <selection pane="bottomRight" activeCell="G59" sqref="G59:AM59"/>
    </sheetView>
  </sheetViews>
  <sheetFormatPr defaultColWidth="9" defaultRowHeight="12.75"/>
  <cols>
    <col min="1" max="1" width="3.796875" style="11" customWidth="1"/>
    <col min="2" max="2" width="9.33203125" style="12" customWidth="1"/>
    <col min="3" max="3" width="42.6640625" style="12" customWidth="1"/>
    <col min="4" max="4" width="20" style="12" customWidth="1"/>
    <col min="5" max="5" width="20.46484375" style="12" customWidth="1"/>
    <col min="6" max="6" width="19" style="12" customWidth="1"/>
    <col min="7" max="7" width="29.796875" style="12" customWidth="1"/>
    <col min="8" max="8" width="24.796875" style="12" customWidth="1"/>
    <col min="9" max="9" width="28" style="12" customWidth="1"/>
    <col min="10" max="10" width="19" style="12" customWidth="1"/>
    <col min="11" max="11" width="28.1328125" style="12" customWidth="1"/>
    <col min="12" max="12" width="18.46484375" style="12" customWidth="1"/>
    <col min="13" max="13" width="26.33203125" style="12" customWidth="1"/>
    <col min="14" max="39" width="15.6640625" style="12" customWidth="1"/>
    <col min="40" max="16384" width="9" style="12"/>
  </cols>
  <sheetData>
    <row r="1" spans="1:39" ht="13.15">
      <c r="B1" s="13"/>
      <c r="C1" s="13"/>
      <c r="H1" s="7"/>
      <c r="I1" s="7"/>
      <c r="L1" s="14"/>
    </row>
    <row r="2" spans="1:39" ht="13.15">
      <c r="B2" s="219" t="s">
        <v>123</v>
      </c>
      <c r="C2" s="219"/>
      <c r="F2" s="15"/>
      <c r="G2" s="15"/>
      <c r="H2" s="15"/>
      <c r="I2" s="15"/>
      <c r="J2" s="15"/>
      <c r="K2" s="15"/>
      <c r="L2" s="15"/>
      <c r="M2" s="15"/>
      <c r="T2" s="15"/>
      <c r="U2" s="15"/>
    </row>
    <row r="3" spans="1:39" ht="13.5" thickBot="1">
      <c r="B3" s="16"/>
      <c r="C3" s="16"/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39" s="1" customFormat="1" ht="16.05" customHeight="1" thickBot="1">
      <c r="A4" s="17"/>
      <c r="B4" s="18"/>
      <c r="C4" s="19"/>
      <c r="D4" s="20" t="s">
        <v>124</v>
      </c>
      <c r="E4" s="20" t="s">
        <v>125</v>
      </c>
      <c r="F4" s="21" t="s">
        <v>126</v>
      </c>
      <c r="G4" s="21" t="s">
        <v>127</v>
      </c>
      <c r="H4" s="21" t="s">
        <v>128</v>
      </c>
      <c r="I4" s="21" t="s">
        <v>129</v>
      </c>
      <c r="J4" s="21" t="s">
        <v>130</v>
      </c>
      <c r="K4" s="21" t="s">
        <v>131</v>
      </c>
      <c r="L4" s="21" t="s">
        <v>132</v>
      </c>
      <c r="M4" s="21" t="s">
        <v>133</v>
      </c>
      <c r="N4" s="222" t="s">
        <v>134</v>
      </c>
      <c r="O4" s="232"/>
      <c r="P4" s="223"/>
      <c r="Q4" s="222" t="s">
        <v>185</v>
      </c>
      <c r="R4" s="232"/>
      <c r="S4" s="223"/>
      <c r="T4" s="233" t="s">
        <v>135</v>
      </c>
      <c r="U4" s="232"/>
      <c r="V4" s="232"/>
      <c r="W4" s="233" t="s">
        <v>186</v>
      </c>
      <c r="X4" s="232"/>
      <c r="Y4" s="232"/>
      <c r="Z4" s="233" t="s">
        <v>136</v>
      </c>
      <c r="AA4" s="232"/>
      <c r="AB4" s="232"/>
      <c r="AC4" s="233" t="s">
        <v>187</v>
      </c>
      <c r="AD4" s="232"/>
      <c r="AE4" s="232"/>
      <c r="AF4" s="222" t="s">
        <v>137</v>
      </c>
      <c r="AG4" s="223"/>
      <c r="AH4" s="222" t="s">
        <v>188</v>
      </c>
      <c r="AI4" s="223"/>
      <c r="AJ4" s="222" t="s">
        <v>138</v>
      </c>
      <c r="AK4" s="223"/>
      <c r="AL4" s="222" t="s">
        <v>189</v>
      </c>
      <c r="AM4" s="223"/>
    </row>
    <row r="5" spans="1:39" ht="15" customHeight="1" thickBot="1">
      <c r="B5" s="22"/>
      <c r="C5" s="23"/>
      <c r="D5" s="24" t="s">
        <v>139</v>
      </c>
      <c r="E5" s="24" t="s">
        <v>139</v>
      </c>
      <c r="F5" s="25" t="s">
        <v>140</v>
      </c>
      <c r="G5" s="25" t="s">
        <v>140</v>
      </c>
      <c r="H5" s="25" t="s">
        <v>140</v>
      </c>
      <c r="I5" s="25" t="s">
        <v>140</v>
      </c>
      <c r="J5" s="25" t="s">
        <v>140</v>
      </c>
      <c r="K5" s="25" t="s">
        <v>140</v>
      </c>
      <c r="L5" s="25" t="s">
        <v>141</v>
      </c>
      <c r="M5" s="25" t="s">
        <v>141</v>
      </c>
      <c r="N5" s="224" t="s">
        <v>141</v>
      </c>
      <c r="O5" s="230"/>
      <c r="P5" s="225"/>
      <c r="Q5" s="224" t="s">
        <v>141</v>
      </c>
      <c r="R5" s="230"/>
      <c r="S5" s="225"/>
      <c r="T5" s="231" t="s">
        <v>141</v>
      </c>
      <c r="U5" s="230"/>
      <c r="V5" s="230"/>
      <c r="W5" s="231" t="s">
        <v>141</v>
      </c>
      <c r="X5" s="230"/>
      <c r="Y5" s="230"/>
      <c r="Z5" s="231" t="s">
        <v>141</v>
      </c>
      <c r="AA5" s="230"/>
      <c r="AB5" s="230"/>
      <c r="AC5" s="231" t="s">
        <v>141</v>
      </c>
      <c r="AD5" s="230"/>
      <c r="AE5" s="230"/>
      <c r="AF5" s="224" t="s">
        <v>13</v>
      </c>
      <c r="AG5" s="225"/>
      <c r="AH5" s="224" t="s">
        <v>13</v>
      </c>
      <c r="AI5" s="225"/>
      <c r="AJ5" s="224" t="s">
        <v>13</v>
      </c>
      <c r="AK5" s="225"/>
      <c r="AL5" s="224" t="s">
        <v>13</v>
      </c>
      <c r="AM5" s="225"/>
    </row>
    <row r="6" spans="1:39" s="2" customFormat="1" ht="13.5" thickTop="1">
      <c r="A6" s="26"/>
      <c r="D6" s="27" t="s">
        <v>142</v>
      </c>
      <c r="E6" s="27" t="s">
        <v>143</v>
      </c>
      <c r="F6" s="28" t="s">
        <v>144</v>
      </c>
      <c r="G6" s="28" t="s">
        <v>144</v>
      </c>
      <c r="H6" s="28" t="s">
        <v>142</v>
      </c>
      <c r="I6" s="28" t="s">
        <v>142</v>
      </c>
      <c r="J6" s="28" t="s">
        <v>143</v>
      </c>
      <c r="K6" s="28" t="s">
        <v>143</v>
      </c>
      <c r="L6" s="28" t="s">
        <v>17</v>
      </c>
      <c r="M6" s="28" t="s">
        <v>17</v>
      </c>
      <c r="N6" s="28" t="s">
        <v>145</v>
      </c>
      <c r="O6" s="29" t="s">
        <v>145</v>
      </c>
      <c r="P6" s="29" t="s">
        <v>145</v>
      </c>
      <c r="Q6" s="28" t="s">
        <v>145</v>
      </c>
      <c r="R6" s="29" t="s">
        <v>145</v>
      </c>
      <c r="S6" s="29" t="s">
        <v>145</v>
      </c>
      <c r="T6" s="30" t="s">
        <v>146</v>
      </c>
      <c r="U6" s="31" t="s">
        <v>146</v>
      </c>
      <c r="V6" s="31" t="s">
        <v>146</v>
      </c>
      <c r="W6" s="30" t="s">
        <v>146</v>
      </c>
      <c r="X6" s="31" t="s">
        <v>146</v>
      </c>
      <c r="Y6" s="31" t="s">
        <v>146</v>
      </c>
      <c r="Z6" s="28" t="s">
        <v>22</v>
      </c>
      <c r="AA6" s="29" t="s">
        <v>22</v>
      </c>
      <c r="AB6" s="31" t="s">
        <v>22</v>
      </c>
      <c r="AC6" s="28" t="s">
        <v>22</v>
      </c>
      <c r="AD6" s="29" t="s">
        <v>22</v>
      </c>
      <c r="AE6" s="31" t="s">
        <v>22</v>
      </c>
      <c r="AF6" s="30" t="s">
        <v>146</v>
      </c>
      <c r="AG6" s="31" t="s">
        <v>146</v>
      </c>
      <c r="AH6" s="30" t="s">
        <v>146</v>
      </c>
      <c r="AI6" s="31" t="s">
        <v>146</v>
      </c>
      <c r="AJ6" s="30" t="s">
        <v>22</v>
      </c>
      <c r="AK6" s="31" t="s">
        <v>22</v>
      </c>
      <c r="AL6" s="30" t="s">
        <v>22</v>
      </c>
      <c r="AM6" s="31" t="s">
        <v>22</v>
      </c>
    </row>
    <row r="7" spans="1:39" ht="13.5" thickBot="1">
      <c r="B7" s="32" t="s">
        <v>190</v>
      </c>
      <c r="D7" s="33" t="s">
        <v>147</v>
      </c>
      <c r="E7" s="33" t="s">
        <v>147</v>
      </c>
      <c r="F7" s="34" t="s">
        <v>23</v>
      </c>
      <c r="G7" s="34" t="s">
        <v>23</v>
      </c>
      <c r="H7" s="34" t="s">
        <v>23</v>
      </c>
      <c r="I7" s="34" t="s">
        <v>23</v>
      </c>
      <c r="J7" s="34" t="s">
        <v>23</v>
      </c>
      <c r="K7" s="34" t="s">
        <v>23</v>
      </c>
      <c r="L7" s="34" t="s">
        <v>23</v>
      </c>
      <c r="M7" s="34" t="s">
        <v>23</v>
      </c>
      <c r="N7" s="34" t="s">
        <v>23</v>
      </c>
      <c r="O7" s="35" t="s">
        <v>23</v>
      </c>
      <c r="P7" s="35" t="s">
        <v>23</v>
      </c>
      <c r="Q7" s="34" t="s">
        <v>23</v>
      </c>
      <c r="R7" s="35" t="s">
        <v>23</v>
      </c>
      <c r="S7" s="35" t="s">
        <v>23</v>
      </c>
      <c r="T7" s="34" t="s">
        <v>23</v>
      </c>
      <c r="U7" s="35" t="s">
        <v>23</v>
      </c>
      <c r="V7" s="35" t="s">
        <v>23</v>
      </c>
      <c r="W7" s="34" t="s">
        <v>23</v>
      </c>
      <c r="X7" s="35" t="s">
        <v>23</v>
      </c>
      <c r="Y7" s="35" t="s">
        <v>23</v>
      </c>
      <c r="Z7" s="34" t="s">
        <v>23</v>
      </c>
      <c r="AA7" s="35" t="s">
        <v>23</v>
      </c>
      <c r="AB7" s="35" t="s">
        <v>23</v>
      </c>
      <c r="AC7" s="34" t="s">
        <v>23</v>
      </c>
      <c r="AD7" s="35" t="s">
        <v>23</v>
      </c>
      <c r="AE7" s="35" t="s">
        <v>23</v>
      </c>
      <c r="AF7" s="34" t="s">
        <v>23</v>
      </c>
      <c r="AG7" s="35" t="s">
        <v>23</v>
      </c>
      <c r="AH7" s="34" t="s">
        <v>23</v>
      </c>
      <c r="AI7" s="35" t="s">
        <v>23</v>
      </c>
      <c r="AJ7" s="34" t="s">
        <v>23</v>
      </c>
      <c r="AK7" s="35" t="s">
        <v>23</v>
      </c>
      <c r="AL7" s="34" t="s">
        <v>23</v>
      </c>
      <c r="AM7" s="35" t="s">
        <v>23</v>
      </c>
    </row>
    <row r="8" spans="1:39" ht="13.15" thickTop="1">
      <c r="B8" s="234" t="s">
        <v>25</v>
      </c>
      <c r="C8" s="36" t="s">
        <v>26</v>
      </c>
      <c r="D8" s="37" t="s">
        <v>29</v>
      </c>
      <c r="E8" s="37" t="s">
        <v>29</v>
      </c>
      <c r="F8" s="38" t="s">
        <v>27</v>
      </c>
      <c r="G8" s="38" t="s">
        <v>27</v>
      </c>
      <c r="H8" s="38" t="s">
        <v>27</v>
      </c>
      <c r="I8" s="38" t="s">
        <v>27</v>
      </c>
      <c r="J8" s="38" t="s">
        <v>27</v>
      </c>
      <c r="K8" s="38" t="s">
        <v>27</v>
      </c>
      <c r="L8" s="38" t="s">
        <v>27</v>
      </c>
      <c r="M8" s="38" t="s">
        <v>27</v>
      </c>
      <c r="N8" s="39" t="s">
        <v>29</v>
      </c>
      <c r="O8" s="40" t="s">
        <v>29</v>
      </c>
      <c r="P8" s="38" t="s">
        <v>27</v>
      </c>
      <c r="Q8" s="39" t="s">
        <v>29</v>
      </c>
      <c r="R8" s="40" t="s">
        <v>29</v>
      </c>
      <c r="S8" s="38" t="s">
        <v>27</v>
      </c>
      <c r="T8" s="39" t="s">
        <v>29</v>
      </c>
      <c r="U8" s="40" t="s">
        <v>29</v>
      </c>
      <c r="V8" s="38" t="s">
        <v>27</v>
      </c>
      <c r="W8" s="39" t="s">
        <v>29</v>
      </c>
      <c r="X8" s="40" t="s">
        <v>29</v>
      </c>
      <c r="Y8" s="38" t="s">
        <v>27</v>
      </c>
      <c r="Z8" s="39" t="s">
        <v>29</v>
      </c>
      <c r="AA8" s="40" t="s">
        <v>29</v>
      </c>
      <c r="AB8" s="38" t="s">
        <v>27</v>
      </c>
      <c r="AC8" s="39" t="s">
        <v>29</v>
      </c>
      <c r="AD8" s="40" t="s">
        <v>29</v>
      </c>
      <c r="AE8" s="38" t="s">
        <v>27</v>
      </c>
      <c r="AF8" s="39" t="s">
        <v>29</v>
      </c>
      <c r="AG8" s="40" t="s">
        <v>29</v>
      </c>
      <c r="AH8" s="39" t="s">
        <v>29</v>
      </c>
      <c r="AI8" s="40" t="s">
        <v>29</v>
      </c>
      <c r="AJ8" s="39" t="s">
        <v>29</v>
      </c>
      <c r="AK8" s="40" t="s">
        <v>29</v>
      </c>
      <c r="AL8" s="39" t="s">
        <v>29</v>
      </c>
      <c r="AM8" s="40" t="s">
        <v>29</v>
      </c>
    </row>
    <row r="9" spans="1:39" s="3" customFormat="1">
      <c r="A9" s="41"/>
      <c r="B9" s="235"/>
      <c r="C9" s="42" t="s">
        <v>30</v>
      </c>
      <c r="D9" s="43" t="s">
        <v>148</v>
      </c>
      <c r="E9" s="43" t="s">
        <v>148</v>
      </c>
      <c r="F9" s="44" t="s">
        <v>31</v>
      </c>
      <c r="G9" s="44" t="s">
        <v>31</v>
      </c>
      <c r="H9" s="44" t="s">
        <v>31</v>
      </c>
      <c r="I9" s="44" t="s">
        <v>31</v>
      </c>
      <c r="J9" s="44" t="s">
        <v>31</v>
      </c>
      <c r="K9" s="44" t="s">
        <v>31</v>
      </c>
      <c r="L9" s="44" t="s">
        <v>31</v>
      </c>
      <c r="M9" s="44" t="s">
        <v>31</v>
      </c>
      <c r="N9" s="45" t="s">
        <v>149</v>
      </c>
      <c r="O9" s="46" t="s">
        <v>150</v>
      </c>
      <c r="P9" s="44" t="s">
        <v>31</v>
      </c>
      <c r="Q9" s="45" t="s">
        <v>149</v>
      </c>
      <c r="R9" s="46" t="s">
        <v>150</v>
      </c>
      <c r="S9" s="44" t="s">
        <v>31</v>
      </c>
      <c r="T9" s="45" t="s">
        <v>149</v>
      </c>
      <c r="U9" s="46" t="s">
        <v>150</v>
      </c>
      <c r="V9" s="44" t="s">
        <v>31</v>
      </c>
      <c r="W9" s="45" t="s">
        <v>149</v>
      </c>
      <c r="X9" s="46" t="s">
        <v>150</v>
      </c>
      <c r="Y9" s="44" t="s">
        <v>31</v>
      </c>
      <c r="Z9" s="45" t="s">
        <v>149</v>
      </c>
      <c r="AA9" s="46" t="s">
        <v>150</v>
      </c>
      <c r="AB9" s="44" t="s">
        <v>31</v>
      </c>
      <c r="AC9" s="45" t="s">
        <v>149</v>
      </c>
      <c r="AD9" s="46" t="s">
        <v>150</v>
      </c>
      <c r="AE9" s="44" t="s">
        <v>31</v>
      </c>
      <c r="AF9" s="45" t="s">
        <v>149</v>
      </c>
      <c r="AG9" s="46" t="s">
        <v>150</v>
      </c>
      <c r="AH9" s="45" t="s">
        <v>149</v>
      </c>
      <c r="AI9" s="46" t="s">
        <v>150</v>
      </c>
      <c r="AJ9" s="45" t="s">
        <v>149</v>
      </c>
      <c r="AK9" s="46" t="s">
        <v>150</v>
      </c>
      <c r="AL9" s="45" t="s">
        <v>149</v>
      </c>
      <c r="AM9" s="46" t="s">
        <v>150</v>
      </c>
    </row>
    <row r="10" spans="1:39">
      <c r="B10" s="235"/>
      <c r="C10" s="47" t="s">
        <v>37</v>
      </c>
      <c r="D10" s="43" t="s">
        <v>151</v>
      </c>
      <c r="E10" s="43" t="s">
        <v>151</v>
      </c>
      <c r="F10" s="48" t="s">
        <v>38</v>
      </c>
      <c r="G10" s="48" t="s">
        <v>38</v>
      </c>
      <c r="H10" s="48" t="s">
        <v>38</v>
      </c>
      <c r="I10" s="48" t="s">
        <v>38</v>
      </c>
      <c r="J10" s="48" t="s">
        <v>38</v>
      </c>
      <c r="K10" s="48" t="s">
        <v>38</v>
      </c>
      <c r="L10" s="48" t="s">
        <v>38</v>
      </c>
      <c r="M10" s="48" t="s">
        <v>38</v>
      </c>
      <c r="N10" s="48" t="s">
        <v>38</v>
      </c>
      <c r="O10" s="49" t="s">
        <v>38</v>
      </c>
      <c r="P10" s="49" t="s">
        <v>38</v>
      </c>
      <c r="Q10" s="48" t="s">
        <v>38</v>
      </c>
      <c r="R10" s="49" t="s">
        <v>38</v>
      </c>
      <c r="S10" s="49" t="s">
        <v>38</v>
      </c>
      <c r="T10" s="48" t="s">
        <v>38</v>
      </c>
      <c r="U10" s="49" t="s">
        <v>38</v>
      </c>
      <c r="V10" s="49" t="s">
        <v>38</v>
      </c>
      <c r="W10" s="48" t="s">
        <v>38</v>
      </c>
      <c r="X10" s="49" t="s">
        <v>38</v>
      </c>
      <c r="Y10" s="49" t="s">
        <v>38</v>
      </c>
      <c r="Z10" s="48" t="s">
        <v>38</v>
      </c>
      <c r="AA10" s="49" t="s">
        <v>38</v>
      </c>
      <c r="AB10" s="49" t="s">
        <v>38</v>
      </c>
      <c r="AC10" s="48" t="s">
        <v>38</v>
      </c>
      <c r="AD10" s="49" t="s">
        <v>38</v>
      </c>
      <c r="AE10" s="49" t="s">
        <v>38</v>
      </c>
      <c r="AF10" s="48" t="s">
        <v>38</v>
      </c>
      <c r="AG10" s="49" t="s">
        <v>38</v>
      </c>
      <c r="AH10" s="48" t="s">
        <v>38</v>
      </c>
      <c r="AI10" s="49" t="s">
        <v>38</v>
      </c>
      <c r="AJ10" s="48" t="s">
        <v>38</v>
      </c>
      <c r="AK10" s="49" t="s">
        <v>38</v>
      </c>
      <c r="AL10" s="48" t="s">
        <v>38</v>
      </c>
      <c r="AM10" s="49" t="s">
        <v>38</v>
      </c>
    </row>
    <row r="11" spans="1:39">
      <c r="B11" s="235"/>
      <c r="C11" s="50" t="s">
        <v>39</v>
      </c>
      <c r="D11" s="51">
        <v>12</v>
      </c>
      <c r="E11" s="51">
        <v>12</v>
      </c>
      <c r="F11" s="48">
        <v>2</v>
      </c>
      <c r="G11" s="48">
        <v>2</v>
      </c>
      <c r="H11" s="48">
        <v>2</v>
      </c>
      <c r="I11" s="48">
        <v>2</v>
      </c>
      <c r="J11" s="48">
        <v>2</v>
      </c>
      <c r="K11" s="48">
        <v>2</v>
      </c>
      <c r="L11" s="48">
        <v>4</v>
      </c>
      <c r="M11" s="48">
        <v>4</v>
      </c>
      <c r="N11" s="48">
        <v>4</v>
      </c>
      <c r="O11" s="49">
        <v>4</v>
      </c>
      <c r="P11" s="49">
        <v>4</v>
      </c>
      <c r="Q11" s="48">
        <v>4</v>
      </c>
      <c r="R11" s="49">
        <v>4</v>
      </c>
      <c r="S11" s="49">
        <v>4</v>
      </c>
      <c r="T11" s="48">
        <v>4</v>
      </c>
      <c r="U11" s="49">
        <v>4</v>
      </c>
      <c r="V11" s="49">
        <v>4</v>
      </c>
      <c r="W11" s="48">
        <v>4</v>
      </c>
      <c r="X11" s="49">
        <v>4</v>
      </c>
      <c r="Y11" s="49">
        <v>4</v>
      </c>
      <c r="Z11" s="48">
        <v>4</v>
      </c>
      <c r="AA11" s="49">
        <v>4</v>
      </c>
      <c r="AB11" s="49">
        <v>4</v>
      </c>
      <c r="AC11" s="48">
        <v>4</v>
      </c>
      <c r="AD11" s="49">
        <v>4</v>
      </c>
      <c r="AE11" s="49">
        <v>4</v>
      </c>
      <c r="AF11" s="48">
        <v>4</v>
      </c>
      <c r="AG11" s="49">
        <v>4</v>
      </c>
      <c r="AH11" s="48">
        <v>4</v>
      </c>
      <c r="AI11" s="49">
        <v>4</v>
      </c>
      <c r="AJ11" s="48">
        <v>4</v>
      </c>
      <c r="AK11" s="49">
        <v>4</v>
      </c>
      <c r="AL11" s="48">
        <v>4</v>
      </c>
      <c r="AM11" s="49">
        <v>4</v>
      </c>
    </row>
    <row r="12" spans="1:39">
      <c r="B12" s="235"/>
      <c r="C12" s="50" t="s">
        <v>40</v>
      </c>
      <c r="D12" s="51">
        <v>6</v>
      </c>
      <c r="E12" s="51">
        <v>12</v>
      </c>
      <c r="F12" s="48">
        <v>2</v>
      </c>
      <c r="G12" s="48">
        <v>2</v>
      </c>
      <c r="H12" s="48">
        <v>2</v>
      </c>
      <c r="I12" s="48">
        <v>2</v>
      </c>
      <c r="J12" s="48">
        <v>2</v>
      </c>
      <c r="K12" s="48">
        <v>2</v>
      </c>
      <c r="L12" s="48">
        <v>4</v>
      </c>
      <c r="M12" s="48">
        <v>4</v>
      </c>
      <c r="N12" s="48">
        <v>4</v>
      </c>
      <c r="O12" s="49">
        <v>4</v>
      </c>
      <c r="P12" s="49">
        <v>4</v>
      </c>
      <c r="Q12" s="48">
        <v>4</v>
      </c>
      <c r="R12" s="49">
        <v>4</v>
      </c>
      <c r="S12" s="49">
        <v>4</v>
      </c>
      <c r="T12" s="48">
        <v>4</v>
      </c>
      <c r="U12" s="49">
        <v>4</v>
      </c>
      <c r="V12" s="49">
        <v>4</v>
      </c>
      <c r="W12" s="48">
        <v>4</v>
      </c>
      <c r="X12" s="49">
        <v>4</v>
      </c>
      <c r="Y12" s="49">
        <v>4</v>
      </c>
      <c r="Z12" s="48">
        <v>4</v>
      </c>
      <c r="AA12" s="49">
        <v>4</v>
      </c>
      <c r="AB12" s="49">
        <v>4</v>
      </c>
      <c r="AC12" s="48">
        <v>4</v>
      </c>
      <c r="AD12" s="49">
        <v>4</v>
      </c>
      <c r="AE12" s="49">
        <v>4</v>
      </c>
      <c r="AF12" s="48">
        <v>4</v>
      </c>
      <c r="AG12" s="49">
        <v>4</v>
      </c>
      <c r="AH12" s="48">
        <v>4</v>
      </c>
      <c r="AI12" s="49">
        <v>4</v>
      </c>
      <c r="AJ12" s="48">
        <v>4</v>
      </c>
      <c r="AK12" s="49">
        <v>4</v>
      </c>
      <c r="AL12" s="48">
        <v>4</v>
      </c>
      <c r="AM12" s="49">
        <v>4</v>
      </c>
    </row>
    <row r="13" spans="1:39">
      <c r="B13" s="235"/>
      <c r="C13" s="50" t="s">
        <v>41</v>
      </c>
      <c r="D13" s="51">
        <v>160</v>
      </c>
      <c r="E13" s="51">
        <v>160</v>
      </c>
      <c r="F13" s="48">
        <v>240</v>
      </c>
      <c r="G13" s="48">
        <v>240</v>
      </c>
      <c r="H13" s="48">
        <v>192</v>
      </c>
      <c r="I13" s="48">
        <v>192</v>
      </c>
      <c r="J13" s="48">
        <v>160</v>
      </c>
      <c r="K13" s="48">
        <v>160</v>
      </c>
      <c r="L13" s="48">
        <v>96</v>
      </c>
      <c r="M13" s="48">
        <v>96</v>
      </c>
      <c r="N13" s="48">
        <v>60</v>
      </c>
      <c r="O13" s="49">
        <v>60</v>
      </c>
      <c r="P13" s="49">
        <v>60</v>
      </c>
      <c r="Q13" s="48">
        <v>60</v>
      </c>
      <c r="R13" s="49">
        <v>60</v>
      </c>
      <c r="S13" s="49">
        <v>60</v>
      </c>
      <c r="T13" s="48">
        <v>40</v>
      </c>
      <c r="U13" s="49">
        <v>40</v>
      </c>
      <c r="V13" s="49">
        <v>40</v>
      </c>
      <c r="W13" s="48">
        <v>40</v>
      </c>
      <c r="X13" s="49">
        <v>40</v>
      </c>
      <c r="Y13" s="49">
        <v>40</v>
      </c>
      <c r="Z13" s="48">
        <v>24</v>
      </c>
      <c r="AA13" s="49">
        <v>24</v>
      </c>
      <c r="AB13" s="49">
        <v>24</v>
      </c>
      <c r="AC13" s="48">
        <v>24</v>
      </c>
      <c r="AD13" s="49">
        <v>24</v>
      </c>
      <c r="AE13" s="49">
        <v>24</v>
      </c>
      <c r="AF13" s="48">
        <v>40</v>
      </c>
      <c r="AG13" s="49">
        <v>40</v>
      </c>
      <c r="AH13" s="48">
        <v>40</v>
      </c>
      <c r="AI13" s="49">
        <v>40</v>
      </c>
      <c r="AJ13" s="48">
        <v>24</v>
      </c>
      <c r="AK13" s="49">
        <v>24</v>
      </c>
      <c r="AL13" s="48">
        <v>24</v>
      </c>
      <c r="AM13" s="49">
        <v>24</v>
      </c>
    </row>
    <row r="14" spans="1:39">
      <c r="B14" s="235"/>
      <c r="C14" s="50" t="s">
        <v>42</v>
      </c>
      <c r="D14" s="51">
        <v>180</v>
      </c>
      <c r="E14" s="51">
        <v>90</v>
      </c>
      <c r="F14" s="48">
        <v>135</v>
      </c>
      <c r="G14" s="48">
        <v>135</v>
      </c>
      <c r="H14" s="48">
        <v>108</v>
      </c>
      <c r="I14" s="48">
        <v>108</v>
      </c>
      <c r="J14" s="48">
        <v>90</v>
      </c>
      <c r="K14" s="48">
        <v>90</v>
      </c>
      <c r="L14" s="48">
        <v>96</v>
      </c>
      <c r="M14" s="48">
        <v>96</v>
      </c>
      <c r="N14" s="48">
        <v>60</v>
      </c>
      <c r="O14" s="49">
        <v>60</v>
      </c>
      <c r="P14" s="49">
        <v>60</v>
      </c>
      <c r="Q14" s="48">
        <v>60</v>
      </c>
      <c r="R14" s="49">
        <v>60</v>
      </c>
      <c r="S14" s="49">
        <v>60</v>
      </c>
      <c r="T14" s="48">
        <v>40</v>
      </c>
      <c r="U14" s="49">
        <v>40</v>
      </c>
      <c r="V14" s="49">
        <v>40</v>
      </c>
      <c r="W14" s="48">
        <v>40</v>
      </c>
      <c r="X14" s="49">
        <v>40</v>
      </c>
      <c r="Y14" s="49">
        <v>40</v>
      </c>
      <c r="Z14" s="48">
        <v>24</v>
      </c>
      <c r="AA14" s="49">
        <v>24</v>
      </c>
      <c r="AB14" s="49">
        <v>24</v>
      </c>
      <c r="AC14" s="48">
        <v>24</v>
      </c>
      <c r="AD14" s="49">
        <v>24</v>
      </c>
      <c r="AE14" s="49">
        <v>24</v>
      </c>
      <c r="AF14" s="48">
        <v>40</v>
      </c>
      <c r="AG14" s="49">
        <v>40</v>
      </c>
      <c r="AH14" s="48">
        <v>40</v>
      </c>
      <c r="AI14" s="49">
        <v>40</v>
      </c>
      <c r="AJ14" s="48">
        <v>24</v>
      </c>
      <c r="AK14" s="49">
        <v>24</v>
      </c>
      <c r="AL14" s="48">
        <v>24</v>
      </c>
      <c r="AM14" s="49">
        <v>24</v>
      </c>
    </row>
    <row r="15" spans="1:39" s="4" customFormat="1">
      <c r="A15" s="52"/>
      <c r="B15" s="236"/>
      <c r="C15" s="53" t="s">
        <v>43</v>
      </c>
      <c r="D15" s="54" t="s">
        <v>142</v>
      </c>
      <c r="E15" s="54" t="s">
        <v>143</v>
      </c>
      <c r="F15" s="54">
        <v>1.25</v>
      </c>
      <c r="G15" s="54">
        <v>1.25</v>
      </c>
      <c r="H15" s="54">
        <v>1.5625</v>
      </c>
      <c r="I15" s="54">
        <v>1.5625</v>
      </c>
      <c r="J15" s="54">
        <v>1.875</v>
      </c>
      <c r="K15" s="54">
        <v>1.875</v>
      </c>
      <c r="L15" s="54">
        <v>2.5</v>
      </c>
      <c r="M15" s="54">
        <v>2.5</v>
      </c>
      <c r="N15" s="54">
        <v>4</v>
      </c>
      <c r="O15" s="55">
        <v>4</v>
      </c>
      <c r="P15" s="55">
        <v>4</v>
      </c>
      <c r="Q15" s="54">
        <v>4</v>
      </c>
      <c r="R15" s="55">
        <v>4</v>
      </c>
      <c r="S15" s="55">
        <v>4</v>
      </c>
      <c r="T15" s="54">
        <v>6</v>
      </c>
      <c r="U15" s="55">
        <v>6</v>
      </c>
      <c r="V15" s="55">
        <v>6</v>
      </c>
      <c r="W15" s="54">
        <v>6</v>
      </c>
      <c r="X15" s="55">
        <v>6</v>
      </c>
      <c r="Y15" s="55">
        <v>6</v>
      </c>
      <c r="Z15" s="54">
        <v>10</v>
      </c>
      <c r="AA15" s="55">
        <v>10</v>
      </c>
      <c r="AB15" s="55">
        <v>10</v>
      </c>
      <c r="AC15" s="54">
        <v>10</v>
      </c>
      <c r="AD15" s="55">
        <v>10</v>
      </c>
      <c r="AE15" s="55">
        <v>10</v>
      </c>
      <c r="AF15" s="54">
        <v>6</v>
      </c>
      <c r="AG15" s="55">
        <v>6</v>
      </c>
      <c r="AH15" s="54">
        <v>6</v>
      </c>
      <c r="AI15" s="55">
        <v>6</v>
      </c>
      <c r="AJ15" s="54">
        <v>10</v>
      </c>
      <c r="AK15" s="55">
        <v>10</v>
      </c>
      <c r="AL15" s="54">
        <v>10</v>
      </c>
      <c r="AM15" s="55">
        <v>10</v>
      </c>
    </row>
    <row r="16" spans="1:39" s="3" customFormat="1">
      <c r="A16" s="41"/>
      <c r="B16" s="236"/>
      <c r="C16" s="56" t="s">
        <v>44</v>
      </c>
      <c r="D16" s="57" t="str">
        <f t="shared" ref="D16:O16" si="0">D13&amp;"x"&amp;D14</f>
        <v>160x180</v>
      </c>
      <c r="E16" s="57" t="str">
        <f t="shared" si="0"/>
        <v>160x90</v>
      </c>
      <c r="F16" s="48" t="str">
        <f t="shared" si="0"/>
        <v>240x135</v>
      </c>
      <c r="G16" s="48" t="str">
        <f t="shared" si="0"/>
        <v>240x135</v>
      </c>
      <c r="H16" s="48" t="str">
        <f t="shared" si="0"/>
        <v>192x108</v>
      </c>
      <c r="I16" s="48" t="str">
        <f t="shared" si="0"/>
        <v>192x108</v>
      </c>
      <c r="J16" s="48" t="str">
        <f t="shared" si="0"/>
        <v>160x90</v>
      </c>
      <c r="K16" s="48" t="str">
        <f t="shared" si="0"/>
        <v>160x90</v>
      </c>
      <c r="L16" s="48" t="str">
        <f t="shared" si="0"/>
        <v>96x96</v>
      </c>
      <c r="M16" s="48" t="str">
        <f t="shared" si="0"/>
        <v>96x96</v>
      </c>
      <c r="N16" s="48" t="str">
        <f t="shared" si="0"/>
        <v>60x60</v>
      </c>
      <c r="O16" s="49" t="str">
        <f t="shared" si="0"/>
        <v>60x60</v>
      </c>
      <c r="P16" s="49" t="str">
        <f t="shared" ref="P16:Y16" si="1">P13&amp;"x"&amp;P14</f>
        <v>60x60</v>
      </c>
      <c r="Q16" s="48" t="str">
        <f t="shared" si="1"/>
        <v>60x60</v>
      </c>
      <c r="R16" s="49" t="str">
        <f t="shared" si="1"/>
        <v>60x60</v>
      </c>
      <c r="S16" s="49" t="str">
        <f t="shared" si="1"/>
        <v>60x60</v>
      </c>
      <c r="T16" s="48" t="str">
        <f t="shared" si="1"/>
        <v>40x40</v>
      </c>
      <c r="U16" s="49" t="str">
        <f t="shared" si="1"/>
        <v>40x40</v>
      </c>
      <c r="V16" s="49" t="str">
        <f t="shared" si="1"/>
        <v>40x40</v>
      </c>
      <c r="W16" s="48" t="str">
        <f t="shared" si="1"/>
        <v>40x40</v>
      </c>
      <c r="X16" s="49" t="str">
        <f t="shared" si="1"/>
        <v>40x40</v>
      </c>
      <c r="Y16" s="49" t="str">
        <f t="shared" si="1"/>
        <v>40x40</v>
      </c>
      <c r="Z16" s="48" t="str">
        <f t="shared" ref="Z16:AE16" si="2">Z13&amp;"x"&amp;Z14</f>
        <v>24x24</v>
      </c>
      <c r="AA16" s="49" t="str">
        <f t="shared" si="2"/>
        <v>24x24</v>
      </c>
      <c r="AB16" s="49" t="str">
        <f t="shared" si="2"/>
        <v>24x24</v>
      </c>
      <c r="AC16" s="48" t="str">
        <f t="shared" si="2"/>
        <v>24x24</v>
      </c>
      <c r="AD16" s="49" t="str">
        <f t="shared" si="2"/>
        <v>24x24</v>
      </c>
      <c r="AE16" s="49" t="str">
        <f t="shared" si="2"/>
        <v>24x24</v>
      </c>
      <c r="AF16" s="48" t="str">
        <f t="shared" ref="AF16:AM16" si="3">AF13&amp;"x"&amp;AF14</f>
        <v>40x40</v>
      </c>
      <c r="AG16" s="49" t="str">
        <f t="shared" si="3"/>
        <v>40x40</v>
      </c>
      <c r="AH16" s="48" t="str">
        <f t="shared" si="3"/>
        <v>40x40</v>
      </c>
      <c r="AI16" s="49" t="str">
        <f t="shared" si="3"/>
        <v>40x40</v>
      </c>
      <c r="AJ16" s="48" t="str">
        <f t="shared" si="3"/>
        <v>24x24</v>
      </c>
      <c r="AK16" s="49" t="str">
        <f t="shared" si="3"/>
        <v>24x24</v>
      </c>
      <c r="AL16" s="48" t="str">
        <f t="shared" si="3"/>
        <v>24x24</v>
      </c>
      <c r="AM16" s="49" t="str">
        <f t="shared" si="3"/>
        <v>24x24</v>
      </c>
    </row>
    <row r="17" spans="1:39" s="3" customFormat="1">
      <c r="A17" s="41"/>
      <c r="B17" s="236"/>
      <c r="C17" s="58" t="s">
        <v>45</v>
      </c>
      <c r="D17" s="59" t="s">
        <v>152</v>
      </c>
      <c r="E17" s="59" t="s">
        <v>153</v>
      </c>
      <c r="F17" s="48" t="str">
        <f>F13*F15&amp;"x"&amp;F14*F15</f>
        <v>300x168.75</v>
      </c>
      <c r="G17" s="48" t="str">
        <f>G13*G15&amp;"x"&amp;G14*G15</f>
        <v>300x168.75</v>
      </c>
      <c r="H17" s="48" t="str">
        <f>H13*H15&amp;"x"&amp;H14*H15</f>
        <v>300x168.75</v>
      </c>
      <c r="I17" s="48" t="str">
        <f>I13*I15&amp;"x"&amp;I14*I15</f>
        <v>300x168.75</v>
      </c>
      <c r="J17" s="48" t="str">
        <f t="shared" ref="J17:S17" si="4">J13*J15&amp;"x"&amp;J14*J15</f>
        <v>300x168.75</v>
      </c>
      <c r="K17" s="48" t="str">
        <f t="shared" si="4"/>
        <v>300x168.75</v>
      </c>
      <c r="L17" s="48" t="str">
        <f>L13*L15&amp;"x"&amp;L14*L15</f>
        <v>240x240</v>
      </c>
      <c r="M17" s="48" t="str">
        <f>M13*M15&amp;"x"&amp;M14*M15</f>
        <v>240x240</v>
      </c>
      <c r="N17" s="48" t="str">
        <f t="shared" si="4"/>
        <v>240x240</v>
      </c>
      <c r="O17" s="49" t="str">
        <f t="shared" si="4"/>
        <v>240x240</v>
      </c>
      <c r="P17" s="49" t="str">
        <f t="shared" si="4"/>
        <v>240x240</v>
      </c>
      <c r="Q17" s="48" t="str">
        <f t="shared" si="4"/>
        <v>240x240</v>
      </c>
      <c r="R17" s="49" t="str">
        <f t="shared" si="4"/>
        <v>240x240</v>
      </c>
      <c r="S17" s="49" t="str">
        <f t="shared" si="4"/>
        <v>240x240</v>
      </c>
      <c r="T17" s="48" t="s">
        <v>154</v>
      </c>
      <c r="U17" s="49" t="s">
        <v>154</v>
      </c>
      <c r="V17" s="49" t="s">
        <v>154</v>
      </c>
      <c r="W17" s="48" t="s">
        <v>154</v>
      </c>
      <c r="X17" s="49" t="s">
        <v>154</v>
      </c>
      <c r="Y17" s="49" t="s">
        <v>154</v>
      </c>
      <c r="Z17" s="48" t="s">
        <v>154</v>
      </c>
      <c r="AA17" s="49" t="s">
        <v>154</v>
      </c>
      <c r="AB17" s="49" t="s">
        <v>154</v>
      </c>
      <c r="AC17" s="48" t="s">
        <v>154</v>
      </c>
      <c r="AD17" s="49" t="s">
        <v>154</v>
      </c>
      <c r="AE17" s="49" t="s">
        <v>154</v>
      </c>
      <c r="AF17" s="48" t="str">
        <f t="shared" ref="AF17:AM17" si="5">AF13*AF15&amp;"x"&amp;AF14*AF15</f>
        <v>240x240</v>
      </c>
      <c r="AG17" s="49" t="str">
        <f t="shared" si="5"/>
        <v>240x240</v>
      </c>
      <c r="AH17" s="48" t="str">
        <f t="shared" si="5"/>
        <v>240x240</v>
      </c>
      <c r="AI17" s="49" t="str">
        <f t="shared" si="5"/>
        <v>240x240</v>
      </c>
      <c r="AJ17" s="48" t="str">
        <f t="shared" si="5"/>
        <v>240x240</v>
      </c>
      <c r="AK17" s="49" t="str">
        <f t="shared" si="5"/>
        <v>240x240</v>
      </c>
      <c r="AL17" s="48" t="str">
        <f t="shared" si="5"/>
        <v>240x240</v>
      </c>
      <c r="AM17" s="49" t="str">
        <f t="shared" si="5"/>
        <v>240x240</v>
      </c>
    </row>
    <row r="18" spans="1:39" s="5" customFormat="1">
      <c r="A18" s="60"/>
      <c r="B18" s="236"/>
      <c r="C18" s="61" t="s">
        <v>50</v>
      </c>
      <c r="D18" s="62">
        <v>0.46806999999999999</v>
      </c>
      <c r="E18" s="62">
        <v>0.31322</v>
      </c>
      <c r="F18" s="63" t="s">
        <v>155</v>
      </c>
      <c r="G18" s="63" t="s">
        <v>155</v>
      </c>
      <c r="H18" s="63" t="s">
        <v>155</v>
      </c>
      <c r="I18" s="63" t="s">
        <v>155</v>
      </c>
      <c r="J18" s="63" t="s">
        <v>155</v>
      </c>
      <c r="K18" s="63" t="s">
        <v>155</v>
      </c>
      <c r="L18" s="63">
        <v>0.4</v>
      </c>
      <c r="M18" s="63">
        <v>0.4</v>
      </c>
      <c r="N18" s="63">
        <v>0.4</v>
      </c>
      <c r="O18" s="62">
        <v>0.4</v>
      </c>
      <c r="P18" s="62">
        <v>0.4</v>
      </c>
      <c r="Q18" s="63">
        <v>0.4</v>
      </c>
      <c r="R18" s="62">
        <v>0.4</v>
      </c>
      <c r="S18" s="62">
        <v>0.4</v>
      </c>
      <c r="T18" s="63">
        <v>0.4</v>
      </c>
      <c r="U18" s="62">
        <v>0.4</v>
      </c>
      <c r="V18" s="62">
        <v>0.4</v>
      </c>
      <c r="W18" s="63">
        <v>0.4</v>
      </c>
      <c r="X18" s="62">
        <v>0.4</v>
      </c>
      <c r="Y18" s="62">
        <v>0.4</v>
      </c>
      <c r="Z18" s="63">
        <v>0.4</v>
      </c>
      <c r="AA18" s="62">
        <v>0.4</v>
      </c>
      <c r="AB18" s="62">
        <v>0.4</v>
      </c>
      <c r="AC18" s="63">
        <v>0.4</v>
      </c>
      <c r="AD18" s="62">
        <v>0.4</v>
      </c>
      <c r="AE18" s="62">
        <v>0.4</v>
      </c>
      <c r="AF18" s="63">
        <v>0.57999999999999996</v>
      </c>
      <c r="AG18" s="62">
        <v>0.57999999999999996</v>
      </c>
      <c r="AH18" s="63">
        <v>0.57999999999999996</v>
      </c>
      <c r="AI18" s="62">
        <v>0.57999999999999996</v>
      </c>
      <c r="AJ18" s="63">
        <v>0.57999999999999996</v>
      </c>
      <c r="AK18" s="62">
        <v>0.57999999999999996</v>
      </c>
      <c r="AL18" s="63">
        <v>0.57999999999999996</v>
      </c>
      <c r="AM18" s="62">
        <v>0.57999999999999996</v>
      </c>
    </row>
    <row r="19" spans="1:39" s="3" customFormat="1">
      <c r="A19" s="41"/>
      <c r="B19" s="236"/>
      <c r="C19" s="64" t="s">
        <v>51</v>
      </c>
      <c r="D19" s="49" t="s">
        <v>156</v>
      </c>
      <c r="E19" s="49" t="s">
        <v>156</v>
      </c>
      <c r="F19" s="65" t="s">
        <v>23</v>
      </c>
      <c r="G19" s="65" t="s">
        <v>23</v>
      </c>
      <c r="H19" s="65" t="s">
        <v>23</v>
      </c>
      <c r="I19" s="65" t="s">
        <v>23</v>
      </c>
      <c r="J19" s="65" t="s">
        <v>23</v>
      </c>
      <c r="K19" s="65" t="s">
        <v>23</v>
      </c>
      <c r="L19" s="65" t="s">
        <v>23</v>
      </c>
      <c r="M19" s="65" t="s">
        <v>23</v>
      </c>
      <c r="N19" s="65" t="s">
        <v>23</v>
      </c>
      <c r="O19" s="49" t="s">
        <v>23</v>
      </c>
      <c r="P19" s="49" t="s">
        <v>23</v>
      </c>
      <c r="Q19" s="65" t="s">
        <v>23</v>
      </c>
      <c r="R19" s="49" t="s">
        <v>23</v>
      </c>
      <c r="S19" s="49" t="s">
        <v>23</v>
      </c>
      <c r="T19" s="65" t="s">
        <v>23</v>
      </c>
      <c r="U19" s="49" t="s">
        <v>23</v>
      </c>
      <c r="V19" s="49" t="s">
        <v>23</v>
      </c>
      <c r="W19" s="65" t="s">
        <v>23</v>
      </c>
      <c r="X19" s="49" t="s">
        <v>23</v>
      </c>
      <c r="Y19" s="49" t="s">
        <v>23</v>
      </c>
      <c r="Z19" s="65" t="s">
        <v>23</v>
      </c>
      <c r="AA19" s="49" t="s">
        <v>23</v>
      </c>
      <c r="AB19" s="49" t="s">
        <v>23</v>
      </c>
      <c r="AC19" s="65" t="s">
        <v>23</v>
      </c>
      <c r="AD19" s="49" t="s">
        <v>23</v>
      </c>
      <c r="AE19" s="49" t="s">
        <v>23</v>
      </c>
      <c r="AF19" s="65" t="s">
        <v>23</v>
      </c>
      <c r="AG19" s="49" t="s">
        <v>23</v>
      </c>
      <c r="AH19" s="65" t="s">
        <v>23</v>
      </c>
      <c r="AI19" s="49" t="s">
        <v>23</v>
      </c>
      <c r="AJ19" s="65" t="s">
        <v>23</v>
      </c>
      <c r="AK19" s="49" t="s">
        <v>23</v>
      </c>
      <c r="AL19" s="65" t="s">
        <v>23</v>
      </c>
      <c r="AM19" s="49" t="s">
        <v>23</v>
      </c>
    </row>
    <row r="20" spans="1:39" s="3" customFormat="1">
      <c r="A20" s="41"/>
      <c r="B20" s="236"/>
      <c r="C20" s="56" t="s">
        <v>52</v>
      </c>
      <c r="D20" s="66" t="str">
        <f>D11&amp;"x"&amp;D12</f>
        <v>12x6</v>
      </c>
      <c r="E20" s="66" t="str">
        <f>E11&amp;"x"&amp;E12</f>
        <v>12x12</v>
      </c>
      <c r="F20" s="67" t="str">
        <f>F11&amp;"x"&amp;F12</f>
        <v>2x2</v>
      </c>
      <c r="G20" s="67" t="str">
        <f>G11&amp;"x"&amp;G12</f>
        <v>2x2</v>
      </c>
      <c r="H20" s="67" t="str">
        <f t="shared" ref="H20:M20" si="6">H11&amp;"x"&amp;H12</f>
        <v>2x2</v>
      </c>
      <c r="I20" s="67" t="str">
        <f t="shared" si="6"/>
        <v>2x2</v>
      </c>
      <c r="J20" s="67" t="str">
        <f t="shared" si="6"/>
        <v>2x2</v>
      </c>
      <c r="K20" s="67" t="str">
        <f t="shared" si="6"/>
        <v>2x2</v>
      </c>
      <c r="L20" s="67" t="str">
        <f t="shared" si="6"/>
        <v>4x4</v>
      </c>
      <c r="M20" s="67" t="str">
        <f t="shared" si="6"/>
        <v>4x4</v>
      </c>
      <c r="N20" s="67" t="s">
        <v>157</v>
      </c>
      <c r="O20" s="57" t="s">
        <v>157</v>
      </c>
      <c r="P20" s="57" t="s">
        <v>157</v>
      </c>
      <c r="Q20" s="67" t="s">
        <v>157</v>
      </c>
      <c r="R20" s="57" t="s">
        <v>157</v>
      </c>
      <c r="S20" s="57" t="s">
        <v>157</v>
      </c>
      <c r="T20" s="67" t="s">
        <v>157</v>
      </c>
      <c r="U20" s="57" t="s">
        <v>157</v>
      </c>
      <c r="V20" s="57" t="s">
        <v>157</v>
      </c>
      <c r="W20" s="67" t="s">
        <v>157</v>
      </c>
      <c r="X20" s="57" t="s">
        <v>157</v>
      </c>
      <c r="Y20" s="57" t="s">
        <v>157</v>
      </c>
      <c r="Z20" s="67" t="s">
        <v>157</v>
      </c>
      <c r="AA20" s="57" t="s">
        <v>157</v>
      </c>
      <c r="AB20" s="57" t="s">
        <v>157</v>
      </c>
      <c r="AC20" s="67" t="s">
        <v>157</v>
      </c>
      <c r="AD20" s="57" t="s">
        <v>157</v>
      </c>
      <c r="AE20" s="57" t="s">
        <v>157</v>
      </c>
      <c r="AF20" s="67" t="str">
        <f t="shared" ref="AF20:AM20" si="7">AF11&amp;"x"&amp;AF12</f>
        <v>4x4</v>
      </c>
      <c r="AG20" s="57" t="str">
        <f t="shared" si="7"/>
        <v>4x4</v>
      </c>
      <c r="AH20" s="67" t="str">
        <f t="shared" si="7"/>
        <v>4x4</v>
      </c>
      <c r="AI20" s="57" t="str">
        <f t="shared" si="7"/>
        <v>4x4</v>
      </c>
      <c r="AJ20" s="67" t="str">
        <f t="shared" si="7"/>
        <v>4x4</v>
      </c>
      <c r="AK20" s="57" t="str">
        <f t="shared" si="7"/>
        <v>4x4</v>
      </c>
      <c r="AL20" s="67" t="str">
        <f t="shared" si="7"/>
        <v>4x4</v>
      </c>
      <c r="AM20" s="57" t="str">
        <f t="shared" si="7"/>
        <v>4x4</v>
      </c>
    </row>
    <row r="21" spans="1:39" s="3" customFormat="1">
      <c r="A21" s="41"/>
      <c r="B21" s="236"/>
      <c r="C21" s="56" t="s">
        <v>57</v>
      </c>
      <c r="D21" s="59" t="str">
        <f>D11*D13&amp;"x"&amp;D12*D14</f>
        <v>1920x1080</v>
      </c>
      <c r="E21" s="59" t="s">
        <v>158</v>
      </c>
      <c r="F21" s="68" t="str">
        <f>F11*F13&amp;"x"&amp;F12*F14</f>
        <v>480x270</v>
      </c>
      <c r="G21" s="68" t="str">
        <f>G11*G13&amp;"x"&amp;G12*G14</f>
        <v>480x270</v>
      </c>
      <c r="H21" s="68" t="str">
        <f>H11*H13&amp;"x"&amp;H12*H14</f>
        <v>384x216</v>
      </c>
      <c r="I21" s="68" t="str">
        <f>I11*I13&amp;"x"&amp;I12*I14</f>
        <v>384x216</v>
      </c>
      <c r="J21" s="68" t="str">
        <f t="shared" ref="J21:Y21" si="8">J11*J13&amp;"x"&amp;J12*J14</f>
        <v>320x180</v>
      </c>
      <c r="K21" s="68" t="str">
        <f t="shared" si="8"/>
        <v>320x180</v>
      </c>
      <c r="L21" s="68" t="str">
        <f>L11*L13&amp;"x"&amp;L12*L14</f>
        <v>384x384</v>
      </c>
      <c r="M21" s="68" t="str">
        <f>M11*M13&amp;"x"&amp;M12*M14</f>
        <v>384x384</v>
      </c>
      <c r="N21" s="68" t="str">
        <f t="shared" si="8"/>
        <v>240x240</v>
      </c>
      <c r="O21" s="59" t="str">
        <f t="shared" si="8"/>
        <v>240x240</v>
      </c>
      <c r="P21" s="59" t="str">
        <f t="shared" si="8"/>
        <v>240x240</v>
      </c>
      <c r="Q21" s="68" t="str">
        <f t="shared" si="8"/>
        <v>240x240</v>
      </c>
      <c r="R21" s="59" t="str">
        <f t="shared" si="8"/>
        <v>240x240</v>
      </c>
      <c r="S21" s="59" t="str">
        <f t="shared" si="8"/>
        <v>240x240</v>
      </c>
      <c r="T21" s="68" t="str">
        <f t="shared" si="8"/>
        <v>160x160</v>
      </c>
      <c r="U21" s="59" t="str">
        <f t="shared" si="8"/>
        <v>160x160</v>
      </c>
      <c r="V21" s="59" t="str">
        <f t="shared" si="8"/>
        <v>160x160</v>
      </c>
      <c r="W21" s="68" t="str">
        <f t="shared" si="8"/>
        <v>160x160</v>
      </c>
      <c r="X21" s="59" t="str">
        <f t="shared" si="8"/>
        <v>160x160</v>
      </c>
      <c r="Y21" s="59" t="str">
        <f t="shared" si="8"/>
        <v>160x160</v>
      </c>
      <c r="Z21" s="68" t="s">
        <v>159</v>
      </c>
      <c r="AA21" s="59" t="s">
        <v>159</v>
      </c>
      <c r="AB21" s="59" t="s">
        <v>159</v>
      </c>
      <c r="AC21" s="68" t="s">
        <v>159</v>
      </c>
      <c r="AD21" s="59" t="s">
        <v>159</v>
      </c>
      <c r="AE21" s="59" t="s">
        <v>159</v>
      </c>
      <c r="AF21" s="68" t="str">
        <f t="shared" ref="AF21:AM21" si="9">AF11*AF13&amp;"x"&amp;AF12*AF14</f>
        <v>160x160</v>
      </c>
      <c r="AG21" s="59" t="str">
        <f t="shared" si="9"/>
        <v>160x160</v>
      </c>
      <c r="AH21" s="68" t="str">
        <f t="shared" si="9"/>
        <v>160x160</v>
      </c>
      <c r="AI21" s="59" t="str">
        <f t="shared" si="9"/>
        <v>160x160</v>
      </c>
      <c r="AJ21" s="68" t="str">
        <f t="shared" si="9"/>
        <v>96x96</v>
      </c>
      <c r="AK21" s="59" t="str">
        <f t="shared" si="9"/>
        <v>96x96</v>
      </c>
      <c r="AL21" s="68" t="str">
        <f t="shared" si="9"/>
        <v>96x96</v>
      </c>
      <c r="AM21" s="59" t="str">
        <f t="shared" si="9"/>
        <v>96x96</v>
      </c>
    </row>
    <row r="22" spans="1:39" s="3" customFormat="1">
      <c r="A22" s="41"/>
      <c r="B22" s="236"/>
      <c r="C22" s="56" t="s">
        <v>58</v>
      </c>
      <c r="D22" s="66" t="s">
        <v>160</v>
      </c>
      <c r="E22" s="66" t="s">
        <v>161</v>
      </c>
      <c r="F22" s="67" t="str">
        <f t="shared" ref="F22:K22" si="10">F13*F15*F11&amp;"x"&amp;F14*F15*F12</f>
        <v>600x337.5</v>
      </c>
      <c r="G22" s="67" t="str">
        <f t="shared" si="10"/>
        <v>600x337.5</v>
      </c>
      <c r="H22" s="67" t="str">
        <f t="shared" si="10"/>
        <v>600x337.5</v>
      </c>
      <c r="I22" s="67" t="str">
        <f t="shared" si="10"/>
        <v>600x337.5</v>
      </c>
      <c r="J22" s="67" t="str">
        <f t="shared" si="10"/>
        <v>600x337.5</v>
      </c>
      <c r="K22" s="67" t="str">
        <f t="shared" si="10"/>
        <v>600x337.5</v>
      </c>
      <c r="L22" s="67" t="str">
        <f>L13*L15*L11&amp;"x"&amp;L14*L15*L12&amp;"x"&amp;"97"</f>
        <v>960x960x97</v>
      </c>
      <c r="M22" s="67" t="str">
        <f>M13*M15*M11&amp;"x"&amp;M14*M15*M12&amp;"x"&amp;"97"</f>
        <v>960x960x97</v>
      </c>
      <c r="N22" s="67" t="s">
        <v>162</v>
      </c>
      <c r="O22" s="57" t="s">
        <v>162</v>
      </c>
      <c r="P22" s="57" t="s">
        <v>162</v>
      </c>
      <c r="Q22" s="67" t="s">
        <v>162</v>
      </c>
      <c r="R22" s="57" t="s">
        <v>162</v>
      </c>
      <c r="S22" s="57" t="s">
        <v>162</v>
      </c>
      <c r="T22" s="67" t="s">
        <v>162</v>
      </c>
      <c r="U22" s="57" t="s">
        <v>162</v>
      </c>
      <c r="V22" s="57" t="s">
        <v>162</v>
      </c>
      <c r="W22" s="67" t="s">
        <v>162</v>
      </c>
      <c r="X22" s="57" t="s">
        <v>162</v>
      </c>
      <c r="Y22" s="57" t="s">
        <v>162</v>
      </c>
      <c r="Z22" s="67" t="s">
        <v>162</v>
      </c>
      <c r="AA22" s="57" t="s">
        <v>162</v>
      </c>
      <c r="AB22" s="57" t="s">
        <v>162</v>
      </c>
      <c r="AC22" s="67" t="s">
        <v>162</v>
      </c>
      <c r="AD22" s="57" t="s">
        <v>162</v>
      </c>
      <c r="AE22" s="57" t="s">
        <v>162</v>
      </c>
      <c r="AF22" s="67" t="str">
        <f t="shared" ref="AF22:AM22" si="11">AF13*AF15*AF11&amp;"x"&amp;AF14*AF15*AF12&amp;"x"&amp;"150.8"</f>
        <v>960x960x150.8</v>
      </c>
      <c r="AG22" s="57" t="str">
        <f t="shared" si="11"/>
        <v>960x960x150.8</v>
      </c>
      <c r="AH22" s="67" t="str">
        <f t="shared" si="11"/>
        <v>960x960x150.8</v>
      </c>
      <c r="AI22" s="57" t="str">
        <f t="shared" si="11"/>
        <v>960x960x150.8</v>
      </c>
      <c r="AJ22" s="67" t="str">
        <f t="shared" si="11"/>
        <v>960x960x150.8</v>
      </c>
      <c r="AK22" s="57" t="str">
        <f t="shared" si="11"/>
        <v>960x960x150.8</v>
      </c>
      <c r="AL22" s="67" t="str">
        <f t="shared" si="11"/>
        <v>960x960x150.8</v>
      </c>
      <c r="AM22" s="57" t="str">
        <f t="shared" si="11"/>
        <v>960x960x150.8</v>
      </c>
    </row>
    <row r="23" spans="1:39" s="6" customFormat="1">
      <c r="A23" s="69"/>
      <c r="B23" s="236"/>
      <c r="C23" s="70" t="s">
        <v>163</v>
      </c>
      <c r="D23" s="71">
        <v>5.0625</v>
      </c>
      <c r="E23" s="71">
        <v>7.29</v>
      </c>
      <c r="F23" s="54">
        <f>(F15*F11*F13)*(F15*F12*F14)/1000000</f>
        <v>0.20250000000000001</v>
      </c>
      <c r="G23" s="54">
        <f>(G15*G11*G13)*(G15*G12*G14)/1000000</f>
        <v>0.20250000000000001</v>
      </c>
      <c r="H23" s="54">
        <f>(H15*H11*H13)*(H15*H12*H14)/1000000</f>
        <v>0.20250000000000001</v>
      </c>
      <c r="I23" s="54">
        <f>(I15*I11*I13)*(I15*I12*I14)/1000000</f>
        <v>0.20250000000000001</v>
      </c>
      <c r="J23" s="54">
        <f t="shared" ref="J23:O23" si="12">(J15*J11*J13)*(J15*J12*J14)/1000000</f>
        <v>0.20250000000000001</v>
      </c>
      <c r="K23" s="54">
        <f t="shared" si="12"/>
        <v>0.20250000000000001</v>
      </c>
      <c r="L23" s="54">
        <f>(L15*L11*L13)*(L15*L12*L14)/1000000</f>
        <v>0.92159999999999997</v>
      </c>
      <c r="M23" s="54">
        <f>(M15*M11*M13)*(M15*M12*M14)/1000000</f>
        <v>0.92159999999999997</v>
      </c>
      <c r="N23" s="54">
        <f t="shared" si="12"/>
        <v>0.92159999999999997</v>
      </c>
      <c r="O23" s="55">
        <f t="shared" si="12"/>
        <v>0.92159999999999997</v>
      </c>
      <c r="P23" s="55">
        <f t="shared" ref="P23:Y23" si="13">(P15*P11*P13)*(P15*P12*P14)/1000000</f>
        <v>0.92159999999999997</v>
      </c>
      <c r="Q23" s="54">
        <f t="shared" si="13"/>
        <v>0.92159999999999997</v>
      </c>
      <c r="R23" s="55">
        <f t="shared" si="13"/>
        <v>0.92159999999999997</v>
      </c>
      <c r="S23" s="55">
        <f t="shared" si="13"/>
        <v>0.92159999999999997</v>
      </c>
      <c r="T23" s="54">
        <f t="shared" si="13"/>
        <v>0.92159999999999997</v>
      </c>
      <c r="U23" s="55">
        <f t="shared" si="13"/>
        <v>0.92159999999999997</v>
      </c>
      <c r="V23" s="55">
        <f t="shared" si="13"/>
        <v>0.92159999999999997</v>
      </c>
      <c r="W23" s="54">
        <f t="shared" si="13"/>
        <v>0.92159999999999997</v>
      </c>
      <c r="X23" s="55">
        <f t="shared" si="13"/>
        <v>0.92159999999999997</v>
      </c>
      <c r="Y23" s="55">
        <f t="shared" si="13"/>
        <v>0.92159999999999997</v>
      </c>
      <c r="Z23" s="54">
        <f t="shared" ref="Z23:AE23" si="14">(Z15*Z11*Z13)*(Z15*Z12*Z14)/1000000</f>
        <v>0.92159999999999997</v>
      </c>
      <c r="AA23" s="55">
        <f t="shared" si="14"/>
        <v>0.92159999999999997</v>
      </c>
      <c r="AB23" s="55">
        <f t="shared" si="14"/>
        <v>0.92159999999999997</v>
      </c>
      <c r="AC23" s="54">
        <f t="shared" si="14"/>
        <v>0.92159999999999997</v>
      </c>
      <c r="AD23" s="55">
        <f t="shared" si="14"/>
        <v>0.92159999999999997</v>
      </c>
      <c r="AE23" s="55">
        <f t="shared" si="14"/>
        <v>0.92159999999999997</v>
      </c>
      <c r="AF23" s="54">
        <f t="shared" ref="AF23:AM23" si="15">(AF15*AF11*AF13)*(AF15*AF12*AF14)/1000000</f>
        <v>0.92159999999999997</v>
      </c>
      <c r="AG23" s="55">
        <f t="shared" si="15"/>
        <v>0.92159999999999997</v>
      </c>
      <c r="AH23" s="54">
        <f t="shared" si="15"/>
        <v>0.92159999999999997</v>
      </c>
      <c r="AI23" s="55">
        <f t="shared" si="15"/>
        <v>0.92159999999999997</v>
      </c>
      <c r="AJ23" s="54">
        <f t="shared" si="15"/>
        <v>0.92159999999999997</v>
      </c>
      <c r="AK23" s="55">
        <f t="shared" si="15"/>
        <v>0.92159999999999997</v>
      </c>
      <c r="AL23" s="54">
        <f t="shared" si="15"/>
        <v>0.92159999999999997</v>
      </c>
      <c r="AM23" s="55">
        <f t="shared" si="15"/>
        <v>0.92159999999999997</v>
      </c>
    </row>
    <row r="24" spans="1:39" s="7" customFormat="1">
      <c r="A24" s="72"/>
      <c r="B24" s="236"/>
      <c r="C24" s="73" t="s">
        <v>61</v>
      </c>
      <c r="D24" s="74">
        <v>120</v>
      </c>
      <c r="E24" s="74">
        <v>190</v>
      </c>
      <c r="F24" s="75" t="s">
        <v>155</v>
      </c>
      <c r="G24" s="75">
        <v>4.3</v>
      </c>
      <c r="H24" s="75">
        <v>4.3</v>
      </c>
      <c r="I24" s="75">
        <v>4.3</v>
      </c>
      <c r="J24" s="75">
        <v>4.3</v>
      </c>
      <c r="K24" s="75">
        <v>4.3</v>
      </c>
      <c r="L24" s="75">
        <v>19.5</v>
      </c>
      <c r="M24" s="75">
        <v>19.5</v>
      </c>
      <c r="N24" s="75">
        <v>19.5</v>
      </c>
      <c r="O24" s="74">
        <v>19.5</v>
      </c>
      <c r="P24" s="74">
        <v>19.5</v>
      </c>
      <c r="Q24" s="75">
        <v>19.5</v>
      </c>
      <c r="R24" s="74">
        <v>19.5</v>
      </c>
      <c r="S24" s="74">
        <v>19.5</v>
      </c>
      <c r="T24" s="75">
        <v>19.5</v>
      </c>
      <c r="U24" s="74">
        <v>19.5</v>
      </c>
      <c r="V24" s="74">
        <v>19.5</v>
      </c>
      <c r="W24" s="75">
        <v>19.5</v>
      </c>
      <c r="X24" s="74">
        <v>19.5</v>
      </c>
      <c r="Y24" s="74">
        <v>19.5</v>
      </c>
      <c r="Z24" s="75">
        <v>19.5</v>
      </c>
      <c r="AA24" s="74">
        <v>19.5</v>
      </c>
      <c r="AB24" s="74">
        <v>19.5</v>
      </c>
      <c r="AC24" s="75">
        <v>19.5</v>
      </c>
      <c r="AD24" s="74">
        <v>19.5</v>
      </c>
      <c r="AE24" s="74">
        <v>19.5</v>
      </c>
      <c r="AF24" s="75">
        <v>26</v>
      </c>
      <c r="AG24" s="74">
        <v>26</v>
      </c>
      <c r="AH24" s="75">
        <v>26</v>
      </c>
      <c r="AI24" s="74">
        <v>26</v>
      </c>
      <c r="AJ24" s="75">
        <v>26</v>
      </c>
      <c r="AK24" s="74">
        <v>26</v>
      </c>
      <c r="AL24" s="75">
        <v>26</v>
      </c>
      <c r="AM24" s="74">
        <v>26</v>
      </c>
    </row>
    <row r="25" spans="1:39">
      <c r="B25" s="236"/>
      <c r="C25" s="76" t="s">
        <v>62</v>
      </c>
      <c r="D25" s="59">
        <v>409600</v>
      </c>
      <c r="E25" s="59">
        <v>284444</v>
      </c>
      <c r="F25" s="68">
        <f t="shared" ref="F25:M25" si="16">1000*1000/F15/F15</f>
        <v>640000</v>
      </c>
      <c r="G25" s="68">
        <f t="shared" si="16"/>
        <v>640000</v>
      </c>
      <c r="H25" s="68">
        <f t="shared" si="16"/>
        <v>409600</v>
      </c>
      <c r="I25" s="68">
        <f t="shared" si="16"/>
        <v>409600</v>
      </c>
      <c r="J25" s="68">
        <f t="shared" si="16"/>
        <v>284444.44444444444</v>
      </c>
      <c r="K25" s="68">
        <f t="shared" si="16"/>
        <v>284444.44444444444</v>
      </c>
      <c r="L25" s="68">
        <f t="shared" si="16"/>
        <v>160000</v>
      </c>
      <c r="M25" s="68">
        <f t="shared" si="16"/>
        <v>160000</v>
      </c>
      <c r="N25" s="68">
        <v>62500</v>
      </c>
      <c r="O25" s="59">
        <v>62500</v>
      </c>
      <c r="P25" s="59">
        <v>62500</v>
      </c>
      <c r="Q25" s="68">
        <v>62500</v>
      </c>
      <c r="R25" s="59">
        <v>62500</v>
      </c>
      <c r="S25" s="59">
        <v>62500</v>
      </c>
      <c r="T25" s="68">
        <f t="shared" ref="T25:Y25" si="17">25600/0.9216</f>
        <v>27777.777777777777</v>
      </c>
      <c r="U25" s="59">
        <f t="shared" si="17"/>
        <v>27777.777777777777</v>
      </c>
      <c r="V25" s="59">
        <f t="shared" si="17"/>
        <v>27777.777777777777</v>
      </c>
      <c r="W25" s="68">
        <f t="shared" si="17"/>
        <v>27777.777777777777</v>
      </c>
      <c r="X25" s="59">
        <f t="shared" si="17"/>
        <v>27777.777777777777</v>
      </c>
      <c r="Y25" s="59">
        <f t="shared" si="17"/>
        <v>27777.777777777777</v>
      </c>
      <c r="Z25" s="68">
        <f t="shared" ref="Z25:AE25" si="18">9216/0.9216</f>
        <v>10000</v>
      </c>
      <c r="AA25" s="59">
        <f t="shared" si="18"/>
        <v>10000</v>
      </c>
      <c r="AB25" s="59">
        <f t="shared" si="18"/>
        <v>10000</v>
      </c>
      <c r="AC25" s="68">
        <f t="shared" si="18"/>
        <v>10000</v>
      </c>
      <c r="AD25" s="59">
        <f t="shared" si="18"/>
        <v>10000</v>
      </c>
      <c r="AE25" s="59">
        <f t="shared" si="18"/>
        <v>10000</v>
      </c>
      <c r="AF25" s="68">
        <v>10000</v>
      </c>
      <c r="AG25" s="59">
        <v>10000</v>
      </c>
      <c r="AH25" s="68">
        <v>10000</v>
      </c>
      <c r="AI25" s="59">
        <v>10000</v>
      </c>
      <c r="AJ25" s="68">
        <v>10000</v>
      </c>
      <c r="AK25" s="59">
        <v>10000</v>
      </c>
      <c r="AL25" s="68">
        <v>10000</v>
      </c>
      <c r="AM25" s="59">
        <v>10000</v>
      </c>
    </row>
    <row r="26" spans="1:39">
      <c r="B26" s="236"/>
      <c r="C26" s="76" t="s">
        <v>63</v>
      </c>
      <c r="D26" s="77" t="s">
        <v>64</v>
      </c>
      <c r="E26" s="77" t="s">
        <v>64</v>
      </c>
      <c r="F26" s="78" t="s">
        <v>64</v>
      </c>
      <c r="G26" s="78" t="s">
        <v>64</v>
      </c>
      <c r="H26" s="78" t="s">
        <v>64</v>
      </c>
      <c r="I26" s="78" t="s">
        <v>64</v>
      </c>
      <c r="J26" s="78" t="s">
        <v>64</v>
      </c>
      <c r="K26" s="78" t="s">
        <v>64</v>
      </c>
      <c r="L26" s="78" t="s">
        <v>64</v>
      </c>
      <c r="M26" s="78" t="s">
        <v>64</v>
      </c>
      <c r="N26" s="78" t="s">
        <v>64</v>
      </c>
      <c r="O26" s="77" t="s">
        <v>64</v>
      </c>
      <c r="P26" s="77" t="s">
        <v>64</v>
      </c>
      <c r="Q26" s="78" t="s">
        <v>64</v>
      </c>
      <c r="R26" s="77" t="s">
        <v>64</v>
      </c>
      <c r="S26" s="77" t="s">
        <v>64</v>
      </c>
      <c r="T26" s="78" t="s">
        <v>64</v>
      </c>
      <c r="U26" s="77" t="s">
        <v>64</v>
      </c>
      <c r="V26" s="77" t="s">
        <v>64</v>
      </c>
      <c r="W26" s="78" t="s">
        <v>64</v>
      </c>
      <c r="X26" s="77" t="s">
        <v>64</v>
      </c>
      <c r="Y26" s="77" t="s">
        <v>64</v>
      </c>
      <c r="Z26" s="78" t="s">
        <v>64</v>
      </c>
      <c r="AA26" s="77" t="s">
        <v>64</v>
      </c>
      <c r="AB26" s="77" t="s">
        <v>64</v>
      </c>
      <c r="AC26" s="78" t="s">
        <v>64</v>
      </c>
      <c r="AD26" s="77" t="s">
        <v>64</v>
      </c>
      <c r="AE26" s="77" t="s">
        <v>64</v>
      </c>
      <c r="AF26" s="78" t="s">
        <v>64</v>
      </c>
      <c r="AG26" s="77" t="s">
        <v>64</v>
      </c>
      <c r="AH26" s="78" t="s">
        <v>64</v>
      </c>
      <c r="AI26" s="77" t="s">
        <v>64</v>
      </c>
      <c r="AJ26" s="78" t="s">
        <v>64</v>
      </c>
      <c r="AK26" s="77" t="s">
        <v>64</v>
      </c>
      <c r="AL26" s="78" t="s">
        <v>64</v>
      </c>
      <c r="AM26" s="77" t="s">
        <v>64</v>
      </c>
    </row>
    <row r="27" spans="1:39">
      <c r="B27" s="236"/>
      <c r="C27" s="76" t="s">
        <v>65</v>
      </c>
      <c r="D27" s="66" t="s">
        <v>66</v>
      </c>
      <c r="E27" s="66" t="s">
        <v>66</v>
      </c>
      <c r="F27" s="67" t="s">
        <v>164</v>
      </c>
      <c r="G27" s="67" t="s">
        <v>164</v>
      </c>
      <c r="H27" s="67" t="s">
        <v>164</v>
      </c>
      <c r="I27" s="67" t="s">
        <v>164</v>
      </c>
      <c r="J27" s="67" t="s">
        <v>164</v>
      </c>
      <c r="K27" s="67" t="s">
        <v>164</v>
      </c>
      <c r="L27" s="67" t="s">
        <v>66</v>
      </c>
      <c r="M27" s="67" t="s">
        <v>66</v>
      </c>
      <c r="N27" s="67" t="s">
        <v>66</v>
      </c>
      <c r="O27" s="57" t="s">
        <v>66</v>
      </c>
      <c r="P27" s="57" t="s">
        <v>66</v>
      </c>
      <c r="Q27" s="67" t="s">
        <v>66</v>
      </c>
      <c r="R27" s="57" t="s">
        <v>66</v>
      </c>
      <c r="S27" s="57" t="s">
        <v>66</v>
      </c>
      <c r="T27" s="67" t="s">
        <v>66</v>
      </c>
      <c r="U27" s="57" t="s">
        <v>66</v>
      </c>
      <c r="V27" s="57" t="s">
        <v>66</v>
      </c>
      <c r="W27" s="67" t="s">
        <v>66</v>
      </c>
      <c r="X27" s="57" t="s">
        <v>66</v>
      </c>
      <c r="Y27" s="57" t="s">
        <v>66</v>
      </c>
      <c r="Z27" s="67" t="s">
        <v>66</v>
      </c>
      <c r="AA27" s="57" t="s">
        <v>66</v>
      </c>
      <c r="AB27" s="57" t="s">
        <v>66</v>
      </c>
      <c r="AC27" s="67" t="s">
        <v>66</v>
      </c>
      <c r="AD27" s="57" t="s">
        <v>66</v>
      </c>
      <c r="AE27" s="57" t="s">
        <v>66</v>
      </c>
      <c r="AF27" s="67" t="s">
        <v>66</v>
      </c>
      <c r="AG27" s="57" t="s">
        <v>66</v>
      </c>
      <c r="AH27" s="67" t="s">
        <v>66</v>
      </c>
      <c r="AI27" s="57" t="s">
        <v>66</v>
      </c>
      <c r="AJ27" s="67" t="s">
        <v>66</v>
      </c>
      <c r="AK27" s="57" t="s">
        <v>66</v>
      </c>
      <c r="AL27" s="67" t="s">
        <v>66</v>
      </c>
      <c r="AM27" s="57" t="s">
        <v>66</v>
      </c>
    </row>
    <row r="28" spans="1:39">
      <c r="B28" s="237"/>
      <c r="C28" s="79" t="s">
        <v>165</v>
      </c>
      <c r="D28" s="80" t="s">
        <v>68</v>
      </c>
      <c r="E28" s="80" t="s">
        <v>68</v>
      </c>
      <c r="F28" s="81" t="s">
        <v>68</v>
      </c>
      <c r="G28" s="81" t="s">
        <v>68</v>
      </c>
      <c r="H28" s="81" t="s">
        <v>68</v>
      </c>
      <c r="I28" s="81" t="s">
        <v>68</v>
      </c>
      <c r="J28" s="81" t="s">
        <v>68</v>
      </c>
      <c r="K28" s="81" t="s">
        <v>68</v>
      </c>
      <c r="L28" s="81" t="s">
        <v>68</v>
      </c>
      <c r="M28" s="81" t="s">
        <v>68</v>
      </c>
      <c r="N28" s="81" t="s">
        <v>68</v>
      </c>
      <c r="O28" s="57" t="s">
        <v>68</v>
      </c>
      <c r="P28" s="57" t="s">
        <v>68</v>
      </c>
      <c r="Q28" s="81" t="s">
        <v>68</v>
      </c>
      <c r="R28" s="57" t="s">
        <v>68</v>
      </c>
      <c r="S28" s="57" t="s">
        <v>68</v>
      </c>
      <c r="T28" s="81" t="s">
        <v>68</v>
      </c>
      <c r="U28" s="57" t="s">
        <v>68</v>
      </c>
      <c r="V28" s="57" t="s">
        <v>68</v>
      </c>
      <c r="W28" s="81" t="s">
        <v>68</v>
      </c>
      <c r="X28" s="57" t="s">
        <v>68</v>
      </c>
      <c r="Y28" s="57" t="s">
        <v>68</v>
      </c>
      <c r="Z28" s="81" t="s">
        <v>68</v>
      </c>
      <c r="AA28" s="57" t="s">
        <v>68</v>
      </c>
      <c r="AB28" s="57" t="s">
        <v>68</v>
      </c>
      <c r="AC28" s="81" t="s">
        <v>68</v>
      </c>
      <c r="AD28" s="57" t="s">
        <v>68</v>
      </c>
      <c r="AE28" s="57" t="s">
        <v>68</v>
      </c>
      <c r="AF28" s="81" t="s">
        <v>68</v>
      </c>
      <c r="AG28" s="57" t="s">
        <v>68</v>
      </c>
      <c r="AH28" s="81" t="s">
        <v>68</v>
      </c>
      <c r="AI28" s="57" t="s">
        <v>68</v>
      </c>
      <c r="AJ28" s="81" t="s">
        <v>68</v>
      </c>
      <c r="AK28" s="57" t="s">
        <v>68</v>
      </c>
      <c r="AL28" s="81" t="s">
        <v>68</v>
      </c>
      <c r="AM28" s="57" t="s">
        <v>68</v>
      </c>
    </row>
    <row r="29" spans="1:39" ht="13.15" thickBot="1">
      <c r="B29" s="238"/>
      <c r="C29" s="82" t="s">
        <v>71</v>
      </c>
      <c r="D29" s="83" t="s">
        <v>166</v>
      </c>
      <c r="E29" s="83" t="s">
        <v>166</v>
      </c>
      <c r="F29" s="84" t="s">
        <v>72</v>
      </c>
      <c r="G29" s="84" t="s">
        <v>72</v>
      </c>
      <c r="H29" s="84" t="s">
        <v>72</v>
      </c>
      <c r="I29" s="84" t="s">
        <v>72</v>
      </c>
      <c r="J29" s="84" t="s">
        <v>72</v>
      </c>
      <c r="K29" s="84" t="s">
        <v>72</v>
      </c>
      <c r="L29" s="84" t="s">
        <v>72</v>
      </c>
      <c r="M29" s="84" t="s">
        <v>72</v>
      </c>
      <c r="N29" s="84" t="s">
        <v>72</v>
      </c>
      <c r="O29" s="83" t="s">
        <v>72</v>
      </c>
      <c r="P29" s="83" t="s">
        <v>72</v>
      </c>
      <c r="Q29" s="84" t="s">
        <v>72</v>
      </c>
      <c r="R29" s="83" t="s">
        <v>72</v>
      </c>
      <c r="S29" s="83" t="s">
        <v>72</v>
      </c>
      <c r="T29" s="84" t="s">
        <v>72</v>
      </c>
      <c r="U29" s="83" t="s">
        <v>72</v>
      </c>
      <c r="V29" s="83" t="s">
        <v>72</v>
      </c>
      <c r="W29" s="84" t="s">
        <v>72</v>
      </c>
      <c r="X29" s="83" t="s">
        <v>72</v>
      </c>
      <c r="Y29" s="83" t="s">
        <v>72</v>
      </c>
      <c r="Z29" s="84" t="s">
        <v>72</v>
      </c>
      <c r="AA29" s="83" t="s">
        <v>72</v>
      </c>
      <c r="AB29" s="83" t="s">
        <v>72</v>
      </c>
      <c r="AC29" s="84" t="s">
        <v>72</v>
      </c>
      <c r="AD29" s="83" t="s">
        <v>72</v>
      </c>
      <c r="AE29" s="83" t="s">
        <v>72</v>
      </c>
      <c r="AF29" s="84" t="s">
        <v>73</v>
      </c>
      <c r="AG29" s="83" t="s">
        <v>73</v>
      </c>
      <c r="AH29" s="84" t="s">
        <v>73</v>
      </c>
      <c r="AI29" s="83" t="s">
        <v>73</v>
      </c>
      <c r="AJ29" s="84" t="s">
        <v>73</v>
      </c>
      <c r="AK29" s="83" t="s">
        <v>73</v>
      </c>
      <c r="AL29" s="84" t="s">
        <v>73</v>
      </c>
      <c r="AM29" s="83" t="s">
        <v>73</v>
      </c>
    </row>
    <row r="30" spans="1:39">
      <c r="B30" s="195" t="s">
        <v>74</v>
      </c>
      <c r="C30" s="85" t="s">
        <v>75</v>
      </c>
      <c r="D30" s="86">
        <v>500</v>
      </c>
      <c r="E30" s="86">
        <v>500</v>
      </c>
      <c r="F30" s="67">
        <v>1200</v>
      </c>
      <c r="G30" s="67">
        <v>1200</v>
      </c>
      <c r="H30" s="67">
        <v>1200</v>
      </c>
      <c r="I30" s="67">
        <v>1200</v>
      </c>
      <c r="J30" s="67">
        <v>1200</v>
      </c>
      <c r="K30" s="67">
        <v>1200</v>
      </c>
      <c r="L30" s="67">
        <v>2000</v>
      </c>
      <c r="M30" s="67">
        <v>2000</v>
      </c>
      <c r="N30" s="67">
        <v>2000</v>
      </c>
      <c r="O30" s="57">
        <v>1200</v>
      </c>
      <c r="P30" s="57">
        <v>2000</v>
      </c>
      <c r="Q30" s="67">
        <v>2000</v>
      </c>
      <c r="R30" s="57">
        <v>1200</v>
      </c>
      <c r="S30" s="57">
        <v>2000</v>
      </c>
      <c r="T30" s="67">
        <v>2000</v>
      </c>
      <c r="U30" s="57">
        <v>1200</v>
      </c>
      <c r="V30" s="57">
        <v>2000</v>
      </c>
      <c r="W30" s="67">
        <v>2000</v>
      </c>
      <c r="X30" s="57">
        <v>1200</v>
      </c>
      <c r="Y30" s="57">
        <v>2000</v>
      </c>
      <c r="Z30" s="67">
        <v>2000</v>
      </c>
      <c r="AA30" s="57">
        <v>1200</v>
      </c>
      <c r="AB30" s="57">
        <v>2000</v>
      </c>
      <c r="AC30" s="67">
        <v>2000</v>
      </c>
      <c r="AD30" s="57">
        <v>1200</v>
      </c>
      <c r="AE30" s="57">
        <v>2000</v>
      </c>
      <c r="AF30" s="67">
        <v>2000</v>
      </c>
      <c r="AG30" s="57">
        <v>1200</v>
      </c>
      <c r="AH30" s="67">
        <v>2000</v>
      </c>
      <c r="AI30" s="57">
        <v>1200</v>
      </c>
      <c r="AJ30" s="67">
        <v>2000</v>
      </c>
      <c r="AK30" s="57">
        <v>1200</v>
      </c>
      <c r="AL30" s="67">
        <v>2000</v>
      </c>
      <c r="AM30" s="57">
        <v>1200</v>
      </c>
    </row>
    <row r="31" spans="1:39">
      <c r="B31" s="196"/>
      <c r="C31" s="76" t="s">
        <v>76</v>
      </c>
      <c r="D31" s="59">
        <v>6500</v>
      </c>
      <c r="E31" s="59">
        <v>6500</v>
      </c>
      <c r="F31" s="68" t="s">
        <v>78</v>
      </c>
      <c r="G31" s="68" t="s">
        <v>78</v>
      </c>
      <c r="H31" s="68" t="s">
        <v>78</v>
      </c>
      <c r="I31" s="68" t="s">
        <v>78</v>
      </c>
      <c r="J31" s="68" t="s">
        <v>78</v>
      </c>
      <c r="K31" s="68" t="s">
        <v>78</v>
      </c>
      <c r="L31" s="68" t="s">
        <v>78</v>
      </c>
      <c r="M31" s="68" t="s">
        <v>78</v>
      </c>
      <c r="N31" s="68" t="s">
        <v>78</v>
      </c>
      <c r="O31" s="59" t="s">
        <v>78</v>
      </c>
      <c r="P31" s="59" t="s">
        <v>78</v>
      </c>
      <c r="Q31" s="68" t="s">
        <v>78</v>
      </c>
      <c r="R31" s="59" t="s">
        <v>78</v>
      </c>
      <c r="S31" s="59" t="s">
        <v>78</v>
      </c>
      <c r="T31" s="68" t="s">
        <v>78</v>
      </c>
      <c r="U31" s="59" t="s">
        <v>78</v>
      </c>
      <c r="V31" s="59" t="s">
        <v>78</v>
      </c>
      <c r="W31" s="68" t="s">
        <v>78</v>
      </c>
      <c r="X31" s="59" t="s">
        <v>78</v>
      </c>
      <c r="Y31" s="59" t="s">
        <v>78</v>
      </c>
      <c r="Z31" s="68" t="s">
        <v>78</v>
      </c>
      <c r="AA31" s="59" t="s">
        <v>78</v>
      </c>
      <c r="AB31" s="59" t="s">
        <v>78</v>
      </c>
      <c r="AC31" s="68" t="s">
        <v>78</v>
      </c>
      <c r="AD31" s="59" t="s">
        <v>78</v>
      </c>
      <c r="AE31" s="59" t="s">
        <v>78</v>
      </c>
      <c r="AF31" s="68" t="s">
        <v>78</v>
      </c>
      <c r="AG31" s="59" t="s">
        <v>78</v>
      </c>
      <c r="AH31" s="68" t="s">
        <v>78</v>
      </c>
      <c r="AI31" s="59" t="s">
        <v>78</v>
      </c>
      <c r="AJ31" s="68" t="s">
        <v>78</v>
      </c>
      <c r="AK31" s="59" t="s">
        <v>78</v>
      </c>
      <c r="AL31" s="68" t="s">
        <v>78</v>
      </c>
      <c r="AM31" s="59" t="s">
        <v>78</v>
      </c>
    </row>
    <row r="32" spans="1:39">
      <c r="B32" s="196"/>
      <c r="C32" s="76" t="s">
        <v>79</v>
      </c>
      <c r="D32" s="59" t="s">
        <v>80</v>
      </c>
      <c r="E32" s="59" t="s">
        <v>80</v>
      </c>
      <c r="F32" s="67" t="s">
        <v>80</v>
      </c>
      <c r="G32" s="67" t="s">
        <v>80</v>
      </c>
      <c r="H32" s="67" t="s">
        <v>80</v>
      </c>
      <c r="I32" s="67" t="s">
        <v>80</v>
      </c>
      <c r="J32" s="67" t="s">
        <v>80</v>
      </c>
      <c r="K32" s="67" t="s">
        <v>80</v>
      </c>
      <c r="L32" s="67" t="s">
        <v>81</v>
      </c>
      <c r="M32" s="67" t="s">
        <v>81</v>
      </c>
      <c r="N32" s="67" t="s">
        <v>81</v>
      </c>
      <c r="O32" s="57" t="s">
        <v>81</v>
      </c>
      <c r="P32" s="57" t="s">
        <v>81</v>
      </c>
      <c r="Q32" s="67" t="s">
        <v>81</v>
      </c>
      <c r="R32" s="57" t="s">
        <v>81</v>
      </c>
      <c r="S32" s="57" t="s">
        <v>81</v>
      </c>
      <c r="T32" s="67" t="s">
        <v>81</v>
      </c>
      <c r="U32" s="57" t="s">
        <v>81</v>
      </c>
      <c r="V32" s="57" t="s">
        <v>81</v>
      </c>
      <c r="W32" s="67" t="s">
        <v>81</v>
      </c>
      <c r="X32" s="57" t="s">
        <v>81</v>
      </c>
      <c r="Y32" s="57" t="s">
        <v>81</v>
      </c>
      <c r="Z32" s="67" t="s">
        <v>81</v>
      </c>
      <c r="AA32" s="57" t="s">
        <v>81</v>
      </c>
      <c r="AB32" s="57" t="s">
        <v>81</v>
      </c>
      <c r="AC32" s="67" t="s">
        <v>81</v>
      </c>
      <c r="AD32" s="57" t="s">
        <v>81</v>
      </c>
      <c r="AE32" s="57" t="s">
        <v>81</v>
      </c>
      <c r="AF32" s="67" t="s">
        <v>81</v>
      </c>
      <c r="AG32" s="57" t="s">
        <v>81</v>
      </c>
      <c r="AH32" s="67" t="s">
        <v>81</v>
      </c>
      <c r="AI32" s="57" t="s">
        <v>81</v>
      </c>
      <c r="AJ32" s="67" t="s">
        <v>81</v>
      </c>
      <c r="AK32" s="57" t="s">
        <v>81</v>
      </c>
      <c r="AL32" s="67" t="s">
        <v>81</v>
      </c>
      <c r="AM32" s="57" t="s">
        <v>81</v>
      </c>
    </row>
    <row r="33" spans="1:39">
      <c r="B33" s="196"/>
      <c r="C33" s="76" t="s">
        <v>82</v>
      </c>
      <c r="D33" s="59" t="s">
        <v>80</v>
      </c>
      <c r="E33" s="59" t="s">
        <v>80</v>
      </c>
      <c r="F33" s="67" t="s">
        <v>80</v>
      </c>
      <c r="G33" s="67" t="s">
        <v>80</v>
      </c>
      <c r="H33" s="67" t="s">
        <v>80</v>
      </c>
      <c r="I33" s="67" t="s">
        <v>80</v>
      </c>
      <c r="J33" s="67" t="s">
        <v>80</v>
      </c>
      <c r="K33" s="67" t="s">
        <v>80</v>
      </c>
      <c r="L33" s="67" t="s">
        <v>81</v>
      </c>
      <c r="M33" s="67" t="s">
        <v>81</v>
      </c>
      <c r="N33" s="67" t="s">
        <v>90</v>
      </c>
      <c r="O33" s="57" t="s">
        <v>90</v>
      </c>
      <c r="P33" s="57" t="s">
        <v>90</v>
      </c>
      <c r="Q33" s="67" t="s">
        <v>90</v>
      </c>
      <c r="R33" s="57" t="s">
        <v>90</v>
      </c>
      <c r="S33" s="57" t="s">
        <v>90</v>
      </c>
      <c r="T33" s="67" t="s">
        <v>90</v>
      </c>
      <c r="U33" s="57" t="s">
        <v>90</v>
      </c>
      <c r="V33" s="57" t="s">
        <v>90</v>
      </c>
      <c r="W33" s="67" t="s">
        <v>90</v>
      </c>
      <c r="X33" s="57" t="s">
        <v>90</v>
      </c>
      <c r="Y33" s="57" t="s">
        <v>90</v>
      </c>
      <c r="Z33" s="67" t="s">
        <v>90</v>
      </c>
      <c r="AA33" s="57" t="s">
        <v>90</v>
      </c>
      <c r="AB33" s="57" t="s">
        <v>90</v>
      </c>
      <c r="AC33" s="67" t="s">
        <v>90</v>
      </c>
      <c r="AD33" s="57" t="s">
        <v>90</v>
      </c>
      <c r="AE33" s="57" t="s">
        <v>90</v>
      </c>
      <c r="AF33" s="67" t="s">
        <v>167</v>
      </c>
      <c r="AG33" s="57" t="s">
        <v>167</v>
      </c>
      <c r="AH33" s="67" t="s">
        <v>167</v>
      </c>
      <c r="AI33" s="57" t="s">
        <v>167</v>
      </c>
      <c r="AJ33" s="67" t="s">
        <v>167</v>
      </c>
      <c r="AK33" s="57" t="s">
        <v>167</v>
      </c>
      <c r="AL33" s="67" t="s">
        <v>167</v>
      </c>
      <c r="AM33" s="57" t="s">
        <v>167</v>
      </c>
    </row>
    <row r="34" spans="1:39" s="3" customFormat="1">
      <c r="A34" s="41"/>
      <c r="B34" s="196"/>
      <c r="C34" s="58" t="s">
        <v>86</v>
      </c>
      <c r="D34" s="59" t="s">
        <v>80</v>
      </c>
      <c r="E34" s="59" t="s">
        <v>80</v>
      </c>
      <c r="F34" s="67" t="s">
        <v>80</v>
      </c>
      <c r="G34" s="67" t="s">
        <v>80</v>
      </c>
      <c r="H34" s="67" t="s">
        <v>80</v>
      </c>
      <c r="I34" s="67" t="s">
        <v>80</v>
      </c>
      <c r="J34" s="67" t="s">
        <v>80</v>
      </c>
      <c r="K34" s="67" t="s">
        <v>80</v>
      </c>
      <c r="L34" s="88" t="s">
        <v>80</v>
      </c>
      <c r="M34" s="88" t="s">
        <v>80</v>
      </c>
      <c r="N34" s="88" t="s">
        <v>80</v>
      </c>
      <c r="O34" s="89" t="s">
        <v>80</v>
      </c>
      <c r="P34" s="89" t="s">
        <v>80</v>
      </c>
      <c r="Q34" s="88" t="s">
        <v>80</v>
      </c>
      <c r="R34" s="89" t="s">
        <v>80</v>
      </c>
      <c r="S34" s="89" t="s">
        <v>80</v>
      </c>
      <c r="T34" s="88" t="s">
        <v>80</v>
      </c>
      <c r="U34" s="89" t="s">
        <v>80</v>
      </c>
      <c r="V34" s="89" t="s">
        <v>80</v>
      </c>
      <c r="W34" s="88" t="s">
        <v>80</v>
      </c>
      <c r="X34" s="89" t="s">
        <v>80</v>
      </c>
      <c r="Y34" s="89" t="s">
        <v>80</v>
      </c>
      <c r="Z34" s="88" t="s">
        <v>80</v>
      </c>
      <c r="AA34" s="89" t="s">
        <v>80</v>
      </c>
      <c r="AB34" s="89" t="s">
        <v>80</v>
      </c>
      <c r="AC34" s="88" t="s">
        <v>80</v>
      </c>
      <c r="AD34" s="89" t="s">
        <v>80</v>
      </c>
      <c r="AE34" s="89" t="s">
        <v>80</v>
      </c>
      <c r="AF34" s="88" t="s">
        <v>80</v>
      </c>
      <c r="AG34" s="89" t="s">
        <v>80</v>
      </c>
      <c r="AH34" s="88" t="s">
        <v>80</v>
      </c>
      <c r="AI34" s="89" t="s">
        <v>80</v>
      </c>
      <c r="AJ34" s="88" t="s">
        <v>80</v>
      </c>
      <c r="AK34" s="89" t="s">
        <v>80</v>
      </c>
      <c r="AL34" s="88" t="s">
        <v>80</v>
      </c>
      <c r="AM34" s="89" t="s">
        <v>80</v>
      </c>
    </row>
    <row r="35" spans="1:39" s="3" customFormat="1">
      <c r="A35" s="41"/>
      <c r="B35" s="196"/>
      <c r="C35" s="58" t="s">
        <v>87</v>
      </c>
      <c r="D35" s="59" t="s">
        <v>80</v>
      </c>
      <c r="E35" s="59" t="s">
        <v>80</v>
      </c>
      <c r="F35" s="67" t="s">
        <v>80</v>
      </c>
      <c r="G35" s="67" t="s">
        <v>80</v>
      </c>
      <c r="H35" s="67" t="s">
        <v>80</v>
      </c>
      <c r="I35" s="67" t="s">
        <v>80</v>
      </c>
      <c r="J35" s="67" t="s">
        <v>80</v>
      </c>
      <c r="K35" s="67" t="s">
        <v>80</v>
      </c>
      <c r="L35" s="88" t="s">
        <v>168</v>
      </c>
      <c r="M35" s="88" t="s">
        <v>168</v>
      </c>
      <c r="N35" s="88" t="s">
        <v>168</v>
      </c>
      <c r="O35" s="89" t="s">
        <v>168</v>
      </c>
      <c r="P35" s="89" t="s">
        <v>168</v>
      </c>
      <c r="Q35" s="88" t="s">
        <v>168</v>
      </c>
      <c r="R35" s="89" t="s">
        <v>168</v>
      </c>
      <c r="S35" s="89" t="s">
        <v>168</v>
      </c>
      <c r="T35" s="88" t="s">
        <v>168</v>
      </c>
      <c r="U35" s="89" t="s">
        <v>168</v>
      </c>
      <c r="V35" s="89" t="s">
        <v>168</v>
      </c>
      <c r="W35" s="88" t="s">
        <v>168</v>
      </c>
      <c r="X35" s="89" t="s">
        <v>168</v>
      </c>
      <c r="Y35" s="89" t="s">
        <v>168</v>
      </c>
      <c r="Z35" s="88" t="s">
        <v>168</v>
      </c>
      <c r="AA35" s="89" t="s">
        <v>168</v>
      </c>
      <c r="AB35" s="89" t="s">
        <v>168</v>
      </c>
      <c r="AC35" s="88" t="s">
        <v>168</v>
      </c>
      <c r="AD35" s="89" t="s">
        <v>168</v>
      </c>
      <c r="AE35" s="89" t="s">
        <v>168</v>
      </c>
      <c r="AF35" s="88" t="s">
        <v>168</v>
      </c>
      <c r="AG35" s="89" t="s">
        <v>168</v>
      </c>
      <c r="AH35" s="88" t="s">
        <v>168</v>
      </c>
      <c r="AI35" s="89" t="s">
        <v>168</v>
      </c>
      <c r="AJ35" s="88" t="s">
        <v>168</v>
      </c>
      <c r="AK35" s="89" t="s">
        <v>168</v>
      </c>
      <c r="AL35" s="88" t="s">
        <v>168</v>
      </c>
      <c r="AM35" s="89" t="s">
        <v>168</v>
      </c>
    </row>
    <row r="36" spans="1:39">
      <c r="B36" s="196"/>
      <c r="C36" s="76" t="s">
        <v>93</v>
      </c>
      <c r="D36" s="59" t="s">
        <v>94</v>
      </c>
      <c r="E36" s="59" t="s">
        <v>94</v>
      </c>
      <c r="F36" s="180" t="s">
        <v>94</v>
      </c>
      <c r="G36" s="180" t="s">
        <v>94</v>
      </c>
      <c r="H36" s="180" t="s">
        <v>94</v>
      </c>
      <c r="I36" s="180" t="s">
        <v>94</v>
      </c>
      <c r="J36" s="180" t="s">
        <v>94</v>
      </c>
      <c r="K36" s="180" t="s">
        <v>94</v>
      </c>
      <c r="L36" s="180" t="s">
        <v>94</v>
      </c>
      <c r="M36" s="180" t="s">
        <v>94</v>
      </c>
      <c r="N36" s="180" t="s">
        <v>94</v>
      </c>
      <c r="O36" s="182" t="s">
        <v>94</v>
      </c>
      <c r="P36" s="182" t="s">
        <v>94</v>
      </c>
      <c r="Q36" s="180" t="s">
        <v>94</v>
      </c>
      <c r="R36" s="182" t="s">
        <v>94</v>
      </c>
      <c r="S36" s="182" t="s">
        <v>94</v>
      </c>
      <c r="T36" s="180" t="s">
        <v>94</v>
      </c>
      <c r="U36" s="182" t="s">
        <v>94</v>
      </c>
      <c r="V36" s="182" t="s">
        <v>94</v>
      </c>
      <c r="W36" s="180" t="s">
        <v>94</v>
      </c>
      <c r="X36" s="182" t="s">
        <v>94</v>
      </c>
      <c r="Y36" s="182" t="s">
        <v>94</v>
      </c>
      <c r="Z36" s="180" t="s">
        <v>94</v>
      </c>
      <c r="AA36" s="182" t="s">
        <v>94</v>
      </c>
      <c r="AB36" s="182" t="s">
        <v>94</v>
      </c>
      <c r="AC36" s="180" t="s">
        <v>94</v>
      </c>
      <c r="AD36" s="182" t="s">
        <v>94</v>
      </c>
      <c r="AE36" s="182" t="s">
        <v>94</v>
      </c>
      <c r="AF36" s="180" t="s">
        <v>169</v>
      </c>
      <c r="AG36" s="182" t="s">
        <v>94</v>
      </c>
      <c r="AH36" s="180" t="s">
        <v>169</v>
      </c>
      <c r="AI36" s="182" t="s">
        <v>94</v>
      </c>
      <c r="AJ36" s="180" t="s">
        <v>169</v>
      </c>
      <c r="AK36" s="182" t="s">
        <v>94</v>
      </c>
      <c r="AL36" s="180" t="s">
        <v>169</v>
      </c>
      <c r="AM36" s="182" t="s">
        <v>94</v>
      </c>
    </row>
    <row r="37" spans="1:39">
      <c r="B37" s="196"/>
      <c r="C37" s="76" t="s">
        <v>95</v>
      </c>
      <c r="D37" s="59" t="s">
        <v>96</v>
      </c>
      <c r="E37" s="59" t="s">
        <v>96</v>
      </c>
      <c r="F37" s="68" t="s">
        <v>96</v>
      </c>
      <c r="G37" s="68" t="s">
        <v>96</v>
      </c>
      <c r="H37" s="68" t="s">
        <v>96</v>
      </c>
      <c r="I37" s="68" t="s">
        <v>96</v>
      </c>
      <c r="J37" s="68" t="s">
        <v>96</v>
      </c>
      <c r="K37" s="68" t="s">
        <v>96</v>
      </c>
      <c r="L37" s="68" t="s">
        <v>96</v>
      </c>
      <c r="M37" s="68" t="s">
        <v>96</v>
      </c>
      <c r="N37" s="68" t="s">
        <v>96</v>
      </c>
      <c r="O37" s="59" t="s">
        <v>96</v>
      </c>
      <c r="P37" s="59" t="s">
        <v>96</v>
      </c>
      <c r="Q37" s="68" t="s">
        <v>96</v>
      </c>
      <c r="R37" s="59" t="s">
        <v>96</v>
      </c>
      <c r="S37" s="59" t="s">
        <v>96</v>
      </c>
      <c r="T37" s="68" t="s">
        <v>96</v>
      </c>
      <c r="U37" s="59" t="s">
        <v>96</v>
      </c>
      <c r="V37" s="59" t="s">
        <v>96</v>
      </c>
      <c r="W37" s="68" t="s">
        <v>96</v>
      </c>
      <c r="X37" s="59" t="s">
        <v>96</v>
      </c>
      <c r="Y37" s="59" t="s">
        <v>96</v>
      </c>
      <c r="Z37" s="68" t="s">
        <v>96</v>
      </c>
      <c r="AA37" s="59" t="s">
        <v>96</v>
      </c>
      <c r="AB37" s="59" t="s">
        <v>96</v>
      </c>
      <c r="AC37" s="68" t="s">
        <v>96</v>
      </c>
      <c r="AD37" s="59" t="s">
        <v>96</v>
      </c>
      <c r="AE37" s="59" t="s">
        <v>96</v>
      </c>
      <c r="AF37" s="68" t="s">
        <v>96</v>
      </c>
      <c r="AG37" s="59" t="s">
        <v>96</v>
      </c>
      <c r="AH37" s="68" t="s">
        <v>96</v>
      </c>
      <c r="AI37" s="59" t="s">
        <v>96</v>
      </c>
      <c r="AJ37" s="68" t="s">
        <v>96</v>
      </c>
      <c r="AK37" s="59" t="s">
        <v>96</v>
      </c>
      <c r="AL37" s="68" t="s">
        <v>96</v>
      </c>
      <c r="AM37" s="59" t="s">
        <v>96</v>
      </c>
    </row>
    <row r="38" spans="1:39" s="8" customFormat="1" ht="13.15">
      <c r="A38" s="90"/>
      <c r="B38" s="196"/>
      <c r="C38" s="58" t="s">
        <v>97</v>
      </c>
      <c r="D38" s="182" t="s">
        <v>170</v>
      </c>
      <c r="E38" s="182" t="s">
        <v>170</v>
      </c>
      <c r="F38" s="67" t="s">
        <v>99</v>
      </c>
      <c r="G38" s="67" t="s">
        <v>99</v>
      </c>
      <c r="H38" s="67" t="s">
        <v>99</v>
      </c>
      <c r="I38" s="67" t="s">
        <v>99</v>
      </c>
      <c r="J38" s="67" t="s">
        <v>99</v>
      </c>
      <c r="K38" s="67" t="s">
        <v>99</v>
      </c>
      <c r="L38" s="67" t="s">
        <v>170</v>
      </c>
      <c r="M38" s="67" t="s">
        <v>170</v>
      </c>
      <c r="N38" s="67" t="s">
        <v>170</v>
      </c>
      <c r="O38" s="57" t="s">
        <v>170</v>
      </c>
      <c r="P38" s="57" t="s">
        <v>170</v>
      </c>
      <c r="Q38" s="67" t="s">
        <v>170</v>
      </c>
      <c r="R38" s="57" t="s">
        <v>170</v>
      </c>
      <c r="S38" s="57" t="s">
        <v>170</v>
      </c>
      <c r="T38" s="67" t="s">
        <v>170</v>
      </c>
      <c r="U38" s="57" t="s">
        <v>170</v>
      </c>
      <c r="V38" s="57" t="s">
        <v>170</v>
      </c>
      <c r="W38" s="67" t="s">
        <v>170</v>
      </c>
      <c r="X38" s="57" t="s">
        <v>170</v>
      </c>
      <c r="Y38" s="57" t="s">
        <v>170</v>
      </c>
      <c r="Z38" s="67" t="s">
        <v>170</v>
      </c>
      <c r="AA38" s="57" t="s">
        <v>170</v>
      </c>
      <c r="AB38" s="57" t="s">
        <v>170</v>
      </c>
      <c r="AC38" s="67" t="s">
        <v>170</v>
      </c>
      <c r="AD38" s="57" t="s">
        <v>170</v>
      </c>
      <c r="AE38" s="57" t="s">
        <v>170</v>
      </c>
      <c r="AF38" s="67" t="s">
        <v>99</v>
      </c>
      <c r="AG38" s="57" t="s">
        <v>99</v>
      </c>
      <c r="AH38" s="67" t="s">
        <v>99</v>
      </c>
      <c r="AI38" s="57" t="s">
        <v>99</v>
      </c>
      <c r="AJ38" s="67" t="s">
        <v>99</v>
      </c>
      <c r="AK38" s="57" t="s">
        <v>99</v>
      </c>
      <c r="AL38" s="67" t="s">
        <v>99</v>
      </c>
      <c r="AM38" s="57" t="s">
        <v>99</v>
      </c>
    </row>
    <row r="39" spans="1:39" s="3" customFormat="1" ht="13.15" thickBot="1">
      <c r="A39" s="41"/>
      <c r="B39" s="197"/>
      <c r="C39" s="92" t="s">
        <v>102</v>
      </c>
      <c r="D39" s="83">
        <v>16</v>
      </c>
      <c r="E39" s="83">
        <v>16</v>
      </c>
      <c r="F39" s="93">
        <v>16</v>
      </c>
      <c r="G39" s="93">
        <v>16</v>
      </c>
      <c r="H39" s="93">
        <v>16</v>
      </c>
      <c r="I39" s="93">
        <v>16</v>
      </c>
      <c r="J39" s="93">
        <v>16</v>
      </c>
      <c r="K39" s="93">
        <v>16</v>
      </c>
      <c r="L39" s="93">
        <v>16</v>
      </c>
      <c r="M39" s="93">
        <v>16</v>
      </c>
      <c r="N39" s="93">
        <v>16</v>
      </c>
      <c r="O39" s="94">
        <v>16</v>
      </c>
      <c r="P39" s="94">
        <v>16</v>
      </c>
      <c r="Q39" s="93">
        <v>16</v>
      </c>
      <c r="R39" s="94">
        <v>16</v>
      </c>
      <c r="S39" s="94">
        <v>16</v>
      </c>
      <c r="T39" s="93">
        <v>16</v>
      </c>
      <c r="U39" s="94">
        <v>16</v>
      </c>
      <c r="V39" s="94">
        <v>16</v>
      </c>
      <c r="W39" s="93">
        <v>16</v>
      </c>
      <c r="X39" s="94">
        <v>16</v>
      </c>
      <c r="Y39" s="94">
        <v>16</v>
      </c>
      <c r="Z39" s="93">
        <v>16</v>
      </c>
      <c r="AA39" s="94">
        <v>16</v>
      </c>
      <c r="AB39" s="94">
        <v>16</v>
      </c>
      <c r="AC39" s="93">
        <v>16</v>
      </c>
      <c r="AD39" s="94">
        <v>16</v>
      </c>
      <c r="AE39" s="94">
        <v>16</v>
      </c>
      <c r="AF39" s="93">
        <v>16</v>
      </c>
      <c r="AG39" s="94">
        <v>16</v>
      </c>
      <c r="AH39" s="93">
        <v>16</v>
      </c>
      <c r="AI39" s="94">
        <v>16</v>
      </c>
      <c r="AJ39" s="93">
        <v>16</v>
      </c>
      <c r="AK39" s="94">
        <v>16</v>
      </c>
      <c r="AL39" s="93">
        <v>16</v>
      </c>
      <c r="AM39" s="94">
        <v>16</v>
      </c>
    </row>
    <row r="40" spans="1:39">
      <c r="B40" s="198"/>
      <c r="C40" s="76" t="s">
        <v>103</v>
      </c>
      <c r="D40" s="86">
        <v>1850</v>
      </c>
      <c r="E40" s="86">
        <v>2200</v>
      </c>
      <c r="F40" s="96">
        <v>32.4</v>
      </c>
      <c r="G40" s="96">
        <v>48</v>
      </c>
      <c r="H40" s="96">
        <v>48</v>
      </c>
      <c r="I40" s="96">
        <v>48</v>
      </c>
      <c r="J40" s="96">
        <v>48</v>
      </c>
      <c r="K40" s="96">
        <v>48</v>
      </c>
      <c r="L40" s="96">
        <v>370</v>
      </c>
      <c r="M40" s="96">
        <v>370</v>
      </c>
      <c r="N40" s="96">
        <v>370</v>
      </c>
      <c r="O40" s="66">
        <v>410</v>
      </c>
      <c r="P40" s="66">
        <v>370</v>
      </c>
      <c r="Q40" s="96">
        <v>370</v>
      </c>
      <c r="R40" s="66">
        <v>410</v>
      </c>
      <c r="S40" s="66">
        <v>370</v>
      </c>
      <c r="T40" s="96">
        <v>370</v>
      </c>
      <c r="U40" s="66">
        <v>410</v>
      </c>
      <c r="V40" s="66">
        <v>370</v>
      </c>
      <c r="W40" s="96">
        <v>370</v>
      </c>
      <c r="X40" s="66">
        <v>410</v>
      </c>
      <c r="Y40" s="66">
        <v>370</v>
      </c>
      <c r="Z40" s="96">
        <v>370</v>
      </c>
      <c r="AA40" s="66">
        <v>410</v>
      </c>
      <c r="AB40" s="66">
        <v>370</v>
      </c>
      <c r="AC40" s="96">
        <v>370</v>
      </c>
      <c r="AD40" s="66">
        <v>410</v>
      </c>
      <c r="AE40" s="66">
        <v>370</v>
      </c>
      <c r="AF40" s="96">
        <v>370</v>
      </c>
      <c r="AG40" s="66">
        <v>410</v>
      </c>
      <c r="AH40" s="96">
        <v>370</v>
      </c>
      <c r="AI40" s="66">
        <v>410</v>
      </c>
      <c r="AJ40" s="96">
        <v>370</v>
      </c>
      <c r="AK40" s="66">
        <v>410</v>
      </c>
      <c r="AL40" s="96">
        <v>370</v>
      </c>
      <c r="AM40" s="66">
        <v>410</v>
      </c>
    </row>
    <row r="41" spans="1:39">
      <c r="B41" s="196"/>
      <c r="C41" s="97" t="s">
        <v>104</v>
      </c>
      <c r="D41" s="59">
        <f t="shared" ref="D41:O41" si="19">D40*0.4</f>
        <v>740</v>
      </c>
      <c r="E41" s="59">
        <f t="shared" si="19"/>
        <v>880</v>
      </c>
      <c r="F41" s="68">
        <f t="shared" si="19"/>
        <v>12.96</v>
      </c>
      <c r="G41" s="68">
        <f t="shared" si="19"/>
        <v>19.200000000000003</v>
      </c>
      <c r="H41" s="68">
        <f t="shared" si="19"/>
        <v>19.200000000000003</v>
      </c>
      <c r="I41" s="68">
        <f t="shared" si="19"/>
        <v>19.200000000000003</v>
      </c>
      <c r="J41" s="68">
        <f t="shared" si="19"/>
        <v>19.200000000000003</v>
      </c>
      <c r="K41" s="68">
        <f t="shared" si="19"/>
        <v>19.200000000000003</v>
      </c>
      <c r="L41" s="68">
        <f t="shared" si="19"/>
        <v>148</v>
      </c>
      <c r="M41" s="68">
        <f t="shared" si="19"/>
        <v>148</v>
      </c>
      <c r="N41" s="68">
        <f t="shared" si="19"/>
        <v>148</v>
      </c>
      <c r="O41" s="59">
        <f t="shared" si="19"/>
        <v>164</v>
      </c>
      <c r="P41" s="59">
        <f t="shared" ref="P41:Y41" si="20">P40*0.4</f>
        <v>148</v>
      </c>
      <c r="Q41" s="68">
        <f t="shared" si="20"/>
        <v>148</v>
      </c>
      <c r="R41" s="59">
        <f t="shared" si="20"/>
        <v>164</v>
      </c>
      <c r="S41" s="59">
        <f t="shared" si="20"/>
        <v>148</v>
      </c>
      <c r="T41" s="68">
        <f t="shared" si="20"/>
        <v>148</v>
      </c>
      <c r="U41" s="59">
        <f t="shared" si="20"/>
        <v>164</v>
      </c>
      <c r="V41" s="59">
        <f t="shared" si="20"/>
        <v>148</v>
      </c>
      <c r="W41" s="68">
        <f t="shared" si="20"/>
        <v>148</v>
      </c>
      <c r="X41" s="59">
        <f t="shared" si="20"/>
        <v>164</v>
      </c>
      <c r="Y41" s="59">
        <f t="shared" si="20"/>
        <v>148</v>
      </c>
      <c r="Z41" s="68">
        <f t="shared" ref="Z41:AE41" si="21">Z40*0.4</f>
        <v>148</v>
      </c>
      <c r="AA41" s="59">
        <f t="shared" si="21"/>
        <v>164</v>
      </c>
      <c r="AB41" s="59">
        <f t="shared" si="21"/>
        <v>148</v>
      </c>
      <c r="AC41" s="68">
        <f t="shared" si="21"/>
        <v>148</v>
      </c>
      <c r="AD41" s="59">
        <f t="shared" si="21"/>
        <v>164</v>
      </c>
      <c r="AE41" s="59">
        <f t="shared" si="21"/>
        <v>148</v>
      </c>
      <c r="AF41" s="68">
        <f t="shared" ref="AF41:AM41" si="22">AF40*0.4</f>
        <v>148</v>
      </c>
      <c r="AG41" s="59">
        <f t="shared" si="22"/>
        <v>164</v>
      </c>
      <c r="AH41" s="68">
        <f t="shared" si="22"/>
        <v>148</v>
      </c>
      <c r="AI41" s="59">
        <f t="shared" si="22"/>
        <v>164</v>
      </c>
      <c r="AJ41" s="68">
        <f t="shared" si="22"/>
        <v>148</v>
      </c>
      <c r="AK41" s="59">
        <f t="shared" si="22"/>
        <v>164</v>
      </c>
      <c r="AL41" s="68">
        <f t="shared" si="22"/>
        <v>148</v>
      </c>
      <c r="AM41" s="59">
        <f t="shared" si="22"/>
        <v>164</v>
      </c>
    </row>
    <row r="42" spans="1:39">
      <c r="B42" s="196"/>
      <c r="C42" s="97" t="s">
        <v>171</v>
      </c>
      <c r="D42" s="59">
        <f>D40/5.0625</f>
        <v>365.4320987654321</v>
      </c>
      <c r="E42" s="59">
        <f>E40/7.29</f>
        <v>301.7832647462277</v>
      </c>
      <c r="F42" s="68">
        <f t="shared" ref="F42:M42" si="23">F40/F23</f>
        <v>159.99999999999997</v>
      </c>
      <c r="G42" s="68">
        <f t="shared" si="23"/>
        <v>237.03703703703701</v>
      </c>
      <c r="H42" s="68">
        <f t="shared" si="23"/>
        <v>237.03703703703701</v>
      </c>
      <c r="I42" s="68">
        <f t="shared" si="23"/>
        <v>237.03703703703701</v>
      </c>
      <c r="J42" s="68">
        <f t="shared" si="23"/>
        <v>237.03703703703701</v>
      </c>
      <c r="K42" s="68">
        <f t="shared" si="23"/>
        <v>237.03703703703701</v>
      </c>
      <c r="L42" s="68">
        <f t="shared" si="23"/>
        <v>401.47569444444446</v>
      </c>
      <c r="M42" s="68">
        <f t="shared" si="23"/>
        <v>401.47569444444446</v>
      </c>
      <c r="N42" s="68">
        <f t="shared" ref="N42:Y42" si="24">N40/0.9216</f>
        <v>401.47569444444446</v>
      </c>
      <c r="O42" s="59">
        <f t="shared" si="24"/>
        <v>444.87847222222223</v>
      </c>
      <c r="P42" s="59">
        <f t="shared" si="24"/>
        <v>401.47569444444446</v>
      </c>
      <c r="Q42" s="68">
        <f t="shared" si="24"/>
        <v>401.47569444444446</v>
      </c>
      <c r="R42" s="59">
        <f t="shared" si="24"/>
        <v>444.87847222222223</v>
      </c>
      <c r="S42" s="59">
        <f t="shared" si="24"/>
        <v>401.47569444444446</v>
      </c>
      <c r="T42" s="68">
        <f t="shared" si="24"/>
        <v>401.47569444444446</v>
      </c>
      <c r="U42" s="59">
        <f t="shared" si="24"/>
        <v>444.87847222222223</v>
      </c>
      <c r="V42" s="59">
        <f t="shared" si="24"/>
        <v>401.47569444444446</v>
      </c>
      <c r="W42" s="68">
        <f t="shared" si="24"/>
        <v>401.47569444444446</v>
      </c>
      <c r="X42" s="59">
        <f t="shared" si="24"/>
        <v>444.87847222222223</v>
      </c>
      <c r="Y42" s="59">
        <f t="shared" si="24"/>
        <v>401.47569444444446</v>
      </c>
      <c r="Z42" s="68">
        <f t="shared" ref="Z42:AE42" si="25">Z40/0.9216</f>
        <v>401.47569444444446</v>
      </c>
      <c r="AA42" s="59">
        <f t="shared" si="25"/>
        <v>444.87847222222223</v>
      </c>
      <c r="AB42" s="59">
        <f t="shared" si="25"/>
        <v>401.47569444444446</v>
      </c>
      <c r="AC42" s="68">
        <f t="shared" si="25"/>
        <v>401.47569444444446</v>
      </c>
      <c r="AD42" s="59">
        <f t="shared" si="25"/>
        <v>444.87847222222223</v>
      </c>
      <c r="AE42" s="59">
        <f t="shared" si="25"/>
        <v>401.47569444444446</v>
      </c>
      <c r="AF42" s="68">
        <f t="shared" ref="AF42:AM42" si="26">AF40/AF23</f>
        <v>401.47569444444446</v>
      </c>
      <c r="AG42" s="59">
        <f t="shared" si="26"/>
        <v>444.87847222222223</v>
      </c>
      <c r="AH42" s="68">
        <f t="shared" si="26"/>
        <v>401.47569444444446</v>
      </c>
      <c r="AI42" s="59">
        <f t="shared" si="26"/>
        <v>444.87847222222223</v>
      </c>
      <c r="AJ42" s="68">
        <f t="shared" si="26"/>
        <v>401.47569444444446</v>
      </c>
      <c r="AK42" s="59">
        <f t="shared" si="26"/>
        <v>444.87847222222223</v>
      </c>
      <c r="AL42" s="68">
        <f t="shared" si="26"/>
        <v>401.47569444444446</v>
      </c>
      <c r="AM42" s="59">
        <f t="shared" si="26"/>
        <v>444.87847222222223</v>
      </c>
    </row>
    <row r="43" spans="1:39">
      <c r="B43" s="196"/>
      <c r="C43" s="76" t="s">
        <v>106</v>
      </c>
      <c r="D43" s="59" t="s">
        <v>107</v>
      </c>
      <c r="E43" s="59" t="s">
        <v>107</v>
      </c>
      <c r="F43" s="68" t="s">
        <v>107</v>
      </c>
      <c r="G43" s="68" t="s">
        <v>107</v>
      </c>
      <c r="H43" s="68" t="s">
        <v>107</v>
      </c>
      <c r="I43" s="68" t="s">
        <v>107</v>
      </c>
      <c r="J43" s="68" t="s">
        <v>107</v>
      </c>
      <c r="K43" s="68" t="s">
        <v>107</v>
      </c>
      <c r="L43" s="68" t="s">
        <v>107</v>
      </c>
      <c r="M43" s="68" t="s">
        <v>107</v>
      </c>
      <c r="N43" s="68" t="s">
        <v>107</v>
      </c>
      <c r="O43" s="59" t="s">
        <v>107</v>
      </c>
      <c r="P43" s="59" t="s">
        <v>107</v>
      </c>
      <c r="Q43" s="68" t="s">
        <v>107</v>
      </c>
      <c r="R43" s="59" t="s">
        <v>107</v>
      </c>
      <c r="S43" s="59" t="s">
        <v>107</v>
      </c>
      <c r="T43" s="68" t="s">
        <v>107</v>
      </c>
      <c r="U43" s="59" t="s">
        <v>107</v>
      </c>
      <c r="V43" s="59" t="s">
        <v>107</v>
      </c>
      <c r="W43" s="68" t="s">
        <v>107</v>
      </c>
      <c r="X43" s="59" t="s">
        <v>107</v>
      </c>
      <c r="Y43" s="59" t="s">
        <v>107</v>
      </c>
      <c r="Z43" s="68" t="s">
        <v>107</v>
      </c>
      <c r="AA43" s="59" t="s">
        <v>107</v>
      </c>
      <c r="AB43" s="59" t="s">
        <v>107</v>
      </c>
      <c r="AC43" s="68" t="s">
        <v>107</v>
      </c>
      <c r="AD43" s="59" t="s">
        <v>107</v>
      </c>
      <c r="AE43" s="59" t="s">
        <v>107</v>
      </c>
      <c r="AF43" s="68" t="s">
        <v>107</v>
      </c>
      <c r="AG43" s="59" t="s">
        <v>107</v>
      </c>
      <c r="AH43" s="68" t="s">
        <v>107</v>
      </c>
      <c r="AI43" s="59" t="s">
        <v>107</v>
      </c>
      <c r="AJ43" s="68" t="s">
        <v>107</v>
      </c>
      <c r="AK43" s="59" t="s">
        <v>107</v>
      </c>
      <c r="AL43" s="68" t="s">
        <v>107</v>
      </c>
      <c r="AM43" s="59" t="s">
        <v>107</v>
      </c>
    </row>
    <row r="44" spans="1:39">
      <c r="B44" s="196"/>
      <c r="C44" s="76" t="s">
        <v>108</v>
      </c>
      <c r="D44" s="59" t="s">
        <v>109</v>
      </c>
      <c r="E44" s="59" t="s">
        <v>109</v>
      </c>
      <c r="F44" s="68" t="s">
        <v>109</v>
      </c>
      <c r="G44" s="68" t="s">
        <v>109</v>
      </c>
      <c r="H44" s="68" t="s">
        <v>109</v>
      </c>
      <c r="I44" s="68" t="s">
        <v>109</v>
      </c>
      <c r="J44" s="68" t="s">
        <v>109</v>
      </c>
      <c r="K44" s="68" t="s">
        <v>109</v>
      </c>
      <c r="L44" s="68" t="s">
        <v>109</v>
      </c>
      <c r="M44" s="68" t="s">
        <v>109</v>
      </c>
      <c r="N44" s="68" t="s">
        <v>109</v>
      </c>
      <c r="O44" s="59" t="s">
        <v>109</v>
      </c>
      <c r="P44" s="59" t="s">
        <v>109</v>
      </c>
      <c r="Q44" s="68" t="s">
        <v>109</v>
      </c>
      <c r="R44" s="59" t="s">
        <v>109</v>
      </c>
      <c r="S44" s="59" t="s">
        <v>109</v>
      </c>
      <c r="T44" s="68" t="s">
        <v>109</v>
      </c>
      <c r="U44" s="59" t="s">
        <v>109</v>
      </c>
      <c r="V44" s="59" t="s">
        <v>109</v>
      </c>
      <c r="W44" s="68" t="s">
        <v>109</v>
      </c>
      <c r="X44" s="59" t="s">
        <v>109</v>
      </c>
      <c r="Y44" s="59" t="s">
        <v>109</v>
      </c>
      <c r="Z44" s="68" t="s">
        <v>109</v>
      </c>
      <c r="AA44" s="59" t="s">
        <v>109</v>
      </c>
      <c r="AB44" s="59" t="s">
        <v>109</v>
      </c>
      <c r="AC44" s="68" t="s">
        <v>109</v>
      </c>
      <c r="AD44" s="59" t="s">
        <v>109</v>
      </c>
      <c r="AE44" s="59" t="s">
        <v>109</v>
      </c>
      <c r="AF44" s="68" t="s">
        <v>109</v>
      </c>
      <c r="AG44" s="59" t="s">
        <v>109</v>
      </c>
      <c r="AH44" s="68" t="s">
        <v>109</v>
      </c>
      <c r="AI44" s="59" t="s">
        <v>109</v>
      </c>
      <c r="AJ44" s="68" t="s">
        <v>109</v>
      </c>
      <c r="AK44" s="59" t="s">
        <v>109</v>
      </c>
      <c r="AL44" s="68" t="s">
        <v>109</v>
      </c>
      <c r="AM44" s="59" t="s">
        <v>109</v>
      </c>
    </row>
    <row r="45" spans="1:39" ht="15.75" customHeight="1" thickBot="1">
      <c r="B45" s="196"/>
      <c r="C45" s="76" t="s">
        <v>110</v>
      </c>
      <c r="D45" s="98">
        <v>3840</v>
      </c>
      <c r="E45" s="98">
        <v>3840</v>
      </c>
      <c r="F45" s="99" t="s">
        <v>172</v>
      </c>
      <c r="G45" s="99" t="s">
        <v>172</v>
      </c>
      <c r="H45" s="99" t="s">
        <v>172</v>
      </c>
      <c r="I45" s="99" t="s">
        <v>172</v>
      </c>
      <c r="J45" s="99" t="s">
        <v>172</v>
      </c>
      <c r="K45" s="99" t="s">
        <v>172</v>
      </c>
      <c r="L45" s="99" t="s">
        <v>172</v>
      </c>
      <c r="M45" s="99" t="s">
        <v>172</v>
      </c>
      <c r="N45" s="99" t="s">
        <v>172</v>
      </c>
      <c r="O45" s="98" t="s">
        <v>172</v>
      </c>
      <c r="P45" s="98" t="s">
        <v>172</v>
      </c>
      <c r="Q45" s="99" t="s">
        <v>172</v>
      </c>
      <c r="R45" s="98" t="s">
        <v>172</v>
      </c>
      <c r="S45" s="98" t="s">
        <v>172</v>
      </c>
      <c r="T45" s="99" t="s">
        <v>172</v>
      </c>
      <c r="U45" s="98" t="s">
        <v>172</v>
      </c>
      <c r="V45" s="98" t="s">
        <v>172</v>
      </c>
      <c r="W45" s="99" t="s">
        <v>172</v>
      </c>
      <c r="X45" s="98" t="s">
        <v>172</v>
      </c>
      <c r="Y45" s="98" t="s">
        <v>172</v>
      </c>
      <c r="Z45" s="99" t="s">
        <v>172</v>
      </c>
      <c r="AA45" s="98" t="s">
        <v>172</v>
      </c>
      <c r="AB45" s="98" t="s">
        <v>172</v>
      </c>
      <c r="AC45" s="99" t="s">
        <v>172</v>
      </c>
      <c r="AD45" s="98" t="s">
        <v>172</v>
      </c>
      <c r="AE45" s="98" t="s">
        <v>172</v>
      </c>
      <c r="AF45" s="99" t="s">
        <v>173</v>
      </c>
      <c r="AG45" s="98" t="s">
        <v>173</v>
      </c>
      <c r="AH45" s="99" t="s">
        <v>173</v>
      </c>
      <c r="AI45" s="98" t="s">
        <v>173</v>
      </c>
      <c r="AJ45" s="99" t="s">
        <v>173</v>
      </c>
      <c r="AK45" s="98" t="s">
        <v>173</v>
      </c>
      <c r="AL45" s="99" t="s">
        <v>173</v>
      </c>
      <c r="AM45" s="98" t="s">
        <v>173</v>
      </c>
    </row>
    <row r="46" spans="1:39" s="3" customFormat="1">
      <c r="A46" s="41"/>
      <c r="B46" s="195" t="s">
        <v>113</v>
      </c>
      <c r="C46" s="100" t="s">
        <v>114</v>
      </c>
      <c r="D46" s="101">
        <v>100000</v>
      </c>
      <c r="E46" s="101">
        <v>100000</v>
      </c>
      <c r="F46" s="102">
        <v>100000</v>
      </c>
      <c r="G46" s="102">
        <v>100000</v>
      </c>
      <c r="H46" s="102">
        <v>100000</v>
      </c>
      <c r="I46" s="102">
        <v>100000</v>
      </c>
      <c r="J46" s="102">
        <v>100000</v>
      </c>
      <c r="K46" s="102">
        <v>100000</v>
      </c>
      <c r="L46" s="102">
        <v>100000</v>
      </c>
      <c r="M46" s="102">
        <v>100000</v>
      </c>
      <c r="N46" s="102">
        <v>100000</v>
      </c>
      <c r="O46" s="103">
        <v>100000</v>
      </c>
      <c r="P46" s="103">
        <v>100000</v>
      </c>
      <c r="Q46" s="102">
        <v>100000</v>
      </c>
      <c r="R46" s="103">
        <v>100000</v>
      </c>
      <c r="S46" s="103">
        <v>100000</v>
      </c>
      <c r="T46" s="102">
        <v>100000</v>
      </c>
      <c r="U46" s="103">
        <v>100000</v>
      </c>
      <c r="V46" s="103">
        <v>100000</v>
      </c>
      <c r="W46" s="102">
        <v>100000</v>
      </c>
      <c r="X46" s="103">
        <v>100000</v>
      </c>
      <c r="Y46" s="103">
        <v>100000</v>
      </c>
      <c r="Z46" s="102">
        <v>100000</v>
      </c>
      <c r="AA46" s="103">
        <v>100000</v>
      </c>
      <c r="AB46" s="103">
        <v>100000</v>
      </c>
      <c r="AC46" s="102">
        <v>100000</v>
      </c>
      <c r="AD46" s="103">
        <v>100000</v>
      </c>
      <c r="AE46" s="103">
        <v>100000</v>
      </c>
      <c r="AF46" s="102">
        <v>100000</v>
      </c>
      <c r="AG46" s="103">
        <v>100000</v>
      </c>
      <c r="AH46" s="102">
        <v>100000</v>
      </c>
      <c r="AI46" s="103">
        <v>100000</v>
      </c>
      <c r="AJ46" s="102">
        <v>100000</v>
      </c>
      <c r="AK46" s="103">
        <v>100000</v>
      </c>
      <c r="AL46" s="102">
        <v>100000</v>
      </c>
      <c r="AM46" s="103">
        <v>100000</v>
      </c>
    </row>
    <row r="47" spans="1:39">
      <c r="B47" s="196"/>
      <c r="C47" s="76" t="s">
        <v>115</v>
      </c>
      <c r="D47" s="182" t="s">
        <v>174</v>
      </c>
      <c r="E47" s="182" t="s">
        <v>174</v>
      </c>
      <c r="F47" s="180" t="s">
        <v>175</v>
      </c>
      <c r="G47" s="180" t="s">
        <v>175</v>
      </c>
      <c r="H47" s="180" t="s">
        <v>175</v>
      </c>
      <c r="I47" s="180" t="s">
        <v>175</v>
      </c>
      <c r="J47" s="180" t="s">
        <v>175</v>
      </c>
      <c r="K47" s="180" t="s">
        <v>175</v>
      </c>
      <c r="L47" s="180" t="s">
        <v>175</v>
      </c>
      <c r="M47" s="180" t="s">
        <v>175</v>
      </c>
      <c r="N47" s="180" t="s">
        <v>175</v>
      </c>
      <c r="O47" s="182" t="s">
        <v>175</v>
      </c>
      <c r="P47" s="182" t="s">
        <v>175</v>
      </c>
      <c r="Q47" s="180" t="s">
        <v>175</v>
      </c>
      <c r="R47" s="182" t="s">
        <v>175</v>
      </c>
      <c r="S47" s="182" t="s">
        <v>175</v>
      </c>
      <c r="T47" s="180" t="s">
        <v>175</v>
      </c>
      <c r="U47" s="182" t="s">
        <v>175</v>
      </c>
      <c r="V47" s="182" t="s">
        <v>175</v>
      </c>
      <c r="W47" s="180" t="s">
        <v>175</v>
      </c>
      <c r="X47" s="182" t="s">
        <v>175</v>
      </c>
      <c r="Y47" s="182" t="s">
        <v>175</v>
      </c>
      <c r="Z47" s="180" t="s">
        <v>175</v>
      </c>
      <c r="AA47" s="182" t="s">
        <v>175</v>
      </c>
      <c r="AB47" s="182" t="s">
        <v>175</v>
      </c>
      <c r="AC47" s="180" t="s">
        <v>175</v>
      </c>
      <c r="AD47" s="182" t="s">
        <v>175</v>
      </c>
      <c r="AE47" s="182" t="s">
        <v>175</v>
      </c>
      <c r="AF47" s="180" t="s">
        <v>175</v>
      </c>
      <c r="AG47" s="182" t="s">
        <v>175</v>
      </c>
      <c r="AH47" s="180" t="s">
        <v>175</v>
      </c>
      <c r="AI47" s="182" t="s">
        <v>175</v>
      </c>
      <c r="AJ47" s="180" t="s">
        <v>175</v>
      </c>
      <c r="AK47" s="182" t="s">
        <v>175</v>
      </c>
      <c r="AL47" s="180" t="s">
        <v>175</v>
      </c>
      <c r="AM47" s="182" t="s">
        <v>175</v>
      </c>
    </row>
    <row r="48" spans="1:39" s="9" customFormat="1" ht="25.5">
      <c r="A48" s="104"/>
      <c r="B48" s="196"/>
      <c r="C48" s="105" t="s">
        <v>118</v>
      </c>
      <c r="D48" s="183" t="s">
        <v>119</v>
      </c>
      <c r="E48" s="183" t="s">
        <v>119</v>
      </c>
      <c r="F48" s="87" t="s">
        <v>119</v>
      </c>
      <c r="G48" s="87" t="s">
        <v>119</v>
      </c>
      <c r="H48" s="87" t="s">
        <v>119</v>
      </c>
      <c r="I48" s="87" t="s">
        <v>119</v>
      </c>
      <c r="J48" s="87" t="s">
        <v>119</v>
      </c>
      <c r="K48" s="87" t="s">
        <v>119</v>
      </c>
      <c r="L48" s="87" t="s">
        <v>119</v>
      </c>
      <c r="M48" s="87" t="s">
        <v>119</v>
      </c>
      <c r="N48" s="87" t="s">
        <v>119</v>
      </c>
      <c r="O48" s="106" t="s">
        <v>119</v>
      </c>
      <c r="P48" s="106" t="s">
        <v>119</v>
      </c>
      <c r="Q48" s="87" t="s">
        <v>119</v>
      </c>
      <c r="R48" s="106" t="s">
        <v>119</v>
      </c>
      <c r="S48" s="106" t="s">
        <v>119</v>
      </c>
      <c r="T48" s="87" t="s">
        <v>119</v>
      </c>
      <c r="U48" s="106" t="s">
        <v>119</v>
      </c>
      <c r="V48" s="106" t="s">
        <v>119</v>
      </c>
      <c r="W48" s="87" t="s">
        <v>119</v>
      </c>
      <c r="X48" s="106" t="s">
        <v>119</v>
      </c>
      <c r="Y48" s="106" t="s">
        <v>119</v>
      </c>
      <c r="Z48" s="87" t="s">
        <v>119</v>
      </c>
      <c r="AA48" s="106" t="s">
        <v>119</v>
      </c>
      <c r="AB48" s="106" t="s">
        <v>119</v>
      </c>
      <c r="AC48" s="87" t="s">
        <v>119</v>
      </c>
      <c r="AD48" s="106" t="s">
        <v>119</v>
      </c>
      <c r="AE48" s="106" t="s">
        <v>119</v>
      </c>
      <c r="AF48" s="87" t="s">
        <v>119</v>
      </c>
      <c r="AG48" s="106" t="s">
        <v>119</v>
      </c>
      <c r="AH48" s="87" t="s">
        <v>119</v>
      </c>
      <c r="AI48" s="106" t="s">
        <v>119</v>
      </c>
      <c r="AJ48" s="87" t="s">
        <v>119</v>
      </c>
      <c r="AK48" s="106" t="s">
        <v>119</v>
      </c>
      <c r="AL48" s="87" t="s">
        <v>119</v>
      </c>
      <c r="AM48" s="106" t="s">
        <v>119</v>
      </c>
    </row>
    <row r="49" spans="1:39">
      <c r="B49" s="196"/>
      <c r="C49" s="76" t="s">
        <v>120</v>
      </c>
      <c r="D49" s="66" t="s">
        <v>176</v>
      </c>
      <c r="E49" s="66" t="s">
        <v>176</v>
      </c>
      <c r="F49" s="67" t="s">
        <v>177</v>
      </c>
      <c r="G49" s="67" t="s">
        <v>177</v>
      </c>
      <c r="H49" s="67" t="s">
        <v>177</v>
      </c>
      <c r="I49" s="67" t="s">
        <v>177</v>
      </c>
      <c r="J49" s="67" t="s">
        <v>177</v>
      </c>
      <c r="K49" s="67" t="s">
        <v>177</v>
      </c>
      <c r="L49" s="67" t="s">
        <v>177</v>
      </c>
      <c r="M49" s="67" t="s">
        <v>177</v>
      </c>
      <c r="N49" s="67" t="s">
        <v>177</v>
      </c>
      <c r="O49" s="57" t="s">
        <v>177</v>
      </c>
      <c r="P49" s="57" t="s">
        <v>177</v>
      </c>
      <c r="Q49" s="67" t="s">
        <v>177</v>
      </c>
      <c r="R49" s="57" t="s">
        <v>177</v>
      </c>
      <c r="S49" s="57" t="s">
        <v>177</v>
      </c>
      <c r="T49" s="67" t="s">
        <v>177</v>
      </c>
      <c r="U49" s="57" t="s">
        <v>177</v>
      </c>
      <c r="V49" s="57" t="s">
        <v>177</v>
      </c>
      <c r="W49" s="67" t="s">
        <v>177</v>
      </c>
      <c r="X49" s="57" t="s">
        <v>177</v>
      </c>
      <c r="Y49" s="57" t="s">
        <v>177</v>
      </c>
      <c r="Z49" s="67" t="s">
        <v>177</v>
      </c>
      <c r="AA49" s="57" t="s">
        <v>177</v>
      </c>
      <c r="AB49" s="57" t="s">
        <v>177</v>
      </c>
      <c r="AC49" s="67" t="s">
        <v>177</v>
      </c>
      <c r="AD49" s="57" t="s">
        <v>177</v>
      </c>
      <c r="AE49" s="57" t="s">
        <v>177</v>
      </c>
      <c r="AF49" s="67" t="s">
        <v>177</v>
      </c>
      <c r="AG49" s="57" t="s">
        <v>177</v>
      </c>
      <c r="AH49" s="67" t="s">
        <v>177</v>
      </c>
      <c r="AI49" s="57" t="s">
        <v>177</v>
      </c>
      <c r="AJ49" s="67" t="s">
        <v>177</v>
      </c>
      <c r="AK49" s="57" t="s">
        <v>177</v>
      </c>
      <c r="AL49" s="67" t="s">
        <v>177</v>
      </c>
      <c r="AM49" s="57" t="s">
        <v>177</v>
      </c>
    </row>
    <row r="50" spans="1:39" ht="13.15" thickBot="1">
      <c r="B50" s="239"/>
      <c r="C50" s="107" t="s">
        <v>122</v>
      </c>
      <c r="D50" s="108" t="s">
        <v>178</v>
      </c>
      <c r="E50" s="108" t="s">
        <v>178</v>
      </c>
      <c r="F50" s="109" t="s">
        <v>178</v>
      </c>
      <c r="G50" s="109" t="s">
        <v>178</v>
      </c>
      <c r="H50" s="109" t="s">
        <v>178</v>
      </c>
      <c r="I50" s="109" t="s">
        <v>178</v>
      </c>
      <c r="J50" s="109" t="s">
        <v>178</v>
      </c>
      <c r="K50" s="109" t="s">
        <v>178</v>
      </c>
      <c r="L50" s="109" t="s">
        <v>178</v>
      </c>
      <c r="M50" s="109" t="s">
        <v>178</v>
      </c>
      <c r="N50" s="109" t="s">
        <v>178</v>
      </c>
      <c r="O50" s="110" t="s">
        <v>178</v>
      </c>
      <c r="P50" s="110" t="s">
        <v>178</v>
      </c>
      <c r="Q50" s="109" t="s">
        <v>178</v>
      </c>
      <c r="R50" s="110" t="s">
        <v>178</v>
      </c>
      <c r="S50" s="110" t="s">
        <v>178</v>
      </c>
      <c r="T50" s="109" t="s">
        <v>178</v>
      </c>
      <c r="U50" s="110" t="s">
        <v>178</v>
      </c>
      <c r="V50" s="110" t="s">
        <v>178</v>
      </c>
      <c r="W50" s="109" t="s">
        <v>178</v>
      </c>
      <c r="X50" s="110" t="s">
        <v>178</v>
      </c>
      <c r="Y50" s="110" t="s">
        <v>178</v>
      </c>
      <c r="Z50" s="109" t="s">
        <v>178</v>
      </c>
      <c r="AA50" s="110" t="s">
        <v>178</v>
      </c>
      <c r="AB50" s="110" t="s">
        <v>178</v>
      </c>
      <c r="AC50" s="109" t="s">
        <v>178</v>
      </c>
      <c r="AD50" s="110" t="s">
        <v>178</v>
      </c>
      <c r="AE50" s="110" t="s">
        <v>178</v>
      </c>
      <c r="AF50" s="109" t="s">
        <v>178</v>
      </c>
      <c r="AG50" s="110" t="s">
        <v>178</v>
      </c>
      <c r="AH50" s="109" t="s">
        <v>178</v>
      </c>
      <c r="AI50" s="110" t="s">
        <v>178</v>
      </c>
      <c r="AJ50" s="109" t="s">
        <v>178</v>
      </c>
      <c r="AK50" s="110" t="s">
        <v>178</v>
      </c>
      <c r="AL50" s="109" t="s">
        <v>178</v>
      </c>
      <c r="AM50" s="110" t="s">
        <v>178</v>
      </c>
    </row>
    <row r="51" spans="1:39" ht="13.15" thickTop="1">
      <c r="B51" s="184"/>
      <c r="D51" s="185"/>
      <c r="E51" s="185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</row>
    <row r="52" spans="1:39" ht="13.15" thickBot="1">
      <c r="B52" s="240" t="s">
        <v>191</v>
      </c>
      <c r="C52" s="240"/>
      <c r="D52" s="111"/>
      <c r="E52" s="111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T52" s="112"/>
      <c r="U52" s="112"/>
      <c r="V52" s="112"/>
      <c r="Z52" s="112"/>
      <c r="AA52" s="112"/>
      <c r="AB52" s="112"/>
      <c r="AF52" s="112"/>
      <c r="AG52" s="112"/>
      <c r="AJ52" s="112"/>
      <c r="AK52" s="112"/>
    </row>
    <row r="53" spans="1:39" s="10" customFormat="1" ht="13.5" thickBot="1">
      <c r="A53" s="113"/>
      <c r="B53" s="243" t="s">
        <v>179</v>
      </c>
      <c r="C53" s="249"/>
      <c r="D53" s="250">
        <v>14749</v>
      </c>
      <c r="E53" s="251">
        <v>18451</v>
      </c>
      <c r="F53" s="251">
        <v>1347</v>
      </c>
      <c r="G53" s="251">
        <v>1800</v>
      </c>
      <c r="H53" s="251">
        <v>984</v>
      </c>
      <c r="I53" s="251">
        <v>1335</v>
      </c>
      <c r="J53" s="251">
        <v>836</v>
      </c>
      <c r="K53" s="251">
        <v>1105</v>
      </c>
      <c r="L53" s="251">
        <v>2276</v>
      </c>
      <c r="M53" s="251">
        <v>2391</v>
      </c>
      <c r="N53" s="251">
        <v>1787</v>
      </c>
      <c r="O53" s="251">
        <v>1578</v>
      </c>
      <c r="P53" s="251">
        <v>1478</v>
      </c>
      <c r="Q53" s="251">
        <v>2060</v>
      </c>
      <c r="R53" s="251">
        <v>1851</v>
      </c>
      <c r="S53" s="251">
        <v>1751</v>
      </c>
      <c r="T53" s="251">
        <v>1287</v>
      </c>
      <c r="U53" s="251">
        <v>1175</v>
      </c>
      <c r="V53" s="251">
        <v>1276</v>
      </c>
      <c r="W53" s="251">
        <v>1540</v>
      </c>
      <c r="X53" s="251">
        <v>1447</v>
      </c>
      <c r="Y53" s="251">
        <v>1549</v>
      </c>
      <c r="Z53" s="251">
        <v>1036</v>
      </c>
      <c r="AA53" s="251">
        <v>1004</v>
      </c>
      <c r="AB53" s="252">
        <v>1207</v>
      </c>
      <c r="AC53" s="251">
        <v>1309</v>
      </c>
      <c r="AD53" s="251">
        <v>1276</v>
      </c>
      <c r="AE53" s="252">
        <v>1480</v>
      </c>
      <c r="AF53" s="250">
        <v>1582</v>
      </c>
      <c r="AG53" s="250">
        <v>1472</v>
      </c>
      <c r="AH53" s="250">
        <v>1662</v>
      </c>
      <c r="AI53" s="250">
        <v>1567</v>
      </c>
      <c r="AJ53" s="250">
        <v>1122</v>
      </c>
      <c r="AK53" s="250">
        <v>1087</v>
      </c>
      <c r="AL53" s="250">
        <v>1395</v>
      </c>
      <c r="AM53" s="250">
        <v>1360</v>
      </c>
    </row>
    <row r="54" spans="1:39" s="10" customFormat="1" ht="13.5" thickBot="1">
      <c r="A54" s="113"/>
      <c r="B54" s="243" t="s">
        <v>180</v>
      </c>
      <c r="C54" s="249"/>
      <c r="D54" s="251">
        <f t="shared" ref="D54:I54" si="27">D53/D23</f>
        <v>2913.3827160493829</v>
      </c>
      <c r="E54" s="251">
        <f t="shared" si="27"/>
        <v>2531.0013717421125</v>
      </c>
      <c r="F54" s="251">
        <f t="shared" si="27"/>
        <v>6651.8518518518513</v>
      </c>
      <c r="G54" s="251">
        <f t="shared" si="27"/>
        <v>8888.8888888888887</v>
      </c>
      <c r="H54" s="251">
        <f t="shared" si="27"/>
        <v>4859.2592592592591</v>
      </c>
      <c r="I54" s="251">
        <f t="shared" si="27"/>
        <v>6592.5925925925922</v>
      </c>
      <c r="J54" s="251">
        <f t="shared" ref="J54:O54" si="28">J53/J23</f>
        <v>4128.3950617283945</v>
      </c>
      <c r="K54" s="251">
        <f t="shared" si="28"/>
        <v>5456.7901234567898</v>
      </c>
      <c r="L54" s="251">
        <f t="shared" si="28"/>
        <v>2469.6180555555557</v>
      </c>
      <c r="M54" s="251">
        <f t="shared" si="28"/>
        <v>2594.4010416666665</v>
      </c>
      <c r="N54" s="251">
        <f t="shared" si="28"/>
        <v>1939.0190972222222</v>
      </c>
      <c r="O54" s="251">
        <f t="shared" si="28"/>
        <v>1712.2395833333335</v>
      </c>
      <c r="P54" s="251">
        <f t="shared" ref="P54:V54" si="29">P53/P23</f>
        <v>1603.7326388888889</v>
      </c>
      <c r="Q54" s="251">
        <f>Q53/Q23</f>
        <v>2235.2430555555557</v>
      </c>
      <c r="R54" s="251">
        <f>R53/R23</f>
        <v>2008.4635416666667</v>
      </c>
      <c r="S54" s="251">
        <f>S53/S23</f>
        <v>1899.9565972222222</v>
      </c>
      <c r="T54" s="251">
        <f t="shared" si="29"/>
        <v>1396.484375</v>
      </c>
      <c r="U54" s="251">
        <f t="shared" si="29"/>
        <v>1274.9565972222222</v>
      </c>
      <c r="V54" s="251">
        <f t="shared" si="29"/>
        <v>1384.5486111111111</v>
      </c>
      <c r="W54" s="251">
        <f>W53/W23</f>
        <v>1671.0069444444446</v>
      </c>
      <c r="X54" s="251">
        <f>X53/X23</f>
        <v>1570.0954861111111</v>
      </c>
      <c r="Y54" s="251">
        <f>Y53/Y23</f>
        <v>1680.7725694444446</v>
      </c>
      <c r="Z54" s="251">
        <f t="shared" ref="Z54:AK54" si="30">Z53/Z23</f>
        <v>1124.1319444444446</v>
      </c>
      <c r="AA54" s="251">
        <f t="shared" si="30"/>
        <v>1089.4097222222222</v>
      </c>
      <c r="AB54" s="251">
        <f t="shared" si="30"/>
        <v>1309.6788194444446</v>
      </c>
      <c r="AC54" s="251">
        <f>AC53/AC23</f>
        <v>1420.3559027777778</v>
      </c>
      <c r="AD54" s="251">
        <f>AD53/AD23</f>
        <v>1384.5486111111111</v>
      </c>
      <c r="AE54" s="251">
        <f>AE53/AE23</f>
        <v>1605.9027777777778</v>
      </c>
      <c r="AF54" s="251">
        <f t="shared" si="30"/>
        <v>1716.5798611111111</v>
      </c>
      <c r="AG54" s="253">
        <f t="shared" si="30"/>
        <v>1597.2222222222222</v>
      </c>
      <c r="AH54" s="251">
        <f>AH53/AH23</f>
        <v>1803.3854166666667</v>
      </c>
      <c r="AI54" s="253">
        <f>AI53/AI23</f>
        <v>1700.3038194444446</v>
      </c>
      <c r="AJ54" s="251">
        <f t="shared" si="30"/>
        <v>1217.4479166666667</v>
      </c>
      <c r="AK54" s="253">
        <f t="shared" si="30"/>
        <v>1179.4704861111111</v>
      </c>
      <c r="AL54" s="251">
        <f>AL53/AL23</f>
        <v>1513.671875</v>
      </c>
      <c r="AM54" s="253">
        <f>AM53/AM23</f>
        <v>1475.6944444444446</v>
      </c>
    </row>
    <row r="55" spans="1:39" s="10" customFormat="1" ht="13.5" thickBot="1">
      <c r="A55" s="113"/>
      <c r="B55" s="192" t="s">
        <v>181</v>
      </c>
      <c r="C55" s="241"/>
      <c r="D55" s="186">
        <f t="shared" ref="D55:I55" si="31">D54/10.7639</f>
        <v>270.66237293633191</v>
      </c>
      <c r="E55" s="114">
        <f t="shared" si="31"/>
        <v>235.1379492323519</v>
      </c>
      <c r="F55" s="114">
        <f t="shared" si="31"/>
        <v>617.97785671102963</v>
      </c>
      <c r="G55" s="114">
        <f t="shared" si="31"/>
        <v>825.80559916841378</v>
      </c>
      <c r="H55" s="114">
        <f t="shared" si="31"/>
        <v>451.44039421206617</v>
      </c>
      <c r="I55" s="114">
        <f t="shared" si="31"/>
        <v>612.47248604990682</v>
      </c>
      <c r="J55" s="114">
        <f t="shared" ref="J55:O55" si="32">J54/10.7639</f>
        <v>383.54082272488546</v>
      </c>
      <c r="K55" s="114">
        <f t="shared" si="32"/>
        <v>506.95288171172064</v>
      </c>
      <c r="L55" s="114">
        <f t="shared" si="32"/>
        <v>229.43524703458371</v>
      </c>
      <c r="M55" s="114">
        <f t="shared" si="32"/>
        <v>241.02797700337857</v>
      </c>
      <c r="N55" s="114">
        <f t="shared" si="32"/>
        <v>180.14094308031682</v>
      </c>
      <c r="O55" s="114">
        <f t="shared" si="32"/>
        <v>159.07241644137659</v>
      </c>
      <c r="P55" s="114">
        <f t="shared" ref="P55:V55" si="33">P54/10.7639</f>
        <v>148.99178168590279</v>
      </c>
      <c r="Q55" s="114">
        <f>Q54/10.7639</f>
        <v>207.66107596276032</v>
      </c>
      <c r="R55" s="254">
        <f>R54/10.7639</f>
        <v>186.59254932382007</v>
      </c>
      <c r="S55" s="254">
        <f>S54/10.7639</f>
        <v>176.51191456834624</v>
      </c>
      <c r="T55" s="254">
        <f t="shared" si="33"/>
        <v>129.73776930294781</v>
      </c>
      <c r="U55" s="254">
        <f t="shared" si="33"/>
        <v>118.44745837681715</v>
      </c>
      <c r="V55" s="254">
        <f t="shared" si="33"/>
        <v>128.6288994798457</v>
      </c>
      <c r="W55" s="254">
        <f>W54/10.7639</f>
        <v>155.24177523429654</v>
      </c>
      <c r="X55" s="254">
        <f>X54/10.7639</f>
        <v>145.86678491170591</v>
      </c>
      <c r="Y55" s="254">
        <f>Y54/10.7639</f>
        <v>156.1490323622892</v>
      </c>
      <c r="Z55" s="254">
        <f t="shared" ref="Z55:AK55" si="34">Z54/10.7639</f>
        <v>104.43537606670859</v>
      </c>
      <c r="AA55" s="254">
        <f t="shared" si="34"/>
        <v>101.20957294495696</v>
      </c>
      <c r="AB55" s="254">
        <f t="shared" si="34"/>
        <v>121.67326149856879</v>
      </c>
      <c r="AC55" s="254">
        <f>AC54/10.7639</f>
        <v>131.95550894915206</v>
      </c>
      <c r="AD55" s="254">
        <f>AD54/10.7639</f>
        <v>128.6288994798457</v>
      </c>
      <c r="AE55" s="254">
        <f>AE54/10.7639</f>
        <v>149.19339438101227</v>
      </c>
      <c r="AF55" s="254">
        <f t="shared" si="34"/>
        <v>159.47564183159554</v>
      </c>
      <c r="AG55" s="255">
        <f t="shared" si="34"/>
        <v>148.38694360057434</v>
      </c>
      <c r="AH55" s="254">
        <f>AH54/10.7639</f>
        <v>167.54014963597459</v>
      </c>
      <c r="AI55" s="255">
        <f>AI54/10.7639</f>
        <v>157.96354661827448</v>
      </c>
      <c r="AJ55" s="254">
        <f t="shared" si="34"/>
        <v>113.10472195641606</v>
      </c>
      <c r="AK55" s="255">
        <f t="shared" si="34"/>
        <v>109.57649979200022</v>
      </c>
      <c r="AL55" s="254">
        <f>AL54/10.7639</f>
        <v>140.62485483885953</v>
      </c>
      <c r="AM55" s="255">
        <f>AM54/10.7639</f>
        <v>137.0966326744437</v>
      </c>
    </row>
    <row r="56" spans="1:39">
      <c r="C56" s="12" t="s">
        <v>193</v>
      </c>
      <c r="D56" s="256"/>
      <c r="E56" s="256"/>
      <c r="F56" s="256">
        <f>480/24.5/12</f>
        <v>1.6326530612244898</v>
      </c>
      <c r="G56" s="256">
        <f t="shared" ref="E56:T57" si="35">1000/24.5/12</f>
        <v>3.4013605442176869</v>
      </c>
      <c r="H56" s="256">
        <f t="shared" si="35"/>
        <v>3.4013605442176869</v>
      </c>
      <c r="I56" s="256">
        <f t="shared" si="35"/>
        <v>3.4013605442176869</v>
      </c>
      <c r="J56" s="256">
        <f t="shared" si="35"/>
        <v>3.4013605442176869</v>
      </c>
      <c r="K56" s="256">
        <f t="shared" si="35"/>
        <v>3.4013605442176869</v>
      </c>
      <c r="L56" s="256">
        <f t="shared" si="35"/>
        <v>3.4013605442176869</v>
      </c>
      <c r="M56" s="256">
        <f t="shared" si="35"/>
        <v>3.4013605442176869</v>
      </c>
      <c r="N56" s="256">
        <f t="shared" si="35"/>
        <v>3.4013605442176869</v>
      </c>
      <c r="O56" s="256">
        <f t="shared" si="35"/>
        <v>3.4013605442176869</v>
      </c>
      <c r="P56" s="256">
        <f t="shared" si="35"/>
        <v>3.4013605442176869</v>
      </c>
      <c r="Q56" s="256">
        <f t="shared" si="35"/>
        <v>3.4013605442176869</v>
      </c>
      <c r="R56" s="256">
        <f t="shared" si="35"/>
        <v>3.4013605442176869</v>
      </c>
      <c r="S56" s="256">
        <f t="shared" si="35"/>
        <v>3.4013605442176869</v>
      </c>
      <c r="T56" s="256">
        <f t="shared" si="35"/>
        <v>3.4013605442176869</v>
      </c>
      <c r="U56" s="256">
        <f t="shared" ref="U56:AJ57" si="36">1000/24.5/12</f>
        <v>3.4013605442176869</v>
      </c>
      <c r="V56" s="256">
        <f t="shared" si="36"/>
        <v>3.4013605442176869</v>
      </c>
      <c r="W56" s="256">
        <f t="shared" si="36"/>
        <v>3.4013605442176869</v>
      </c>
      <c r="X56" s="256">
        <f t="shared" si="36"/>
        <v>3.4013605442176869</v>
      </c>
      <c r="Y56" s="256">
        <f t="shared" si="36"/>
        <v>3.4013605442176869</v>
      </c>
      <c r="Z56" s="256">
        <f t="shared" si="36"/>
        <v>3.4013605442176869</v>
      </c>
      <c r="AA56" s="256">
        <f t="shared" si="36"/>
        <v>3.4013605442176869</v>
      </c>
      <c r="AB56" s="256">
        <f t="shared" si="36"/>
        <v>3.4013605442176869</v>
      </c>
      <c r="AC56" s="256">
        <f t="shared" si="36"/>
        <v>3.4013605442176869</v>
      </c>
      <c r="AD56" s="256">
        <f t="shared" si="36"/>
        <v>3.4013605442176869</v>
      </c>
      <c r="AE56" s="256">
        <f t="shared" si="36"/>
        <v>3.4013605442176869</v>
      </c>
      <c r="AF56" s="256">
        <f t="shared" si="36"/>
        <v>3.4013605442176869</v>
      </c>
      <c r="AG56" s="256">
        <f t="shared" si="36"/>
        <v>3.4013605442176869</v>
      </c>
      <c r="AH56" s="256">
        <f t="shared" si="36"/>
        <v>3.4013605442176869</v>
      </c>
      <c r="AI56" s="256">
        <f t="shared" si="36"/>
        <v>3.4013605442176869</v>
      </c>
      <c r="AJ56" s="256">
        <f t="shared" si="36"/>
        <v>3.4013605442176869</v>
      </c>
      <c r="AK56" s="256">
        <f t="shared" ref="AK56:BB57" si="37">1000/24.5/12</f>
        <v>3.4013605442176869</v>
      </c>
      <c r="AL56" s="256">
        <f t="shared" si="37"/>
        <v>3.4013605442176869</v>
      </c>
      <c r="AM56" s="256">
        <f t="shared" si="37"/>
        <v>3.4013605442176869</v>
      </c>
    </row>
    <row r="57" spans="1:39">
      <c r="C57" s="12" t="s">
        <v>194</v>
      </c>
      <c r="D57" s="256"/>
      <c r="E57" s="256"/>
      <c r="F57" s="256">
        <f>540/24.5/12</f>
        <v>1.8367346938775511</v>
      </c>
      <c r="G57" s="256">
        <f t="shared" si="35"/>
        <v>3.4013605442176869</v>
      </c>
      <c r="H57" s="256">
        <f t="shared" si="35"/>
        <v>3.4013605442176869</v>
      </c>
      <c r="I57" s="256">
        <f t="shared" si="35"/>
        <v>3.4013605442176869</v>
      </c>
      <c r="J57" s="256">
        <f t="shared" si="35"/>
        <v>3.4013605442176869</v>
      </c>
      <c r="K57" s="256">
        <f t="shared" si="35"/>
        <v>3.4013605442176869</v>
      </c>
      <c r="L57" s="256">
        <f t="shared" si="35"/>
        <v>3.4013605442176869</v>
      </c>
      <c r="M57" s="256">
        <f t="shared" si="35"/>
        <v>3.4013605442176869</v>
      </c>
      <c r="N57" s="256">
        <f t="shared" si="35"/>
        <v>3.4013605442176869</v>
      </c>
      <c r="O57" s="256">
        <f t="shared" si="35"/>
        <v>3.4013605442176869</v>
      </c>
      <c r="P57" s="256">
        <f t="shared" si="35"/>
        <v>3.4013605442176869</v>
      </c>
      <c r="Q57" s="256">
        <f t="shared" si="35"/>
        <v>3.4013605442176869</v>
      </c>
      <c r="R57" s="256">
        <f t="shared" si="35"/>
        <v>3.4013605442176869</v>
      </c>
      <c r="S57" s="256">
        <f t="shared" si="35"/>
        <v>3.4013605442176869</v>
      </c>
      <c r="T57" s="256">
        <f t="shared" si="35"/>
        <v>3.4013605442176869</v>
      </c>
      <c r="U57" s="256">
        <f t="shared" si="36"/>
        <v>3.4013605442176869</v>
      </c>
      <c r="V57" s="256">
        <f t="shared" si="36"/>
        <v>3.4013605442176869</v>
      </c>
      <c r="W57" s="256">
        <f t="shared" si="36"/>
        <v>3.4013605442176869</v>
      </c>
      <c r="X57" s="256">
        <f t="shared" si="36"/>
        <v>3.4013605442176869</v>
      </c>
      <c r="Y57" s="256">
        <f t="shared" si="36"/>
        <v>3.4013605442176869</v>
      </c>
      <c r="Z57" s="256">
        <f t="shared" si="36"/>
        <v>3.4013605442176869</v>
      </c>
      <c r="AA57" s="256">
        <f t="shared" si="36"/>
        <v>3.4013605442176869</v>
      </c>
      <c r="AB57" s="256">
        <f t="shared" si="36"/>
        <v>3.4013605442176869</v>
      </c>
      <c r="AC57" s="256">
        <f t="shared" si="36"/>
        <v>3.4013605442176869</v>
      </c>
      <c r="AD57" s="256">
        <f t="shared" si="36"/>
        <v>3.4013605442176869</v>
      </c>
      <c r="AE57" s="256">
        <f t="shared" si="36"/>
        <v>3.4013605442176869</v>
      </c>
      <c r="AF57" s="256">
        <f t="shared" si="36"/>
        <v>3.4013605442176869</v>
      </c>
      <c r="AG57" s="256">
        <f t="shared" si="36"/>
        <v>3.4013605442176869</v>
      </c>
      <c r="AH57" s="256">
        <f t="shared" si="36"/>
        <v>3.4013605442176869</v>
      </c>
      <c r="AI57" s="256">
        <f t="shared" si="36"/>
        <v>3.4013605442176869</v>
      </c>
      <c r="AJ57" s="256">
        <f t="shared" si="36"/>
        <v>3.4013605442176869</v>
      </c>
      <c r="AK57" s="256">
        <f t="shared" si="37"/>
        <v>3.4013605442176869</v>
      </c>
      <c r="AL57" s="256">
        <f t="shared" si="37"/>
        <v>3.4013605442176869</v>
      </c>
      <c r="AM57" s="256">
        <f t="shared" si="37"/>
        <v>3.4013605442176869</v>
      </c>
    </row>
    <row r="58" spans="1:39">
      <c r="C58" s="12" t="s">
        <v>195</v>
      </c>
      <c r="D58" s="256"/>
      <c r="E58" s="256"/>
      <c r="F58" s="256">
        <f>F56/F11</f>
        <v>0.81632653061224492</v>
      </c>
      <c r="G58" s="256">
        <f t="shared" ref="G58:AM58" si="38">G56/G11</f>
        <v>1.7006802721088434</v>
      </c>
      <c r="H58" s="256">
        <f t="shared" si="38"/>
        <v>1.7006802721088434</v>
      </c>
      <c r="I58" s="256">
        <f t="shared" si="38"/>
        <v>1.7006802721088434</v>
      </c>
      <c r="J58" s="256">
        <f t="shared" si="38"/>
        <v>1.7006802721088434</v>
      </c>
      <c r="K58" s="256">
        <f t="shared" si="38"/>
        <v>1.7006802721088434</v>
      </c>
      <c r="L58" s="256">
        <f t="shared" si="38"/>
        <v>0.85034013605442171</v>
      </c>
      <c r="M58" s="256">
        <f t="shared" si="38"/>
        <v>0.85034013605442171</v>
      </c>
      <c r="N58" s="256">
        <f t="shared" si="38"/>
        <v>0.85034013605442171</v>
      </c>
      <c r="O58" s="256">
        <f t="shared" si="38"/>
        <v>0.85034013605442171</v>
      </c>
      <c r="P58" s="256">
        <f t="shared" si="38"/>
        <v>0.85034013605442171</v>
      </c>
      <c r="Q58" s="256">
        <f t="shared" si="38"/>
        <v>0.85034013605442171</v>
      </c>
      <c r="R58" s="256">
        <f t="shared" si="38"/>
        <v>0.85034013605442171</v>
      </c>
      <c r="S58" s="256">
        <f t="shared" si="38"/>
        <v>0.85034013605442171</v>
      </c>
      <c r="T58" s="256">
        <f t="shared" si="38"/>
        <v>0.85034013605442171</v>
      </c>
      <c r="U58" s="256">
        <f t="shared" si="38"/>
        <v>0.85034013605442171</v>
      </c>
      <c r="V58" s="256">
        <f t="shared" si="38"/>
        <v>0.85034013605442171</v>
      </c>
      <c r="W58" s="256">
        <f t="shared" si="38"/>
        <v>0.85034013605442171</v>
      </c>
      <c r="X58" s="256">
        <f t="shared" si="38"/>
        <v>0.85034013605442171</v>
      </c>
      <c r="Y58" s="256">
        <f t="shared" si="38"/>
        <v>0.85034013605442171</v>
      </c>
      <c r="Z58" s="256">
        <f t="shared" si="38"/>
        <v>0.85034013605442171</v>
      </c>
      <c r="AA58" s="256">
        <f t="shared" si="38"/>
        <v>0.85034013605442171</v>
      </c>
      <c r="AB58" s="256">
        <f t="shared" si="38"/>
        <v>0.85034013605442171</v>
      </c>
      <c r="AC58" s="256">
        <f t="shared" si="38"/>
        <v>0.85034013605442171</v>
      </c>
      <c r="AD58" s="256">
        <f t="shared" si="38"/>
        <v>0.85034013605442171</v>
      </c>
      <c r="AE58" s="256">
        <f t="shared" si="38"/>
        <v>0.85034013605442171</v>
      </c>
      <c r="AF58" s="256">
        <f t="shared" si="38"/>
        <v>0.85034013605442171</v>
      </c>
      <c r="AG58" s="256">
        <f t="shared" si="38"/>
        <v>0.85034013605442171</v>
      </c>
      <c r="AH58" s="256">
        <f t="shared" si="38"/>
        <v>0.85034013605442171</v>
      </c>
      <c r="AI58" s="256">
        <f t="shared" si="38"/>
        <v>0.85034013605442171</v>
      </c>
      <c r="AJ58" s="256">
        <f t="shared" si="38"/>
        <v>0.85034013605442171</v>
      </c>
      <c r="AK58" s="256">
        <f t="shared" si="38"/>
        <v>0.85034013605442171</v>
      </c>
      <c r="AL58" s="256">
        <f t="shared" si="38"/>
        <v>0.85034013605442171</v>
      </c>
      <c r="AM58" s="256">
        <f t="shared" si="38"/>
        <v>0.85034013605442171</v>
      </c>
    </row>
    <row r="59" spans="1:39" ht="13.15" thickBot="1">
      <c r="C59" s="12" t="s">
        <v>196</v>
      </c>
      <c r="D59" s="256"/>
      <c r="E59" s="256"/>
      <c r="F59" s="256">
        <f>F57/F12</f>
        <v>0.91836734693877553</v>
      </c>
      <c r="G59" s="256">
        <f t="shared" ref="G59:AM59" si="39">G57/G12</f>
        <v>1.7006802721088434</v>
      </c>
      <c r="H59" s="256">
        <f t="shared" si="39"/>
        <v>1.7006802721088434</v>
      </c>
      <c r="I59" s="256">
        <f t="shared" si="39"/>
        <v>1.7006802721088434</v>
      </c>
      <c r="J59" s="256">
        <f t="shared" si="39"/>
        <v>1.7006802721088434</v>
      </c>
      <c r="K59" s="256">
        <f t="shared" si="39"/>
        <v>1.7006802721088434</v>
      </c>
      <c r="L59" s="256">
        <f t="shared" si="39"/>
        <v>0.85034013605442171</v>
      </c>
      <c r="M59" s="256">
        <f t="shared" si="39"/>
        <v>0.85034013605442171</v>
      </c>
      <c r="N59" s="256">
        <f t="shared" si="39"/>
        <v>0.85034013605442171</v>
      </c>
      <c r="O59" s="256">
        <f t="shared" si="39"/>
        <v>0.85034013605442171</v>
      </c>
      <c r="P59" s="256">
        <f t="shared" si="39"/>
        <v>0.85034013605442171</v>
      </c>
      <c r="Q59" s="256">
        <f t="shared" si="39"/>
        <v>0.85034013605442171</v>
      </c>
      <c r="R59" s="256">
        <f t="shared" si="39"/>
        <v>0.85034013605442171</v>
      </c>
      <c r="S59" s="256">
        <f t="shared" si="39"/>
        <v>0.85034013605442171</v>
      </c>
      <c r="T59" s="256">
        <f t="shared" si="39"/>
        <v>0.85034013605442171</v>
      </c>
      <c r="U59" s="256">
        <f t="shared" si="39"/>
        <v>0.85034013605442171</v>
      </c>
      <c r="V59" s="256">
        <f t="shared" si="39"/>
        <v>0.85034013605442171</v>
      </c>
      <c r="W59" s="256">
        <f t="shared" si="39"/>
        <v>0.85034013605442171</v>
      </c>
      <c r="X59" s="256">
        <f t="shared" si="39"/>
        <v>0.85034013605442171</v>
      </c>
      <c r="Y59" s="256">
        <f t="shared" si="39"/>
        <v>0.85034013605442171</v>
      </c>
      <c r="Z59" s="256">
        <f t="shared" si="39"/>
        <v>0.85034013605442171</v>
      </c>
      <c r="AA59" s="256">
        <f t="shared" si="39"/>
        <v>0.85034013605442171</v>
      </c>
      <c r="AB59" s="256">
        <f t="shared" si="39"/>
        <v>0.85034013605442171</v>
      </c>
      <c r="AC59" s="256">
        <f t="shared" si="39"/>
        <v>0.85034013605442171</v>
      </c>
      <c r="AD59" s="256">
        <f t="shared" si="39"/>
        <v>0.85034013605442171</v>
      </c>
      <c r="AE59" s="256">
        <f t="shared" si="39"/>
        <v>0.85034013605442171</v>
      </c>
      <c r="AF59" s="256">
        <f t="shared" si="39"/>
        <v>0.85034013605442171</v>
      </c>
      <c r="AG59" s="256">
        <f t="shared" si="39"/>
        <v>0.85034013605442171</v>
      </c>
      <c r="AH59" s="256">
        <f t="shared" si="39"/>
        <v>0.85034013605442171</v>
      </c>
      <c r="AI59" s="256">
        <f t="shared" si="39"/>
        <v>0.85034013605442171</v>
      </c>
      <c r="AJ59" s="256">
        <f t="shared" si="39"/>
        <v>0.85034013605442171</v>
      </c>
      <c r="AK59" s="256">
        <f t="shared" si="39"/>
        <v>0.85034013605442171</v>
      </c>
      <c r="AL59" s="256">
        <f t="shared" si="39"/>
        <v>0.85034013605442171</v>
      </c>
      <c r="AM59" s="256">
        <f t="shared" si="39"/>
        <v>0.85034013605442171</v>
      </c>
    </row>
    <row r="60" spans="1:39" ht="13.5" thickBot="1">
      <c r="B60" s="257" t="s">
        <v>197</v>
      </c>
      <c r="C60" s="258"/>
      <c r="D60" s="259">
        <v>0</v>
      </c>
      <c r="E60" s="259">
        <v>0</v>
      </c>
      <c r="F60" s="259">
        <f t="shared" ref="E60:AM60" si="40">F55*1.1</f>
        <v>679.77564238213267</v>
      </c>
      <c r="G60" s="259">
        <f t="shared" si="40"/>
        <v>908.38615908525526</v>
      </c>
      <c r="H60" s="259">
        <f t="shared" si="40"/>
        <v>496.58443363327285</v>
      </c>
      <c r="I60" s="259">
        <f t="shared" si="40"/>
        <v>673.71973465489759</v>
      </c>
      <c r="J60" s="259">
        <f t="shared" si="40"/>
        <v>421.89490499737406</v>
      </c>
      <c r="K60" s="259">
        <f t="shared" si="40"/>
        <v>557.64816988289272</v>
      </c>
      <c r="L60" s="259">
        <f t="shared" si="40"/>
        <v>252.3787717380421</v>
      </c>
      <c r="M60" s="259">
        <f t="shared" si="40"/>
        <v>265.13077470371644</v>
      </c>
      <c r="N60" s="259">
        <f t="shared" si="40"/>
        <v>198.15503738834852</v>
      </c>
      <c r="O60" s="259">
        <f t="shared" si="40"/>
        <v>174.97965808551427</v>
      </c>
      <c r="P60" s="259">
        <f t="shared" si="40"/>
        <v>163.89095985449308</v>
      </c>
      <c r="Q60" s="259">
        <f t="shared" si="40"/>
        <v>228.42718355903637</v>
      </c>
      <c r="R60" s="259">
        <f t="shared" si="40"/>
        <v>205.25180425620209</v>
      </c>
      <c r="S60" s="259">
        <f t="shared" si="40"/>
        <v>194.16310602518089</v>
      </c>
      <c r="T60" s="259">
        <f t="shared" si="40"/>
        <v>142.71154623324261</v>
      </c>
      <c r="U60" s="259">
        <f t="shared" si="40"/>
        <v>130.29220421449887</v>
      </c>
      <c r="V60" s="259">
        <f t="shared" si="40"/>
        <v>141.49178942783027</v>
      </c>
      <c r="W60" s="259">
        <f t="shared" si="40"/>
        <v>170.76595275772621</v>
      </c>
      <c r="X60" s="259">
        <f t="shared" si="40"/>
        <v>160.45346340287651</v>
      </c>
      <c r="Y60" s="259">
        <f t="shared" si="40"/>
        <v>171.76393559851815</v>
      </c>
      <c r="Z60" s="259">
        <f t="shared" si="40"/>
        <v>114.87891367337946</v>
      </c>
      <c r="AA60" s="259">
        <f t="shared" si="40"/>
        <v>111.33053023945267</v>
      </c>
      <c r="AB60" s="259">
        <f t="shared" si="40"/>
        <v>133.84058764842567</v>
      </c>
      <c r="AC60" s="259">
        <f t="shared" si="40"/>
        <v>145.15105984406728</v>
      </c>
      <c r="AD60" s="259">
        <f t="shared" si="40"/>
        <v>141.49178942783027</v>
      </c>
      <c r="AE60" s="259">
        <f t="shared" si="40"/>
        <v>164.11273381911352</v>
      </c>
      <c r="AF60" s="259">
        <f t="shared" si="40"/>
        <v>175.4232060147551</v>
      </c>
      <c r="AG60" s="259">
        <f t="shared" si="40"/>
        <v>163.22563796063179</v>
      </c>
      <c r="AH60" s="259">
        <f t="shared" si="40"/>
        <v>184.29416459957207</v>
      </c>
      <c r="AI60" s="259">
        <f t="shared" si="40"/>
        <v>173.75990128010193</v>
      </c>
      <c r="AJ60" s="259">
        <f t="shared" si="40"/>
        <v>124.41519415205768</v>
      </c>
      <c r="AK60" s="259">
        <f t="shared" si="40"/>
        <v>120.53414977120025</v>
      </c>
      <c r="AL60" s="259">
        <f t="shared" si="40"/>
        <v>154.68734032274551</v>
      </c>
      <c r="AM60" s="259">
        <f t="shared" si="40"/>
        <v>150.80629594188807</v>
      </c>
    </row>
    <row r="61" spans="1:39" ht="13.5" thickBot="1">
      <c r="B61" s="226"/>
      <c r="C61" s="227"/>
      <c r="D61" s="2"/>
      <c r="F61" s="226"/>
      <c r="G61" s="227"/>
      <c r="H61" s="227"/>
      <c r="I61" s="227"/>
      <c r="J61" s="227"/>
      <c r="K61" s="227"/>
    </row>
    <row r="62" spans="1:39" ht="13.5" thickBot="1">
      <c r="B62" s="188" t="s">
        <v>192</v>
      </c>
      <c r="C62" s="189"/>
      <c r="D62" s="190">
        <v>12</v>
      </c>
      <c r="E62" s="190">
        <v>12</v>
      </c>
      <c r="F62" s="190">
        <v>12</v>
      </c>
      <c r="G62" s="190">
        <v>12</v>
      </c>
      <c r="H62" s="190">
        <v>12</v>
      </c>
      <c r="I62" s="190">
        <v>12</v>
      </c>
      <c r="J62" s="190">
        <v>12</v>
      </c>
      <c r="K62" s="190">
        <v>12</v>
      </c>
      <c r="L62" s="190">
        <v>12</v>
      </c>
      <c r="M62" s="190">
        <v>12</v>
      </c>
      <c r="N62" s="190">
        <v>12</v>
      </c>
      <c r="O62" s="190">
        <v>12</v>
      </c>
      <c r="P62" s="190">
        <v>12</v>
      </c>
      <c r="Q62" s="190">
        <v>12</v>
      </c>
      <c r="R62" s="190">
        <v>12</v>
      </c>
      <c r="S62" s="190">
        <v>12</v>
      </c>
      <c r="T62" s="190">
        <v>12</v>
      </c>
      <c r="U62" s="191">
        <v>12</v>
      </c>
      <c r="V62" s="191">
        <v>12</v>
      </c>
      <c r="W62" s="191">
        <v>12</v>
      </c>
      <c r="X62" s="191">
        <v>12</v>
      </c>
      <c r="Y62" s="191">
        <v>12</v>
      </c>
      <c r="Z62" s="191">
        <v>12</v>
      </c>
      <c r="AA62" s="191">
        <v>12</v>
      </c>
      <c r="AB62" s="191">
        <v>12</v>
      </c>
      <c r="AC62" s="191">
        <v>12</v>
      </c>
      <c r="AD62" s="191">
        <v>12</v>
      </c>
      <c r="AE62" s="191">
        <v>12</v>
      </c>
      <c r="AF62" s="191">
        <v>12</v>
      </c>
      <c r="AG62" s="191">
        <v>12</v>
      </c>
      <c r="AH62" s="191">
        <v>12</v>
      </c>
      <c r="AI62" s="191">
        <v>12</v>
      </c>
      <c r="AJ62" s="191">
        <v>12</v>
      </c>
      <c r="AK62" s="191">
        <v>12</v>
      </c>
      <c r="AL62" s="191">
        <v>12</v>
      </c>
      <c r="AM62" s="191">
        <v>12</v>
      </c>
    </row>
    <row r="63" spans="1:39" ht="13.15">
      <c r="B63" s="228"/>
      <c r="C63" s="228"/>
      <c r="E63" s="2"/>
      <c r="AK63" s="5"/>
    </row>
    <row r="64" spans="1:39" ht="13.15">
      <c r="B64" s="229"/>
      <c r="C64" s="229"/>
    </row>
    <row r="65" spans="2:33" ht="13.15">
      <c r="B65" s="228"/>
      <c r="C65" s="228"/>
      <c r="F65" s="256"/>
      <c r="AB65" s="5"/>
      <c r="AG65" s="5"/>
    </row>
    <row r="66" spans="2:33">
      <c r="P66" s="5"/>
      <c r="V66" s="5"/>
    </row>
  </sheetData>
  <mergeCells count="34">
    <mergeCell ref="AC5:AE5"/>
    <mergeCell ref="AH4:AI4"/>
    <mergeCell ref="AH5:AI5"/>
    <mergeCell ref="B2:C2"/>
    <mergeCell ref="N4:P4"/>
    <mergeCell ref="T4:V4"/>
    <mergeCell ref="Z4:AB4"/>
    <mergeCell ref="AF4:AG4"/>
    <mergeCell ref="B65:C65"/>
    <mergeCell ref="B8:B29"/>
    <mergeCell ref="B30:B39"/>
    <mergeCell ref="B40:B45"/>
    <mergeCell ref="B46:B50"/>
    <mergeCell ref="B52:C52"/>
    <mergeCell ref="B53:C53"/>
    <mergeCell ref="B54:C54"/>
    <mergeCell ref="B55:C55"/>
    <mergeCell ref="B61:C61"/>
    <mergeCell ref="AL4:AM4"/>
    <mergeCell ref="AL5:AM5"/>
    <mergeCell ref="F61:K61"/>
    <mergeCell ref="B63:C63"/>
    <mergeCell ref="B64:C64"/>
    <mergeCell ref="AJ4:AK4"/>
    <mergeCell ref="N5:P5"/>
    <mergeCell ref="T5:V5"/>
    <mergeCell ref="Z5:AB5"/>
    <mergeCell ref="AF5:AG5"/>
    <mergeCell ref="AJ5:AK5"/>
    <mergeCell ref="Q4:S4"/>
    <mergeCell ref="Q5:S5"/>
    <mergeCell ref="W4:Y4"/>
    <mergeCell ref="W5:Y5"/>
    <mergeCell ref="AC4:AE4"/>
  </mergeCells>
  <pageMargins left="0.23622047244094499" right="0.23622047244094499" top="0.23622047244094499" bottom="0.23622047244094499" header="0.31496062992126" footer="0.31496062992126"/>
  <pageSetup paperSize="9" scale="6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1FF054CD1264AA1B056CFE5CBAEE3" ma:contentTypeVersion="19" ma:contentTypeDescription="Create a new document." ma:contentTypeScope="" ma:versionID="4804b031893c8c0373a41be8535a866a">
  <xsd:schema xmlns:xsd="http://www.w3.org/2001/XMLSchema" xmlns:xs="http://www.w3.org/2001/XMLSchema" xmlns:p="http://schemas.microsoft.com/office/2006/metadata/properties" xmlns:ns2="912cacbf-97a4-4730-b8b2-6ae9adff5725" xmlns:ns3="0ca60982-8454-4f81-8091-07a5d1f7fc2a" targetNamespace="http://schemas.microsoft.com/office/2006/metadata/properties" ma:root="true" ma:fieldsID="df84ff65951c6a18fa30fa41af84c54e" ns2:_="" ns3:_="">
    <xsd:import namespace="912cacbf-97a4-4730-b8b2-6ae9adff5725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cacbf-97a4-4730-b8b2-6ae9adff572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cacbf-97a4-4730-b8b2-6ae9adff5725">
      <Terms xmlns="http://schemas.microsoft.com/office/infopath/2007/PartnerControls"/>
    </lcf76f155ced4ddcb4097134ff3c332f>
    <MigrationWizIdPermissions xmlns="912cacbf-97a4-4730-b8b2-6ae9adff5725" xsi:nil="true"/>
    <TaxCatchAll xmlns="0ca60982-8454-4f81-8091-07a5d1f7fc2a" xsi:nil="true"/>
    <MigrationWizId xmlns="912cacbf-97a4-4730-b8b2-6ae9adff5725" xsi:nil="true"/>
    <MigrationWizIdVersion xmlns="912cacbf-97a4-4730-b8b2-6ae9adff5725" xsi:nil="true"/>
  </documentManagement>
</p:properties>
</file>

<file path=customXml/itemProps1.xml><?xml version="1.0" encoding="utf-8"?>
<ds:datastoreItem xmlns:ds="http://schemas.openxmlformats.org/officeDocument/2006/customXml" ds:itemID="{9D8D6AA7-518F-4254-ABF3-E7B734C65C8D}"/>
</file>

<file path=customXml/itemProps2.xml><?xml version="1.0" encoding="utf-8"?>
<ds:datastoreItem xmlns:ds="http://schemas.openxmlformats.org/officeDocument/2006/customXml" ds:itemID="{2612BFC8-03A3-46A1-AC5F-F647D6F91DB3}"/>
</file>

<file path=customXml/itemProps3.xml><?xml version="1.0" encoding="utf-8"?>
<ds:datastoreItem xmlns:ds="http://schemas.openxmlformats.org/officeDocument/2006/customXml" ds:itemID="{86CC8D78-902F-42EC-9577-F96EE1E1F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NX Outdoor Sport</vt:lpstr>
      <vt:lpstr>NX Indoor Sport</vt:lpstr>
      <vt:lpstr>'NX Indoor Sport'!Print_Area</vt:lpstr>
      <vt:lpstr>'NX Outdoor Sport'!Print_Area</vt:lpstr>
      <vt:lpstr>'NX Indoor Sport'!Print_Titles</vt:lpstr>
      <vt:lpstr>'NX Outdoor Sport'!Print_Titles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YUEN (LH-HK)</dc:creator>
  <cp:lastModifiedBy>Eric Gruner</cp:lastModifiedBy>
  <cp:lastPrinted>2018-10-15T08:28:00Z</cp:lastPrinted>
  <dcterms:created xsi:type="dcterms:W3CDTF">2016-03-24T04:08:00Z</dcterms:created>
  <dcterms:modified xsi:type="dcterms:W3CDTF">2026-08-12T13:34:42Z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61D467AE7166427680BE7B828A7FE231_13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0x0101003A81FF054CD1264AA1B056CFE5CBAEE3</vt:lpwstr>
  </property>
</Properties>
</file>