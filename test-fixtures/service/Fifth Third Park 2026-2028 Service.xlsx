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cny-my.sharepoint.com/personal/alexis_ventarola_anc_com/Documents/Services/Enterprise Solutions/Sales/Cost Sheets/"/>
    </mc:Choice>
  </mc:AlternateContent>
  <xr:revisionPtr revIDLastSave="3" documentId="8_{CA5526D0-93A5-4565-97FA-57F8C5237BC3}" xr6:coauthVersionLast="47" xr6:coauthVersionMax="47" xr10:uidLastSave="{96DC70E1-B123-474C-B4B2-DADCBA054C6A}"/>
  <bookViews>
    <workbookView xWindow="-9216" yWindow="-17280" windowWidth="20832" windowHeight="16656" xr2:uid="{4A3ECB9E-EA69-4094-ABFE-CCF836912094}"/>
  </bookViews>
  <sheets>
    <sheet name="Option 1" sheetId="10" r:id="rId1"/>
    <sheet name="Option 2" sheetId="15" r:id="rId2"/>
    <sheet name="Parts Warranty" sheetId="1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jack">'[1]LH Pricing'!$Z$26:$AA$28</definedName>
    <definedName name="_Order1" hidden="1">255</definedName>
    <definedName name="ANC">OFFSET([2]!ProductNameList,0,0,COUNTA([2]!ProductNameList),1)</definedName>
    <definedName name="CABINET_MODIFIERS">'[3]Data Lists'!$B$19:$B$20</definedName>
    <definedName name="CashOut_Timing_by_ProjectType">'[3]Project Cash Out Table'!$A$4:$O$161</definedName>
    <definedName name="CashOut_Values">'[3]Project Cash Out Table'!$A$4:$A$161</definedName>
    <definedName name="CONTROLLER_MODIFIERS">'[3]Data Lists'!$B$25:$B$27</definedName>
    <definedName name="CONTROLLER_PRICE_MODEL_MASTER">'[3]Price List'!$I$24:$I$31</definedName>
    <definedName name="CONTROLLER_PRICING">'[3]Price List'!$I$24:$K$31</definedName>
    <definedName name="ControlRoom">[4]OES1!$A$1:$J$80</definedName>
    <definedName name="_xlnm.Criteria">#REF!</definedName>
    <definedName name="_xlnm.Database">#REF!</definedName>
    <definedName name="DEFAULT_LEDBOM_GP">'[3]LED BOM'!$K$3</definedName>
    <definedName name="_xlnm.Extract">#REF!</definedName>
    <definedName name="hjhs">[5]OES1!$A$1:$J$80</definedName>
    <definedName name="indoor_models">#REF!</definedName>
    <definedName name="indoor_spec">[6]Indoor!$B$4:$L$49</definedName>
    <definedName name="indoor_specs">'[7]LH Indoor'!$B$4:$O$49</definedName>
    <definedName name="IndoorOutdoor">[7]!Table2[#Headers]</definedName>
    <definedName name="jn">'[1]LH Outdoor'!$B$4:$Q$49</definedName>
    <definedName name="MANUFACTURER">'[3]Data Lists'!$B$3:$B$5</definedName>
    <definedName name="MASTER_MODEL_LIST">'[3]Data Lists'!$F$20:$F$180</definedName>
    <definedName name="METHOD">'[3]Data Lists'!$C$3:$C$4</definedName>
    <definedName name="MODEL_LOOKUP_REF_TABLE">'[3]Data Lists'!$F$20:$K$180</definedName>
    <definedName name="MODEL_XREF_INDEX" comment="Index (Manu Model) for MODEL_XREF_TABLE">'[3]Model Cross Reference'!$D$4:$D$127</definedName>
    <definedName name="MODEL_XREF_TABLE" comment="Model cross reference from manufacture model name to PESNA model number">'[3]Model Cross Reference'!$D$4:$E$127</definedName>
    <definedName name="MSG">#REF!</definedName>
    <definedName name="newproductname">OFFSET(ProductNameList,0,0,COUNTA(ProductNameList),1)</definedName>
    <definedName name="OSC">[8]OES1!$A$1:$J$80</definedName>
    <definedName name="outdoor_models">#REF!</definedName>
    <definedName name="outdoor_specs">'[7]LH Outdoor'!$B$4:$Q$49</definedName>
    <definedName name="outdoor_specs2">[9]Outdoor!$B$4:$I$48</definedName>
    <definedName name="Pn4B_FA">#REF!</definedName>
    <definedName name="PRICE_MASTER_MODEL_LIST" comment="Price column index into PRICE_LIST">'[3]Price List'!$C$3:$C$161</definedName>
    <definedName name="PRICE_MASTER_TABLE">'[3]Price List'!$C$3:$G$161</definedName>
    <definedName name="pricing_indoor">#REF!</definedName>
    <definedName name="pricing_outdoor">#REF!</definedName>
    <definedName name="_xlnm.Print_Area">#REF!</definedName>
    <definedName name="PRINT_AREA_MI">#REF!</definedName>
    <definedName name="PRINT_AREA_MI2">[4]OES1!$A$1:$J$80</definedName>
    <definedName name="Print_Area2">[4]OES1!$A$1:$J$80</definedName>
    <definedName name="processors">'[7]LH Pricing'!$K$26:$L$28</definedName>
    <definedName name="product_name_outdoor">#REF!</definedName>
    <definedName name="ProductName">OFFSET(ProductNameList,0,0,COUNTA(ProductNameList),1)</definedName>
    <definedName name="ProductNameList">INDEX([7]!Table2[#Data],0,MATCH('[7]LH Sizing'!A1048574,[7]!Table2[#Headers],0))</definedName>
    <definedName name="Project_Types">'[3]Schedule of Values Lookups'!$E$4:$E$15</definedName>
    <definedName name="RFP">[8]OES1!$A$1:$J$80</definedName>
    <definedName name="Sales_Reps">'[3]Schedule of Values Lookups'!$E$18:$E$23</definedName>
    <definedName name="SDmargin" hidden="1">{#N/A,#N/A,FALSE,"Screening";#N/A,#N/A,FALSE,"Multi-Purpose";#N/A,#N/A,FALSE,"Summary"}</definedName>
    <definedName name="SIZING_METHOD">'[3]Data Lists'!$B$10:$B$12</definedName>
    <definedName name="somerthimgh">#REF!</definedName>
    <definedName name="SPEC_PARAMETER_INDEX" comment="Index on PARAMETER field in SPEC_PARAMETER_TABLE">'[3]Data Lists'!$M$20:$M$66</definedName>
    <definedName name="SPEC_PARAMETER_TABLE" comment="Table that contains the specification paramters (fields from SPEC_TABLE) and the row number in SPEC_TABLE for that parameter.">'[3]Data Lists'!$M$20:$N$66</definedName>
    <definedName name="SPEC_TABLE" comment="Table that holds the specifications for all models">[3]Specifications!$D$6:$FE$52</definedName>
    <definedName name="SPEC_TABLE_MODEL_ROW" comment="Row in SPEC_TABLE that contains the models">[3]Specifications!$D$1:$FE$1</definedName>
    <definedName name="SPEC_TABLE_PARAMETER_NAME_LIST">[3]Specifications!$B$6:$B$52</definedName>
    <definedName name="spyder">'[7]LH Pricing'!$K$32:$L$33</definedName>
    <definedName name="Start_Month">'[3]Schedule of Values Lookups'!$B$4:$B$75</definedName>
    <definedName name="TYPE">'[3]Data Lists'!$D$3:$D$4</definedName>
    <definedName name="VR">[4]OES1!$A$1:$J$80</definedName>
    <definedName name="wrn.DWA._.Budget." hidden="1">{#N/A,#N/A,FALSE,"Screening";#N/A,#N/A,FALSE,"Multi-Purpose";#N/A,#N/A,FALSE,"Summary"}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5" l="1"/>
  <c r="G42" i="15"/>
  <c r="F42" i="15"/>
  <c r="H33" i="15"/>
  <c r="G33" i="15"/>
  <c r="F33" i="15"/>
  <c r="H32" i="15"/>
  <c r="G32" i="15"/>
  <c r="F32" i="15"/>
  <c r="H31" i="15"/>
  <c r="G31" i="15"/>
  <c r="F31" i="15"/>
  <c r="H30" i="15"/>
  <c r="G30" i="15"/>
  <c r="F30" i="15"/>
  <c r="D29" i="15"/>
  <c r="D34" i="15" s="1"/>
  <c r="G21" i="15"/>
  <c r="H21" i="15" s="1"/>
  <c r="L19" i="15"/>
  <c r="L15" i="15"/>
  <c r="F15" i="15"/>
  <c r="G17" i="10"/>
  <c r="H17" i="10"/>
  <c r="F17" i="10"/>
  <c r="G27" i="10"/>
  <c r="H27" i="10"/>
  <c r="F27" i="10"/>
  <c r="H10" i="10"/>
  <c r="G22" i="10"/>
  <c r="H22" i="10" s="1"/>
  <c r="G25" i="10"/>
  <c r="H25" i="10" s="1"/>
  <c r="H24" i="10"/>
  <c r="G24" i="10"/>
  <c r="H11" i="10"/>
  <c r="G11" i="10"/>
  <c r="G50" i="10"/>
  <c r="G49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40" i="10"/>
  <c r="H40" i="10"/>
  <c r="G46" i="10"/>
  <c r="H46" i="10"/>
  <c r="F24" i="10"/>
  <c r="F11" i="10"/>
  <c r="L19" i="10"/>
  <c r="F46" i="10"/>
  <c r="F37" i="10"/>
  <c r="F36" i="10"/>
  <c r="F35" i="10"/>
  <c r="F34" i="10"/>
  <c r="D33" i="10"/>
  <c r="D38" i="10" s="1"/>
  <c r="L15" i="10"/>
  <c r="F46" i="15" l="1"/>
  <c r="F23" i="15"/>
  <c r="F25" i="15" s="1"/>
  <c r="F39" i="15" s="1"/>
  <c r="F36" i="15"/>
  <c r="H36" i="15"/>
  <c r="G36" i="15"/>
  <c r="F29" i="15"/>
  <c r="F34" i="15" s="1"/>
  <c r="G29" i="15"/>
  <c r="G34" i="15" s="1"/>
  <c r="H29" i="15"/>
  <c r="H34" i="15" s="1"/>
  <c r="H49" i="10"/>
  <c r="G51" i="10"/>
  <c r="H50" i="10"/>
  <c r="G29" i="10"/>
  <c r="G43" i="10" s="1"/>
  <c r="G44" i="10" s="1"/>
  <c r="F33" i="10"/>
  <c r="F40" i="10"/>
  <c r="F45" i="15" l="1"/>
  <c r="H15" i="15"/>
  <c r="H46" i="15" s="1"/>
  <c r="G15" i="15"/>
  <c r="G46" i="15" s="1"/>
  <c r="F40" i="15"/>
  <c r="F43" i="15"/>
  <c r="G23" i="15"/>
  <c r="H23" i="15"/>
  <c r="F47" i="15"/>
  <c r="H45" i="15"/>
  <c r="H51" i="10"/>
  <c r="H29" i="10"/>
  <c r="H43" i="10" s="1"/>
  <c r="G47" i="10"/>
  <c r="F38" i="10"/>
  <c r="F49" i="10"/>
  <c r="H47" i="15" l="1"/>
  <c r="H25" i="15"/>
  <c r="H39" i="15" s="1"/>
  <c r="H40" i="15"/>
  <c r="H43" i="15"/>
  <c r="G45" i="15"/>
  <c r="G47" i="15" s="1"/>
  <c r="G25" i="15"/>
  <c r="G39" i="15" s="1"/>
  <c r="H44" i="10"/>
  <c r="H47" i="10"/>
  <c r="F50" i="10"/>
  <c r="F29" i="10"/>
  <c r="F43" i="10" s="1"/>
  <c r="F44" i="10" s="1"/>
  <c r="F51" i="10"/>
  <c r="G43" i="15" l="1"/>
  <c r="G40" i="15"/>
  <c r="F47" i="10"/>
</calcChain>
</file>

<file path=xl/sharedStrings.xml><?xml version="1.0" encoding="utf-8"?>
<sst xmlns="http://schemas.openxmlformats.org/spreadsheetml/2006/main" count="102" uniqueCount="57">
  <si>
    <t>ANC Sports Enterprises, LLC</t>
  </si>
  <si>
    <t xml:space="preserve">Property/Event Budget Overview </t>
  </si>
  <si>
    <t>Team:</t>
  </si>
  <si>
    <t>Option 1</t>
  </si>
  <si>
    <t>Income:</t>
  </si>
  <si>
    <t>Preseason Check</t>
  </si>
  <si>
    <t>Included</t>
  </si>
  <si>
    <t>Graphics (up to 100 hours)</t>
  </si>
  <si>
    <t>VSB License Fee</t>
  </si>
  <si>
    <t>graphics</t>
  </si>
  <si>
    <t>Tech Support</t>
  </si>
  <si>
    <t>hours</t>
  </si>
  <si>
    <t>LiveSync License</t>
  </si>
  <si>
    <t xml:space="preserve">Rate </t>
  </si>
  <si>
    <t>Parts Waranty</t>
  </si>
  <si>
    <t xml:space="preserve">total </t>
  </si>
  <si>
    <t>Graphics cost</t>
  </si>
  <si>
    <t>TOTAL INCOME</t>
  </si>
  <si>
    <t>Expenses:</t>
  </si>
  <si>
    <t>Cash Expense:</t>
  </si>
  <si>
    <t>Travel</t>
  </si>
  <si>
    <t>Graphics</t>
  </si>
  <si>
    <t>Miscellaneous Exp.( postage,tech exp)</t>
  </si>
  <si>
    <t>Parts Warranty</t>
  </si>
  <si>
    <t>included</t>
  </si>
  <si>
    <t>OPERATING EXPENSES</t>
  </si>
  <si>
    <t>EBITDA</t>
  </si>
  <si>
    <t>CAPITAL EXPENDITURES</t>
  </si>
  <si>
    <t>TOTAL CAPEX</t>
  </si>
  <si>
    <t>ANNUAL DEPRECIATION</t>
  </si>
  <si>
    <t>Net Profit/Loss</t>
  </si>
  <si>
    <t>% return</t>
  </si>
  <si>
    <t>Add Marketing:</t>
  </si>
  <si>
    <t>Additional Marketing Revenue Opport.</t>
  </si>
  <si>
    <t>Total Profit</t>
  </si>
  <si>
    <t>Cash</t>
  </si>
  <si>
    <t>Expense</t>
  </si>
  <si>
    <t>Revenue</t>
  </si>
  <si>
    <t xml:space="preserve">Cume Cash </t>
  </si>
  <si>
    <t>Option 2</t>
  </si>
  <si>
    <t>still include preseason check in 2026 from project</t>
  </si>
  <si>
    <t>LED Parts</t>
  </si>
  <si>
    <t>License Fee</t>
  </si>
  <si>
    <t>Costs Parts Warranty</t>
  </si>
  <si>
    <t>Retail Parts Warranty</t>
  </si>
  <si>
    <t>Annual Labor</t>
  </si>
  <si>
    <t>Cost Parts / Labor Wrranty</t>
  </si>
  <si>
    <t>Retail Parts / Labor Warranty</t>
  </si>
  <si>
    <t>Year 3</t>
  </si>
  <si>
    <t xml:space="preserve">$-   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</si>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</sst>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_(* #,##0_);_(* \(#,##0\);_(* &quot;-&quot;?_);_(@_)"/>
    <numFmt numFmtId="168" formatCode="_([$$-409]* #,##0.00_);_([$$-409]* \(#,##0.00\);_([$$-409]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  <font>
      <u/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44" fontId="7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2"/>
    <xf numFmtId="0" fontId="3" fillId="0" borderId="0" xfId="2" applyFont="1"/>
    <xf numFmtId="164" fontId="1" fillId="0" borderId="0" xfId="1" applyNumberFormat="1" applyFont="1" applyBorder="1"/>
    <xf numFmtId="44" fontId="1" fillId="0" borderId="0" xfId="1" applyFont="1" applyBorder="1"/>
    <xf numFmtId="1" fontId="1" fillId="0" borderId="0" xfId="1" applyNumberFormat="1" applyFont="1" applyBorder="1"/>
    <xf numFmtId="0" fontId="11" fillId="0" borderId="0" xfId="14"/>
    <xf numFmtId="0" fontId="3" fillId="0" borderId="0" xfId="14" applyFont="1"/>
    <xf numFmtId="0" fontId="6" fillId="0" borderId="0" xfId="14" applyFont="1"/>
    <xf numFmtId="164" fontId="11" fillId="0" borderId="0" xfId="14" applyNumberFormat="1"/>
    <xf numFmtId="166" fontId="11" fillId="0" borderId="0" xfId="14" applyNumberFormat="1"/>
    <xf numFmtId="164" fontId="0" fillId="0" borderId="0" xfId="15" applyNumberFormat="1" applyFont="1" applyFill="1" applyBorder="1"/>
    <xf numFmtId="166" fontId="0" fillId="0" borderId="0" xfId="16" applyNumberFormat="1" applyFont="1" applyFill="1" applyBorder="1"/>
    <xf numFmtId="164" fontId="0" fillId="0" borderId="0" xfId="15" applyNumberFormat="1" applyFont="1"/>
    <xf numFmtId="164" fontId="1" fillId="3" borderId="6" xfId="15" applyNumberFormat="1" applyFont="1" applyFill="1" applyBorder="1"/>
    <xf numFmtId="0" fontId="11" fillId="3" borderId="6" xfId="14" applyFill="1" applyBorder="1"/>
    <xf numFmtId="0" fontId="11" fillId="3" borderId="5" xfId="14" applyFill="1" applyBorder="1"/>
    <xf numFmtId="0" fontId="11" fillId="3" borderId="7" xfId="14" applyFill="1" applyBorder="1"/>
    <xf numFmtId="0" fontId="11" fillId="3" borderId="4" xfId="14" applyFill="1" applyBorder="1"/>
    <xf numFmtId="0" fontId="11" fillId="3" borderId="2" xfId="14" applyFill="1" applyBorder="1"/>
    <xf numFmtId="0" fontId="11" fillId="3" borderId="3" xfId="14" applyFill="1" applyBorder="1"/>
    <xf numFmtId="9" fontId="0" fillId="0" borderId="0" xfId="17" applyFont="1"/>
    <xf numFmtId="0" fontId="11" fillId="0" borderId="0" xfId="14" quotePrefix="1"/>
    <xf numFmtId="167" fontId="11" fillId="0" borderId="0" xfId="14" applyNumberFormat="1"/>
    <xf numFmtId="164" fontId="0" fillId="5" borderId="0" xfId="15" applyNumberFormat="1" applyFont="1" applyFill="1" applyBorder="1"/>
    <xf numFmtId="0" fontId="9" fillId="0" borderId="0" xfId="14" applyFont="1"/>
    <xf numFmtId="164" fontId="0" fillId="4" borderId="0" xfId="15" applyNumberFormat="1" applyFont="1" applyFill="1" applyBorder="1"/>
    <xf numFmtId="166" fontId="3" fillId="0" borderId="0" xfId="14" applyNumberFormat="1" applyFont="1"/>
    <xf numFmtId="164" fontId="0" fillId="0" borderId="7" xfId="15" applyNumberFormat="1" applyFont="1" applyBorder="1"/>
    <xf numFmtId="0" fontId="1" fillId="0" borderId="0" xfId="14" applyFont="1"/>
    <xf numFmtId="164" fontId="0" fillId="2" borderId="0" xfId="15" applyNumberFormat="1" applyFont="1" applyFill="1"/>
    <xf numFmtId="0" fontId="11" fillId="2" borderId="0" xfId="14" applyFill="1"/>
    <xf numFmtId="166" fontId="11" fillId="2" borderId="0" xfId="14" applyNumberFormat="1" applyFill="1"/>
    <xf numFmtId="166" fontId="0" fillId="2" borderId="0" xfId="16" applyNumberFormat="1" applyFont="1" applyFill="1"/>
    <xf numFmtId="0" fontId="3" fillId="2" borderId="0" xfId="14" applyFont="1" applyFill="1"/>
    <xf numFmtId="0" fontId="8" fillId="0" borderId="0" xfId="14" applyFont="1"/>
    <xf numFmtId="166" fontId="0" fillId="0" borderId="0" xfId="16" applyNumberFormat="1" applyFont="1"/>
    <xf numFmtId="164" fontId="11" fillId="0" borderId="1" xfId="14" applyNumberFormat="1" applyBorder="1"/>
    <xf numFmtId="165" fontId="0" fillId="2" borderId="0" xfId="17" applyNumberFormat="1" applyFont="1" applyFill="1" applyAlignment="1">
      <alignment horizontal="center"/>
    </xf>
    <xf numFmtId="164" fontId="3" fillId="0" borderId="0" xfId="14" applyNumberFormat="1" applyFont="1"/>
    <xf numFmtId="164" fontId="3" fillId="0" borderId="0" xfId="15" applyNumberFormat="1" applyFont="1"/>
    <xf numFmtId="0" fontId="3" fillId="0" borderId="0" xfId="14" applyFont="1" applyAlignment="1">
      <alignment horizontal="center"/>
    </xf>
    <xf numFmtId="0" fontId="11" fillId="0" borderId="7" xfId="14" applyBorder="1"/>
    <xf numFmtId="0" fontId="1" fillId="0" borderId="7" xfId="14" applyFont="1" applyBorder="1" applyAlignment="1">
      <alignment horizontal="center"/>
    </xf>
    <xf numFmtId="0" fontId="11" fillId="0" borderId="7" xfId="14" applyBorder="1" applyAlignment="1">
      <alignment horizontal="center"/>
    </xf>
    <xf numFmtId="0" fontId="3" fillId="0" borderId="7" xfId="14" applyFont="1" applyBorder="1" applyAlignment="1">
      <alignment horizontal="center"/>
    </xf>
    <xf numFmtId="0" fontId="3" fillId="0" borderId="7" xfId="14" applyFont="1" applyBorder="1"/>
    <xf numFmtId="0" fontId="4" fillId="0" borderId="7" xfId="14" applyFont="1" applyBorder="1"/>
    <xf numFmtId="0" fontId="11" fillId="3" borderId="0" xfId="14" applyFill="1" applyAlignment="1">
      <alignment horizontal="center"/>
    </xf>
    <xf numFmtId="0" fontId="11" fillId="3" borderId="0" xfId="14" applyFill="1"/>
    <xf numFmtId="0" fontId="5" fillId="3" borderId="0" xfId="14" applyFont="1" applyFill="1"/>
    <xf numFmtId="0" fontId="4" fillId="0" borderId="0" xfId="14" applyFont="1"/>
    <xf numFmtId="0" fontId="2" fillId="0" borderId="0" xfId="14" applyFont="1"/>
    <xf numFmtId="166" fontId="1" fillId="0" borderId="0" xfId="16" applyNumberFormat="1" applyFont="1"/>
    <xf numFmtId="164" fontId="1" fillId="3" borderId="2" xfId="15" applyNumberFormat="1" applyFont="1" applyFill="1" applyBorder="1"/>
    <xf numFmtId="164" fontId="1" fillId="3" borderId="7" xfId="15" applyNumberFormat="1" applyFont="1" applyFill="1" applyBorder="1"/>
    <xf numFmtId="168" fontId="1" fillId="0" borderId="0" xfId="15" applyNumberFormat="1" applyFont="1"/>
    <xf numFmtId="168" fontId="0" fillId="0" borderId="0" xfId="15" applyNumberFormat="1" applyFont="1"/>
    <xf numFmtId="6" fontId="11" fillId="0" borderId="0" xfId="14" applyNumberFormat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11" xfId="0" applyFont="1" applyBorder="1"/>
    <xf numFmtId="0" fontId="12" fillId="0" borderId="12" xfId="0" applyFont="1" applyBorder="1"/>
    <xf numFmtId="6" fontId="12" fillId="0" borderId="12" xfId="0" applyNumberFormat="1" applyFont="1" applyBorder="1"/>
    <xf numFmtId="6" fontId="12" fillId="0" borderId="13" xfId="0" applyNumberFormat="1" applyFont="1" applyBorder="1"/>
    <xf numFmtId="0" fontId="12" fillId="0" borderId="14" xfId="0" applyFont="1" applyBorder="1"/>
    <xf numFmtId="6" fontId="12" fillId="0" borderId="15" xfId="0" applyNumberFormat="1" applyFont="1" applyBorder="1"/>
    <xf numFmtId="6" fontId="12" fillId="0" borderId="16" xfId="0" applyNumberFormat="1" applyFont="1" applyBorder="1"/>
    <xf numFmtId="6" fontId="12" fillId="0" borderId="0" xfId="0" applyNumberFormat="1" applyFont="1"/>
    <xf numFmtId="6" fontId="12" fillId="0" borderId="17" xfId="0" applyNumberFormat="1" applyFont="1" applyBorder="1"/>
  </cellXfs>
  <cellStyles count="18">
    <cellStyle name="Comma 2" xfId="9" xr:uid="{F52D1132-0F27-4F49-98FB-EABA0334C2B1}"/>
    <cellStyle name="Comma 26" xfId="5" xr:uid="{F76D9B22-08AF-40C4-813E-7E0F5A99507E}"/>
    <cellStyle name="Comma 3" xfId="16" xr:uid="{6B02CCA2-6885-419F-A3C7-E1155D5622C2}"/>
    <cellStyle name="Currency" xfId="1" builtinId="4"/>
    <cellStyle name="Currency 2" xfId="10" xr:uid="{55CC3A4F-A818-4BC2-B41A-E9BE80372E1D}"/>
    <cellStyle name="Currency 2 10 2" xfId="11" xr:uid="{8ECB51E5-AC12-4613-9A01-D89D0F354CA0}"/>
    <cellStyle name="Currency 3" xfId="15" xr:uid="{9136C1B6-CB27-4A0B-BE2D-AB2B480E6288}"/>
    <cellStyle name="Currency 39" xfId="3" xr:uid="{AA0A6F20-3707-4CC6-A6FA-246D0E08FC51}"/>
    <cellStyle name="Normal" xfId="0" builtinId="0"/>
    <cellStyle name="Normal 149" xfId="2" xr:uid="{7852669F-E6B2-4979-A8FC-E4B2122B6A7E}"/>
    <cellStyle name="Normal 2" xfId="6" xr:uid="{ABBA9604-C4D8-40DD-97B0-BA7E6CB85D07}"/>
    <cellStyle name="Normal 3" xfId="8" xr:uid="{CA087797-39F3-435F-9597-789F2E93F49D}"/>
    <cellStyle name="Normal 4" xfId="14" xr:uid="{BABF891E-172E-4099-8F92-75C4D2D989C0}"/>
    <cellStyle name="Normal 4 10" xfId="13" xr:uid="{618360DF-2FCD-46F3-81C2-F4FB2D317AF2}"/>
    <cellStyle name="Normal 4 2" xfId="12" xr:uid="{7925DBAE-D7F4-46B6-BB16-4BD5A7004D85}"/>
    <cellStyle name="Percent 14" xfId="4" xr:uid="{52378061-418C-4AA8-8EB8-15C9C389E514}"/>
    <cellStyle name="Percent 2" xfId="7" xr:uid="{4226A826-9B89-4F26-B3BC-125A74E90D0F}"/>
    <cellStyle name="Percent 3" xfId="17" xr:uid="{411272B0-6770-4F40-B50A-D0A1A84C5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ales/F/Fort%20Worth%20Multi-Purpose%20Arena/Cost%20Analysis/server8/Sales/U/U%20of%20New%20Hamsphire/AJP%20Cost%20Sheets/UNH%20Cost%20Analysis%20062415%20BAF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stenSavage\Desktop\MetLife_5%20Year%20Services.xlsx" TargetMode="External"/><Relationship Id="rId1" Type="http://schemas.openxmlformats.org/officeDocument/2006/relationships/externalLinkPath" Target="/Users/KirstenSavage/Desktop/MetLife_5%20Year%20Serv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Volumes\Sales\F\Fort%20Worth%20Multi-Purpose%20Arena\Cost%20Analysis\server8\Sales\Users\CJM\Dropbox%20(Personal)\Bids%20Sync\Scottrade%20Center%20(Blues)\C:\Users\Jsparks\AppData\Local\Temp\50%20-%20IMG%20Academy%20Pricing%20051613R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ROWSY\AppData\Local\Microsoft\Windows\Temporary%20Internet%20Files\Content.Outlook\RA4I7G2E\Documents%20and%20Settings\Owner\Local%20Settings\Temporary%20Internet%20Files\OLK15\ASU%20Cost%20Analysis%20020909%20-%20BAFO%20AL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Users\CJM\Dropbox%20(Personal)\Bids%20Sync\Notre%20Dame\Football%20Stadium\North%20Side%20Projects\192.168.1.26\sales\Documents%20and%20Settings\Owner\Local%20Settings\Temporary%20Internet%20Files\OLK15\ASU%20Cost%20Analysis%20020909%20-%20BAFO%20ALT.xls?DCD9E76F" TargetMode="External"/><Relationship Id="rId1" Type="http://schemas.openxmlformats.org/officeDocument/2006/relationships/externalLinkPath" Target="file:///\\DCD9E76F\ASU%20Cost%20Analysis%20020909%20-%20BAFO%20AL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Volumes\Sales\F\Fort%20Worth%20Multi-Purpose%20Arena\Cost%20Analysis\C:\Users\CJM\Dropbox%20(Personal)\Bids%20Sync\Scottrade%20Center%20(Blues)\server8\Sales\Users\ahardimon\Dropbox\ANC%20Sports\Butler\Butler%20Cost%20Analysis%20-%20080913AH.xlsx?EF901FB8" TargetMode="External"/><Relationship Id="rId1" Type="http://schemas.openxmlformats.org/officeDocument/2006/relationships/externalLinkPath" Target="file:///\\EF901FB8\Butler%20Cost%20Analysis%20-%20080913A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\Boise%20State\2015%20Basketball%20Arena\Cost%20Sheet\Boise%20State%20Cost%20Sheet_FINAL%20COST%20SHEET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ales/F/Fort%20Worth%20Multi-Purpose%20Arena/Cost%20Analysis/server8/Sales/Users/CJM/Dropbox%20(Personal)/Bids%20Sync/Chicago%20Cubs/ASU%20Cost%20Analysis%20020909%20-%20BAFO%20BASE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Volumes\Sales\F\Fort%20Worth%20Multi-Purpose%20Arena\Cost%20Analysis\C:\Users\CJM\Dropbox%20(Personal)\Bids%20Sync\Scottrade%20Center%20(Blues)\server8\Sales\Users\dwatroba\Dropbox\Bids\University%20of%20Houston\Tampa%20RFP\Tampa%20RJS%20Cost%20Sheet%20010813%20-%20MAK.xlsx?FC6C34EF" TargetMode="External"/><Relationship Id="rId1" Type="http://schemas.openxmlformats.org/officeDocument/2006/relationships/externalLinkPath" Target="file:///\\FC6C34EF\Tampa%20RJS%20Cost%20Sheet%20010813%20-%20M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H Pricing"/>
      <sheetName val="LH Outdoor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e Overview"/>
      <sheetName val="Service Cost Sheet"/>
      <sheetName val="Sheet2"/>
      <sheetName val="MetLife_5 Year Services"/>
    </sheetNames>
    <definedNames>
      <definedName name="ProductNameList" refersTo="#REF!"/>
    </defined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sts"/>
      <sheetName val="Project Cash Out Table"/>
      <sheetName val="Price List"/>
      <sheetName val="LED BOM"/>
      <sheetName val="Model Cross Reference"/>
      <sheetName val="Schedule of Values Lookups"/>
      <sheetName val="Specif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 A.1.1"/>
      <sheetName val="S A.1.2"/>
      <sheetName val="S B.2.1"/>
      <sheetName val="S B.2.2"/>
      <sheetName val="ADD No. 1"/>
      <sheetName val="ADD No. 1 Courtside LED"/>
      <sheetName val="Cost Sheet SACO"/>
      <sheetName val="VSV"/>
      <sheetName val="SACO Install"/>
      <sheetName val="OES1"/>
      <sheetName val="OES2"/>
      <sheetName val="OES3"/>
      <sheetName val="OES4"/>
      <sheetName val="OES5"/>
    </sheetNames>
    <sheetDataSet>
      <sheetData sheetId="0">
        <row r="1">
          <cell r="I1" t="str">
            <v>QUOTATION #</v>
          </cell>
        </row>
      </sheetData>
      <sheetData sheetId="1">
        <row r="1">
          <cell r="I1" t="str">
            <v>QUOTATION #</v>
          </cell>
        </row>
      </sheetData>
      <sheetData sheetId="2">
        <row r="1">
          <cell r="I1" t="str">
            <v>QUOTATION #</v>
          </cell>
        </row>
      </sheetData>
      <sheetData sheetId="3"/>
      <sheetData sheetId="4"/>
      <sheetData sheetId="5">
        <row r="1">
          <cell r="I1" t="str">
            <v>QUOTATION #</v>
          </cell>
        </row>
      </sheetData>
      <sheetData sheetId="6">
        <row r="1">
          <cell r="I1" t="str">
            <v>QUOTATION #</v>
          </cell>
        </row>
      </sheetData>
      <sheetData sheetId="7">
        <row r="1">
          <cell r="I1" t="str">
            <v>QUOTATION #</v>
          </cell>
        </row>
      </sheetData>
      <sheetData sheetId="8">
        <row r="1">
          <cell r="I1" t="str">
            <v>QUOTATION #</v>
          </cell>
        </row>
      </sheetData>
      <sheetData sheetId="9">
        <row r="1">
          <cell r="I1" t="str">
            <v>QUOTATION #</v>
          </cell>
          <cell r="J1" t="str">
            <v>13291-P</v>
          </cell>
        </row>
        <row r="3">
          <cell r="I3" t="str">
            <v>PAGE#</v>
          </cell>
          <cell r="J3" t="str">
            <v>1</v>
          </cell>
        </row>
        <row r="4">
          <cell r="I4" t="str">
            <v>OF</v>
          </cell>
          <cell r="J4">
            <v>2</v>
          </cell>
        </row>
        <row r="12">
          <cell r="B12" t="str">
            <v>1-877-652-5833  Toll Free   1-519-652-3795  Fax</v>
          </cell>
        </row>
        <row r="14">
          <cell r="A14" t="str">
            <v>TO</v>
          </cell>
          <cell r="B14" t="str">
            <v>ANC Sports Enterprises</v>
          </cell>
        </row>
        <row r="15">
          <cell r="B15" t="str">
            <v>2 Manhattville Road</v>
          </cell>
        </row>
        <row r="16">
          <cell r="B16" t="str">
            <v>Suite 200</v>
          </cell>
          <cell r="I16" t="str">
            <v>DATE</v>
          </cell>
          <cell r="J16">
            <v>39853</v>
          </cell>
        </row>
        <row r="17">
          <cell r="B17" t="str">
            <v>Purchase, NY</v>
          </cell>
        </row>
        <row r="18">
          <cell r="B18">
            <v>10577</v>
          </cell>
          <cell r="F18" t="str">
            <v>REFERENCE</v>
          </cell>
          <cell r="G18" t="str">
            <v>OES ISC85X Controller</v>
          </cell>
        </row>
        <row r="19">
          <cell r="G19" t="str">
            <v>See Thru Shot and Game clock</v>
          </cell>
        </row>
        <row r="20">
          <cell r="G20" t="str">
            <v>Locker room Clocks</v>
          </cell>
        </row>
        <row r="21">
          <cell r="B21" t="str">
            <v>ATTENTION</v>
          </cell>
          <cell r="C21" t="str">
            <v>Chris Mascatello  914-696-2100   ext 146</v>
          </cell>
          <cell r="G21" t="str">
            <v>Data Panel</v>
          </cell>
        </row>
        <row r="22">
          <cell r="C22" t="str">
            <v>Fax</v>
          </cell>
          <cell r="D22" t="str">
            <v xml:space="preserve">    703-997-0297</v>
          </cell>
        </row>
        <row r="24">
          <cell r="A24" t="str">
            <v>ITEM</v>
          </cell>
          <cell r="B24" t="str">
            <v>QUANTITY</v>
          </cell>
          <cell r="E24" t="str">
            <v>DESCRIPTION</v>
          </cell>
          <cell r="I24" t="str">
            <v>UNIT</v>
          </cell>
          <cell r="J24" t="str">
            <v>AMOUNT</v>
          </cell>
        </row>
        <row r="25">
          <cell r="I25" t="str">
            <v>US FUNDS</v>
          </cell>
          <cell r="J25" t="str">
            <v>US FUNDS</v>
          </cell>
        </row>
        <row r="27">
          <cell r="A27">
            <v>1</v>
          </cell>
          <cell r="B27">
            <v>3</v>
          </cell>
          <cell r="C27" t="str">
            <v xml:space="preserve">OES Intelligent Scoreboard Controller </v>
          </cell>
          <cell r="I27">
            <v>575</v>
          </cell>
          <cell r="J27">
            <v>1725</v>
          </cell>
        </row>
        <row r="28">
          <cell r="C28" t="str">
            <v xml:space="preserve"> - Membrane keypad with built in - tactile feedback</v>
          </cell>
        </row>
        <row r="29">
          <cell r="C29" t="str">
            <v xml:space="preserve"> - Quick connect communication port</v>
          </cell>
        </row>
        <row r="30">
          <cell r="C30" t="str">
            <v xml:space="preserve"> - Cable and switch box to reset play clocks and start and stop scoreboard</v>
          </cell>
        </row>
        <row r="32">
          <cell r="A32">
            <v>2</v>
          </cell>
          <cell r="B32">
            <v>2</v>
          </cell>
          <cell r="C32" t="str">
            <v>OES See Thru Shot and Game Clocks</v>
          </cell>
          <cell r="I32">
            <v>5400</v>
          </cell>
          <cell r="J32">
            <v>10800</v>
          </cell>
        </row>
        <row r="33">
          <cell r="C33" t="str">
            <v xml:space="preserve"> - Approx. dimensions: Large Game clock Digits Enclosure: 30" x 30" x 4" (D)</v>
          </cell>
        </row>
        <row r="34">
          <cell r="C34" t="str">
            <v xml:space="preserve"> - Large Game clock digits; 7" Amber  ( 88:88 )</v>
          </cell>
        </row>
        <row r="35">
          <cell r="C35" t="str">
            <v xml:space="preserve"> - Large Shot clock digits: 14" Red Shot clocks   ( 88 )</v>
          </cell>
        </row>
        <row r="37">
          <cell r="C37" t="str">
            <v xml:space="preserve"> - Approx. dimensions: Small Game clock Digits Enclosure: 22" x 22" x 3 1/2" (D)</v>
          </cell>
        </row>
        <row r="38">
          <cell r="C38" t="str">
            <v xml:space="preserve"> - Game clock digits are 6" Amber  ( 88:88 )</v>
          </cell>
        </row>
        <row r="39">
          <cell r="C39" t="str">
            <v xml:space="preserve"> - Shot Clock digits are 7" Red  ( 88 )</v>
          </cell>
        </row>
        <row r="41">
          <cell r="C41" t="str">
            <v>Controller Box mounted at bottom of Basketball Net Frame</v>
          </cell>
        </row>
        <row r="42">
          <cell r="C42" t="str">
            <v xml:space="preserve"> - Approx. 16" x 14" x 10" (D)</v>
          </cell>
        </row>
        <row r="43">
          <cell r="C43" t="str">
            <v xml:space="preserve"> - c/w Horn</v>
          </cell>
        </row>
        <row r="45">
          <cell r="A45">
            <v>3</v>
          </cell>
          <cell r="B45">
            <v>2</v>
          </cell>
          <cell r="C45" t="str">
            <v>Red LED Strip Lights for Back Boards</v>
          </cell>
          <cell r="I45">
            <v>995</v>
          </cell>
          <cell r="J45">
            <v>1990</v>
          </cell>
        </row>
        <row r="48">
          <cell r="A48">
            <v>4</v>
          </cell>
          <cell r="B48">
            <v>2</v>
          </cell>
          <cell r="C48" t="str">
            <v>Score Table Strip Lights</v>
          </cell>
          <cell r="I48">
            <v>1500</v>
          </cell>
          <cell r="J48">
            <v>1500</v>
          </cell>
        </row>
        <row r="51">
          <cell r="A51">
            <v>5</v>
          </cell>
          <cell r="B51">
            <v>6</v>
          </cell>
          <cell r="C51" t="str">
            <v>OES Locker room Clocks</v>
          </cell>
          <cell r="I51">
            <v>455</v>
          </cell>
          <cell r="J51">
            <v>2730</v>
          </cell>
        </row>
        <row r="52">
          <cell r="C52" t="str">
            <v xml:space="preserve"> - Approx. dimensions: 20" (W) x 8" (H) x 4" (D)</v>
          </cell>
        </row>
        <row r="53">
          <cell r="C53" t="str">
            <v xml:space="preserve"> - 4" Red LED digits</v>
          </cell>
        </row>
        <row r="54">
          <cell r="C54" t="str">
            <v xml:space="preserve"> - Wall mounting brackets</v>
          </cell>
        </row>
        <row r="56">
          <cell r="A56">
            <v>6</v>
          </cell>
          <cell r="B56">
            <v>1</v>
          </cell>
          <cell r="C56" t="str">
            <v>OES Data Distribution Module</v>
          </cell>
          <cell r="I56">
            <v>1800</v>
          </cell>
          <cell r="J56">
            <v>1800</v>
          </cell>
        </row>
        <row r="57">
          <cell r="C57" t="str">
            <v xml:space="preserve"> - Data Splitter for Basketball</v>
          </cell>
        </row>
        <row r="58">
          <cell r="C58" t="str">
            <v xml:space="preserve"> - Locker Room Clocks</v>
          </cell>
        </row>
        <row r="59">
          <cell r="C59" t="str">
            <v xml:space="preserve"> - ISC85X Controller</v>
          </cell>
        </row>
        <row r="61">
          <cell r="B61" t="str">
            <v>NOTE</v>
          </cell>
          <cell r="C61" t="str">
            <v xml:space="preserve"> - Prices quoted in US Funds</v>
          </cell>
        </row>
        <row r="62">
          <cell r="C62" t="str">
            <v xml:space="preserve"> - All OES supplied equipment is warranted for a period of 5 years</v>
          </cell>
        </row>
        <row r="63">
          <cell r="C63" t="str">
            <v xml:space="preserve">         - Includes all parts, labor FOB London</v>
          </cell>
        </row>
        <row r="64">
          <cell r="C64" t="str">
            <v xml:space="preserve"> - All OES replacement parts will not extend, in part or in whole,</v>
          </cell>
        </row>
        <row r="65">
          <cell r="C65" t="str">
            <v xml:space="preserve">            the warranty period</v>
          </cell>
        </row>
        <row r="66">
          <cell r="C66" t="str">
            <v xml:space="preserve"> - Shipping, duty and brokerage are extra</v>
          </cell>
        </row>
        <row r="67">
          <cell r="C67" t="str">
            <v xml:space="preserve"> - No taxes for items shipped to US.</v>
          </cell>
          <cell r="J67" t="str">
            <v>US FUNDS</v>
          </cell>
        </row>
        <row r="68">
          <cell r="I68" t="str">
            <v>TOTAL</v>
          </cell>
          <cell r="J68">
            <v>20545</v>
          </cell>
        </row>
        <row r="69">
          <cell r="C69" t="str">
            <v>THIS QUOTATION FIRM 30 DAYS, AND SUBJECT TO THE TERMS AND CONDITIONS</v>
          </cell>
        </row>
        <row r="70">
          <cell r="C70" t="str">
            <v>NOTED ABOVE INCLUDING THOSE ON THE REVERSE SIDE HEREOF.</v>
          </cell>
        </row>
        <row r="74">
          <cell r="A74" t="str">
            <v>FOB</v>
          </cell>
          <cell r="B74" t="str">
            <v>London, Ontario</v>
          </cell>
        </row>
        <row r="76">
          <cell r="A76" t="str">
            <v>ESTIMATED DELIVERY</v>
          </cell>
          <cell r="C76" t="str">
            <v>7 to 9 weeks</v>
          </cell>
          <cell r="E76" t="str">
            <v>IF PURCHASE ORDER RECEIVED BY</v>
          </cell>
          <cell r="H76" t="str">
            <v>TBD</v>
          </cell>
        </row>
        <row r="79">
          <cell r="G79" t="str">
            <v>OES, Inc.</v>
          </cell>
          <cell r="H79" t="str">
            <v>Bob Adair</v>
          </cell>
        </row>
        <row r="80">
          <cell r="G80" t="str">
            <v>PER:</v>
          </cell>
          <cell r="H80" t="str">
            <v>badair@oes-inc.com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S1"/>
      <sheetName val="S A.1.1"/>
      <sheetName val="S A.1.2"/>
      <sheetName val="S B.2.1"/>
      <sheetName val="S B.2.2"/>
      <sheetName val="ADD No. 1"/>
      <sheetName val="ADD No. 1 Courtside LED"/>
      <sheetName val="Cost Sheet SACO"/>
      <sheetName val="VSV"/>
      <sheetName val="SACO Install"/>
      <sheetName val="OES2"/>
      <sheetName val="OES3"/>
      <sheetName val="OES4"/>
      <sheetName val="OES5"/>
    </sheetNames>
    <sheetDataSet>
      <sheetData sheetId="0" refreshError="1">
        <row r="1">
          <cell r="I1" t="str">
            <v>QUOTATION #</v>
          </cell>
          <cell r="J1" t="str">
            <v>13291-P</v>
          </cell>
        </row>
        <row r="3">
          <cell r="I3" t="str">
            <v>PAGE#</v>
          </cell>
          <cell r="J3" t="str">
            <v>1</v>
          </cell>
        </row>
        <row r="4">
          <cell r="I4" t="str">
            <v>OF</v>
          </cell>
          <cell r="J4">
            <v>2</v>
          </cell>
        </row>
        <row r="12">
          <cell r="B12" t="str">
            <v>1-877-652-5833  Toll Free   1-519-652-3795  Fax</v>
          </cell>
        </row>
        <row r="14">
          <cell r="A14" t="str">
            <v>TO</v>
          </cell>
          <cell r="B14" t="str">
            <v>ANC Sports Enterprises</v>
          </cell>
        </row>
        <row r="15">
          <cell r="B15" t="str">
            <v>2 Manhattville Road</v>
          </cell>
        </row>
        <row r="16">
          <cell r="B16" t="str">
            <v>Suite 200</v>
          </cell>
          <cell r="I16" t="str">
            <v>DATE</v>
          </cell>
          <cell r="J16">
            <v>39853</v>
          </cell>
        </row>
        <row r="17">
          <cell r="B17" t="str">
            <v>Purchase, NY</v>
          </cell>
        </row>
        <row r="18">
          <cell r="B18">
            <v>10577</v>
          </cell>
          <cell r="F18" t="str">
            <v>REFERENCE</v>
          </cell>
          <cell r="G18" t="str">
            <v>OES ISC85X Controller</v>
          </cell>
        </row>
        <row r="19">
          <cell r="G19" t="str">
            <v>See Thru Shot and Game clock</v>
          </cell>
        </row>
        <row r="20">
          <cell r="G20" t="str">
            <v>Locker room Clocks</v>
          </cell>
        </row>
        <row r="21">
          <cell r="B21" t="str">
            <v>ATTENTION</v>
          </cell>
          <cell r="C21" t="str">
            <v>Chris Mascatello  914-696-2100   ext 146</v>
          </cell>
          <cell r="G21" t="str">
            <v>Data Panel</v>
          </cell>
        </row>
        <row r="22">
          <cell r="C22" t="str">
            <v>Fax</v>
          </cell>
          <cell r="D22" t="str">
            <v xml:space="preserve">    703-997-0297</v>
          </cell>
        </row>
        <row r="24">
          <cell r="A24" t="str">
            <v>ITEM</v>
          </cell>
          <cell r="B24" t="str">
            <v>QUANTITY</v>
          </cell>
          <cell r="E24" t="str">
            <v>DESCRIPTION</v>
          </cell>
          <cell r="I24" t="str">
            <v>UNIT</v>
          </cell>
          <cell r="J24" t="str">
            <v>AMOUNT</v>
          </cell>
        </row>
        <row r="25">
          <cell r="I25" t="str">
            <v>US FUNDS</v>
          </cell>
          <cell r="J25" t="str">
            <v>US FUNDS</v>
          </cell>
        </row>
        <row r="27">
          <cell r="A27">
            <v>1</v>
          </cell>
          <cell r="B27">
            <v>3</v>
          </cell>
          <cell r="C27" t="str">
            <v xml:space="preserve">OES Intelligent Scoreboard Controller </v>
          </cell>
          <cell r="I27">
            <v>575</v>
          </cell>
          <cell r="J27">
            <v>1725</v>
          </cell>
        </row>
        <row r="28">
          <cell r="C28" t="str">
            <v xml:space="preserve"> - Membrane keypad with built in - tactile feedback</v>
          </cell>
        </row>
        <row r="29">
          <cell r="C29" t="str">
            <v xml:space="preserve"> - Quick connect communication port</v>
          </cell>
        </row>
        <row r="30">
          <cell r="C30" t="str">
            <v xml:space="preserve"> - Cable and switch box to reset play clocks and start and stop scoreboard</v>
          </cell>
        </row>
        <row r="32">
          <cell r="A32">
            <v>2</v>
          </cell>
          <cell r="B32">
            <v>2</v>
          </cell>
          <cell r="C32" t="str">
            <v>OES See Thru Shot and Game Clocks</v>
          </cell>
          <cell r="I32">
            <v>5400</v>
          </cell>
          <cell r="J32">
            <v>10800</v>
          </cell>
        </row>
        <row r="33">
          <cell r="C33" t="str">
            <v xml:space="preserve"> - Approx. dimensions: Large Game clock Digits Enclosure: 30" x 30" x 4" (D)</v>
          </cell>
        </row>
        <row r="34">
          <cell r="C34" t="str">
            <v xml:space="preserve"> - Large Game clock digits; 7" Amber  ( 88:88 )</v>
          </cell>
        </row>
        <row r="35">
          <cell r="C35" t="str">
            <v xml:space="preserve"> - Large Shot clock digits: 14" Red Shot clocks   ( 88 )</v>
          </cell>
        </row>
        <row r="37">
          <cell r="C37" t="str">
            <v xml:space="preserve"> - Approx. dimensions: Small Game clock Digits Enclosure: 22" x 22" x 3 1/2" (D)</v>
          </cell>
        </row>
        <row r="38">
          <cell r="C38" t="str">
            <v xml:space="preserve"> - Game clock digits are 6" Amber  ( 88:88 )</v>
          </cell>
        </row>
        <row r="39">
          <cell r="C39" t="str">
            <v xml:space="preserve"> - Shot Clock digits are 7" Red  ( 88 )</v>
          </cell>
        </row>
        <row r="41">
          <cell r="C41" t="str">
            <v>Controller Box mounted at bottom of Basketball Net Frame</v>
          </cell>
        </row>
        <row r="42">
          <cell r="C42" t="str">
            <v xml:space="preserve"> - Approx. 16" x 14" x 10" (D)</v>
          </cell>
        </row>
        <row r="43">
          <cell r="C43" t="str">
            <v xml:space="preserve"> - c/w Horn</v>
          </cell>
        </row>
        <row r="45">
          <cell r="A45">
            <v>3</v>
          </cell>
          <cell r="B45">
            <v>2</v>
          </cell>
          <cell r="C45" t="str">
            <v>Red LED Strip Lights for Back Boards</v>
          </cell>
          <cell r="I45">
            <v>995</v>
          </cell>
          <cell r="J45">
            <v>1990</v>
          </cell>
        </row>
        <row r="48">
          <cell r="A48">
            <v>4</v>
          </cell>
          <cell r="B48">
            <v>2</v>
          </cell>
          <cell r="C48" t="str">
            <v>Score Table Strip Lights</v>
          </cell>
          <cell r="I48">
            <v>1500</v>
          </cell>
          <cell r="J48">
            <v>1500</v>
          </cell>
        </row>
        <row r="51">
          <cell r="A51">
            <v>5</v>
          </cell>
          <cell r="B51">
            <v>6</v>
          </cell>
          <cell r="C51" t="str">
            <v>OES Locker room Clocks</v>
          </cell>
          <cell r="I51">
            <v>455</v>
          </cell>
          <cell r="J51">
            <v>2730</v>
          </cell>
        </row>
        <row r="52">
          <cell r="C52" t="str">
            <v xml:space="preserve"> - Approx. dimensions: 20" (W) x 8" (H) x 4" (D)</v>
          </cell>
        </row>
        <row r="53">
          <cell r="C53" t="str">
            <v xml:space="preserve"> - 4" Red LED digits</v>
          </cell>
        </row>
        <row r="54">
          <cell r="C54" t="str">
            <v xml:space="preserve"> - Wall mounting brackets</v>
          </cell>
        </row>
        <row r="56">
          <cell r="A56">
            <v>6</v>
          </cell>
          <cell r="B56">
            <v>1</v>
          </cell>
          <cell r="C56" t="str">
            <v>OES Data Distribution Module</v>
          </cell>
          <cell r="I56">
            <v>1800</v>
          </cell>
          <cell r="J56">
            <v>1800</v>
          </cell>
        </row>
        <row r="57">
          <cell r="C57" t="str">
            <v xml:space="preserve"> - Data Splitter for Basketball</v>
          </cell>
        </row>
        <row r="58">
          <cell r="C58" t="str">
            <v xml:space="preserve"> - Locker Room Clocks</v>
          </cell>
        </row>
        <row r="59">
          <cell r="C59" t="str">
            <v xml:space="preserve"> - ISC85X Controller</v>
          </cell>
        </row>
        <row r="61">
          <cell r="B61" t="str">
            <v>NOTE</v>
          </cell>
          <cell r="C61" t="str">
            <v xml:space="preserve"> - Prices quoted in US Funds</v>
          </cell>
        </row>
        <row r="62">
          <cell r="C62" t="str">
            <v xml:space="preserve"> - All OES supplied equipment is warranted for a period of 5 years</v>
          </cell>
        </row>
        <row r="63">
          <cell r="C63" t="str">
            <v xml:space="preserve">         - Includes all parts, labor FOB London</v>
          </cell>
        </row>
        <row r="64">
          <cell r="C64" t="str">
            <v xml:space="preserve"> - All OES replacement parts will not extend, in part or in whole,</v>
          </cell>
        </row>
        <row r="65">
          <cell r="C65" t="str">
            <v xml:space="preserve">            the warranty period</v>
          </cell>
        </row>
        <row r="66">
          <cell r="C66" t="str">
            <v xml:space="preserve"> - Shipping, duty and brokerage are extra</v>
          </cell>
        </row>
        <row r="67">
          <cell r="C67" t="str">
            <v xml:space="preserve"> - No taxes for items shipped to US.</v>
          </cell>
          <cell r="J67" t="str">
            <v>US FUNDS</v>
          </cell>
        </row>
        <row r="68">
          <cell r="I68" t="str">
            <v>TOTAL</v>
          </cell>
          <cell r="J68">
            <v>20545</v>
          </cell>
        </row>
        <row r="69">
          <cell r="C69" t="str">
            <v>THIS QUOTATION FIRM 30 DAYS, AND SUBJECT TO THE TERMS AND CONDITIONS</v>
          </cell>
        </row>
        <row r="70">
          <cell r="C70" t="str">
            <v>NOTED ABOVE INCLUDING THOSE ON THE REVERSE SIDE HEREOF.</v>
          </cell>
        </row>
        <row r="74">
          <cell r="A74" t="str">
            <v>FOB</v>
          </cell>
          <cell r="B74" t="str">
            <v>London, Ontario</v>
          </cell>
        </row>
        <row r="76">
          <cell r="A76" t="str">
            <v>ESTIMATED DELIVERY</v>
          </cell>
          <cell r="C76" t="str">
            <v>7 to 9 weeks</v>
          </cell>
          <cell r="E76" t="str">
            <v>IF PURCHASE ORDER RECEIVED BY</v>
          </cell>
          <cell r="H76" t="str">
            <v>TBD</v>
          </cell>
        </row>
        <row r="79">
          <cell r="G79" t="str">
            <v>OES, Inc.</v>
          </cell>
          <cell r="H79" t="str">
            <v>Bob Adair</v>
          </cell>
        </row>
        <row r="80">
          <cell r="G80" t="str">
            <v>PER:</v>
          </cell>
          <cell r="H80" t="str">
            <v>badair@oes-inc.com</v>
          </cell>
        </row>
      </sheetData>
      <sheetData sheetId="1">
        <row r="1">
          <cell r="I1" t="str">
            <v>QUOTATION #</v>
          </cell>
        </row>
      </sheetData>
      <sheetData sheetId="2">
        <row r="1">
          <cell r="I1" t="str">
            <v>QUOTATION #</v>
          </cell>
        </row>
      </sheetData>
      <sheetData sheetId="3">
        <row r="1">
          <cell r="I1" t="str">
            <v>QUOTATION #</v>
          </cell>
        </row>
      </sheetData>
      <sheetData sheetId="4"/>
      <sheetData sheetId="5"/>
      <sheetData sheetId="6">
        <row r="1">
          <cell r="I1" t="str">
            <v>QUOTATION #</v>
          </cell>
        </row>
      </sheetData>
      <sheetData sheetId="7">
        <row r="1">
          <cell r="I1" t="str">
            <v>QUOTATION #</v>
          </cell>
        </row>
      </sheetData>
      <sheetData sheetId="8">
        <row r="1">
          <cell r="I1" t="str">
            <v>QUOTATION #</v>
          </cell>
        </row>
      </sheetData>
      <sheetData sheetId="9">
        <row r="1">
          <cell r="I1" t="str">
            <v>QUOTATION #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or"/>
      <sheetName val="VIDEO REPLAY "/>
      <sheetName val="Cost Sheet"/>
      <sheetName val="MARGIN ANALYSIS"/>
      <sheetName val="LED VIDEO DISPLAY"/>
      <sheetName val="LH Sizing"/>
      <sheetName val="LH Pricing"/>
      <sheetName val="Outdoor"/>
      <sheetName val="VSXL "/>
      <sheetName val="ANC - Install"/>
      <sheetName val="Travel (ANC)"/>
      <sheetName val="Cables and Panels (ANC)"/>
      <sheetName val="Evertz Rackmount Fiber"/>
    </sheetNames>
    <sheetDataSet>
      <sheetData sheetId="0" refreshError="1">
        <row r="4">
          <cell r="B4" t="str">
            <v>X4-B</v>
          </cell>
          <cell r="C4" t="str">
            <v>X4-W</v>
          </cell>
          <cell r="D4" t="str">
            <v>Pn6B-FA</v>
          </cell>
          <cell r="E4" t="str">
            <v>Pn6B</v>
          </cell>
          <cell r="F4" t="str">
            <v>X10-B</v>
          </cell>
          <cell r="G4" t="str">
            <v>X10-W</v>
          </cell>
          <cell r="H4" t="str">
            <v>X6-B</v>
          </cell>
          <cell r="I4" t="str">
            <v>X6-W</v>
          </cell>
          <cell r="J4" t="str">
            <v>X10-FA</v>
          </cell>
          <cell r="K4" t="str">
            <v>Pi16</v>
          </cell>
          <cell r="L4" t="str">
            <v>Pi20</v>
          </cell>
        </row>
        <row r="5">
          <cell r="B5">
            <v>4.4400000000000004</v>
          </cell>
          <cell r="C5">
            <v>4.4400000000000004</v>
          </cell>
          <cell r="D5">
            <v>6.67</v>
          </cell>
          <cell r="E5">
            <v>6.67</v>
          </cell>
          <cell r="F5">
            <v>10</v>
          </cell>
          <cell r="G5">
            <v>10</v>
          </cell>
          <cell r="H5">
            <v>6</v>
          </cell>
          <cell r="I5">
            <v>6</v>
          </cell>
          <cell r="J5">
            <v>10</v>
          </cell>
          <cell r="K5">
            <v>15.875</v>
          </cell>
          <cell r="L5">
            <v>20</v>
          </cell>
        </row>
        <row r="6">
          <cell r="B6" t="str">
            <v>Cree CLMVB</v>
          </cell>
          <cell r="C6" t="str">
            <v>Cree CLMVB</v>
          </cell>
          <cell r="D6" t="str">
            <v>Cree CLVBA</v>
          </cell>
          <cell r="E6" t="str">
            <v>Cree CLVBA</v>
          </cell>
          <cell r="F6" t="str">
            <v>Cree CLV1</v>
          </cell>
          <cell r="G6" t="str">
            <v>Cree CLV1</v>
          </cell>
          <cell r="H6" t="str">
            <v>Cree CLVBA</v>
          </cell>
          <cell r="I6" t="str">
            <v>Cree CLV1</v>
          </cell>
          <cell r="J6" t="str">
            <v>Cree CLV1</v>
          </cell>
          <cell r="K6" t="str">
            <v>Cree CLV1</v>
          </cell>
          <cell r="L6" t="str">
            <v>Cree CLV1</v>
          </cell>
        </row>
        <row r="7">
          <cell r="B7" t="str">
            <v>3-in-1 SMD</v>
          </cell>
          <cell r="C7" t="str">
            <v>3-in-1 SMD</v>
          </cell>
          <cell r="D7" t="str">
            <v>3-in-1 SMD</v>
          </cell>
          <cell r="E7" t="str">
            <v>3-in-1 SMD</v>
          </cell>
          <cell r="F7" t="str">
            <v>3-in-1 SMD</v>
          </cell>
          <cell r="G7" t="str">
            <v>3-in-1 SMD</v>
          </cell>
          <cell r="H7" t="str">
            <v>3-in-1 SMD</v>
          </cell>
          <cell r="I7" t="str">
            <v>3-in-1 SMD</v>
          </cell>
          <cell r="J7" t="str">
            <v>3-in-1 SMD</v>
          </cell>
          <cell r="K7" t="str">
            <v>3-in-1 SMD</v>
          </cell>
          <cell r="L7" t="str">
            <v>3-in-1 SMD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480</v>
          </cell>
          <cell r="C11">
            <v>480</v>
          </cell>
          <cell r="D11">
            <v>640</v>
          </cell>
          <cell r="E11">
            <v>640</v>
          </cell>
          <cell r="F11">
            <v>480</v>
          </cell>
          <cell r="G11">
            <v>480</v>
          </cell>
          <cell r="H11">
            <v>480</v>
          </cell>
          <cell r="I11">
            <v>480</v>
          </cell>
          <cell r="J11">
            <v>480</v>
          </cell>
          <cell r="K11">
            <v>1016</v>
          </cell>
          <cell r="L11">
            <v>1280</v>
          </cell>
        </row>
        <row r="12">
          <cell r="B12">
            <v>18.897637795275593</v>
          </cell>
          <cell r="C12">
            <v>18.897637795275593</v>
          </cell>
          <cell r="D12">
            <v>18.897637795275593</v>
          </cell>
          <cell r="E12">
            <v>18.897637795275593</v>
          </cell>
          <cell r="F12">
            <v>18.897637795275593</v>
          </cell>
          <cell r="G12">
            <v>18.897637795275593</v>
          </cell>
          <cell r="H12">
            <v>18.897637795275593</v>
          </cell>
          <cell r="I12">
            <v>18.897637795275593</v>
          </cell>
          <cell r="J12">
            <v>18.897637795275593</v>
          </cell>
          <cell r="K12">
            <v>40</v>
          </cell>
          <cell r="L12">
            <v>50.393700787401578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480</v>
          </cell>
          <cell r="C15">
            <v>480</v>
          </cell>
          <cell r="D15">
            <v>480</v>
          </cell>
          <cell r="E15">
            <v>480</v>
          </cell>
          <cell r="F15">
            <v>480</v>
          </cell>
          <cell r="G15">
            <v>480</v>
          </cell>
          <cell r="H15">
            <v>480</v>
          </cell>
          <cell r="I15">
            <v>480</v>
          </cell>
          <cell r="J15">
            <v>480</v>
          </cell>
          <cell r="K15">
            <v>762</v>
          </cell>
          <cell r="L15">
            <v>800</v>
          </cell>
        </row>
        <row r="16">
          <cell r="B16">
            <v>18.897637795275593</v>
          </cell>
          <cell r="C16">
            <v>18.897637795275593</v>
          </cell>
          <cell r="D16">
            <v>18.897637795275593</v>
          </cell>
          <cell r="E16">
            <v>18.897637795275593</v>
          </cell>
          <cell r="F16">
            <v>18.897637795275593</v>
          </cell>
          <cell r="G16">
            <v>18.897637795275593</v>
          </cell>
          <cell r="H16">
            <v>18.897637795275593</v>
          </cell>
          <cell r="I16">
            <v>18.897637795275593</v>
          </cell>
          <cell r="J16">
            <v>18.897637795275593</v>
          </cell>
          <cell r="K16">
            <v>30</v>
          </cell>
          <cell r="L16">
            <v>31.496062992125985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2.4800049600099205</v>
          </cell>
          <cell r="C19">
            <v>2.4800049600099205</v>
          </cell>
          <cell r="D19">
            <v>2.4800049600099205</v>
          </cell>
          <cell r="E19">
            <v>2.4800049600099205</v>
          </cell>
          <cell r="F19">
            <v>2.4800049600099205</v>
          </cell>
          <cell r="G19">
            <v>2.4800049600099205</v>
          </cell>
          <cell r="H19">
            <v>2.4800049600099205</v>
          </cell>
          <cell r="I19">
            <v>2.4800049600099205</v>
          </cell>
          <cell r="J19">
            <v>2.4800049600099205</v>
          </cell>
          <cell r="K19">
            <v>8.3333333333333339</v>
          </cell>
          <cell r="L19">
            <v>11.022244266710755</v>
          </cell>
        </row>
        <row r="20">
          <cell r="B20">
            <v>0.23039999999999997</v>
          </cell>
          <cell r="C20">
            <v>0.23039999999999997</v>
          </cell>
          <cell r="D20">
            <v>0.30719999999999997</v>
          </cell>
          <cell r="E20">
            <v>0.30719999999999997</v>
          </cell>
          <cell r="F20">
            <v>0.23039999999999997</v>
          </cell>
          <cell r="G20">
            <v>0.23039999999999997</v>
          </cell>
          <cell r="H20">
            <v>0.23039999999999997</v>
          </cell>
          <cell r="I20">
            <v>0.23039999999999997</v>
          </cell>
          <cell r="J20">
            <v>0.23039999999999997</v>
          </cell>
          <cell r="K20">
            <v>0.77419199999999999</v>
          </cell>
          <cell r="L20">
            <v>1.024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120</v>
          </cell>
          <cell r="C23">
            <v>120</v>
          </cell>
          <cell r="D23">
            <v>96</v>
          </cell>
          <cell r="E23">
            <v>96</v>
          </cell>
          <cell r="F23">
            <v>48</v>
          </cell>
          <cell r="G23">
            <v>48</v>
          </cell>
          <cell r="H23">
            <v>80</v>
          </cell>
          <cell r="I23">
            <v>80</v>
          </cell>
          <cell r="J23">
            <v>48</v>
          </cell>
          <cell r="K23">
            <v>64</v>
          </cell>
          <cell r="L23">
            <v>64</v>
          </cell>
        </row>
        <row r="24">
          <cell r="B24">
            <v>120</v>
          </cell>
          <cell r="C24">
            <v>120</v>
          </cell>
          <cell r="D24">
            <v>72</v>
          </cell>
          <cell r="E24">
            <v>72</v>
          </cell>
          <cell r="F24">
            <v>48</v>
          </cell>
          <cell r="G24">
            <v>48</v>
          </cell>
          <cell r="H24">
            <v>80</v>
          </cell>
          <cell r="I24">
            <v>80</v>
          </cell>
          <cell r="J24">
            <v>48</v>
          </cell>
          <cell r="K24">
            <v>48</v>
          </cell>
          <cell r="L24">
            <v>40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7.8</v>
          </cell>
          <cell r="C27">
            <v>7.8</v>
          </cell>
          <cell r="D27">
            <v>16.3</v>
          </cell>
          <cell r="E27">
            <v>15</v>
          </cell>
          <cell r="F27">
            <v>7.8</v>
          </cell>
          <cell r="G27">
            <v>7.8</v>
          </cell>
          <cell r="H27">
            <v>7.8</v>
          </cell>
          <cell r="I27">
            <v>7.8</v>
          </cell>
          <cell r="J27">
            <v>7.8</v>
          </cell>
          <cell r="K27">
            <v>31.5</v>
          </cell>
          <cell r="L27">
            <v>37.799999999999997</v>
          </cell>
        </row>
        <row r="28">
          <cell r="B28">
            <v>17.16</v>
          </cell>
          <cell r="C28">
            <v>17.16</v>
          </cell>
          <cell r="D28">
            <v>35.860000000000007</v>
          </cell>
          <cell r="E28">
            <v>33</v>
          </cell>
          <cell r="F28">
            <v>17.16</v>
          </cell>
          <cell r="G28">
            <v>17.16</v>
          </cell>
          <cell r="H28">
            <v>17.16</v>
          </cell>
          <cell r="I28">
            <v>17.16</v>
          </cell>
          <cell r="J28">
            <v>17.16</v>
          </cell>
          <cell r="K28">
            <v>69.300000000000011</v>
          </cell>
          <cell r="L28">
            <v>83.16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210</v>
          </cell>
          <cell r="C31">
            <v>210</v>
          </cell>
          <cell r="D31">
            <v>360</v>
          </cell>
          <cell r="E31">
            <v>360</v>
          </cell>
          <cell r="F31">
            <v>220</v>
          </cell>
          <cell r="G31">
            <v>220</v>
          </cell>
          <cell r="H31">
            <v>208</v>
          </cell>
          <cell r="I31">
            <v>208</v>
          </cell>
          <cell r="J31">
            <v>220</v>
          </cell>
          <cell r="K31">
            <v>370</v>
          </cell>
          <cell r="L31">
            <v>360</v>
          </cell>
        </row>
        <row r="32">
          <cell r="B32">
            <v>63</v>
          </cell>
          <cell r="C32">
            <v>63</v>
          </cell>
          <cell r="D32">
            <v>108</v>
          </cell>
          <cell r="E32">
            <v>108</v>
          </cell>
          <cell r="F32">
            <v>66</v>
          </cell>
          <cell r="G32">
            <v>66</v>
          </cell>
          <cell r="H32">
            <v>62.4</v>
          </cell>
          <cell r="I32">
            <v>62.4</v>
          </cell>
          <cell r="J32">
            <v>66</v>
          </cell>
          <cell r="K32">
            <v>111</v>
          </cell>
          <cell r="L32">
            <v>108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2</v>
          </cell>
          <cell r="C35">
            <v>2</v>
          </cell>
          <cell r="D35">
            <v>2</v>
          </cell>
          <cell r="E35">
            <v>2</v>
          </cell>
          <cell r="F35">
            <v>2</v>
          </cell>
          <cell r="G35">
            <v>2</v>
          </cell>
          <cell r="H35">
            <v>2</v>
          </cell>
          <cell r="I35">
            <v>2</v>
          </cell>
          <cell r="J35">
            <v>2</v>
          </cell>
          <cell r="K35">
            <v>4</v>
          </cell>
          <cell r="L35">
            <v>4</v>
          </cell>
        </row>
        <row r="36">
          <cell r="B36">
            <v>2</v>
          </cell>
          <cell r="C36">
            <v>2</v>
          </cell>
          <cell r="D36">
            <v>2</v>
          </cell>
          <cell r="E36">
            <v>2</v>
          </cell>
          <cell r="F36">
            <v>2</v>
          </cell>
          <cell r="G36">
            <v>2</v>
          </cell>
          <cell r="H36">
            <v>2</v>
          </cell>
          <cell r="I36">
            <v>2</v>
          </cell>
          <cell r="J36">
            <v>2</v>
          </cell>
          <cell r="K36">
            <v>6</v>
          </cell>
          <cell r="L36">
            <v>5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240</v>
          </cell>
          <cell r="C40">
            <v>240</v>
          </cell>
          <cell r="D40">
            <v>240</v>
          </cell>
          <cell r="E40">
            <v>240</v>
          </cell>
          <cell r="F40">
            <v>240</v>
          </cell>
          <cell r="G40">
            <v>240</v>
          </cell>
          <cell r="H40">
            <v>240</v>
          </cell>
          <cell r="I40">
            <v>240</v>
          </cell>
          <cell r="J40">
            <v>240</v>
          </cell>
          <cell r="K40">
            <v>254</v>
          </cell>
          <cell r="L40">
            <v>320</v>
          </cell>
        </row>
        <row r="41">
          <cell r="B41">
            <v>9.4488188976377963</v>
          </cell>
          <cell r="C41">
            <v>9.4488188976377963</v>
          </cell>
          <cell r="D41">
            <v>9.4488188976377963</v>
          </cell>
          <cell r="E41">
            <v>9.4488188976377963</v>
          </cell>
          <cell r="F41">
            <v>9.4488188976377963</v>
          </cell>
          <cell r="G41">
            <v>9.4488188976377963</v>
          </cell>
          <cell r="H41">
            <v>9.4488188976377963</v>
          </cell>
          <cell r="I41">
            <v>9.4488188976377963</v>
          </cell>
          <cell r="J41">
            <v>9.4488188976377963</v>
          </cell>
          <cell r="K41">
            <v>10</v>
          </cell>
          <cell r="L41">
            <v>12.598425196850394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240</v>
          </cell>
          <cell r="C44">
            <v>240</v>
          </cell>
          <cell r="D44">
            <v>240</v>
          </cell>
          <cell r="E44">
            <v>240</v>
          </cell>
          <cell r="F44">
            <v>240</v>
          </cell>
          <cell r="G44">
            <v>240</v>
          </cell>
          <cell r="H44">
            <v>240</v>
          </cell>
          <cell r="I44">
            <v>240</v>
          </cell>
          <cell r="J44">
            <v>240</v>
          </cell>
          <cell r="K44">
            <v>127</v>
          </cell>
          <cell r="L44">
            <v>160</v>
          </cell>
        </row>
        <row r="45">
          <cell r="B45">
            <v>9.4488188976377963</v>
          </cell>
          <cell r="C45">
            <v>9.4488188976377963</v>
          </cell>
          <cell r="D45">
            <v>9.4488188976377963</v>
          </cell>
          <cell r="E45">
            <v>9.4488188976377963</v>
          </cell>
          <cell r="F45">
            <v>9.4488188976377963</v>
          </cell>
          <cell r="G45">
            <v>9.4488188976377963</v>
          </cell>
          <cell r="H45">
            <v>9.4488188976377963</v>
          </cell>
          <cell r="I45">
            <v>9.4488188976377963</v>
          </cell>
          <cell r="J45">
            <v>9.4488188976377963</v>
          </cell>
          <cell r="K45">
            <v>5</v>
          </cell>
          <cell r="L45">
            <v>6.2992125984251972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60</v>
          </cell>
          <cell r="C48">
            <v>60</v>
          </cell>
          <cell r="D48">
            <v>32</v>
          </cell>
          <cell r="E48">
            <v>32</v>
          </cell>
          <cell r="F48">
            <v>24</v>
          </cell>
          <cell r="G48">
            <v>24</v>
          </cell>
          <cell r="H48">
            <v>40</v>
          </cell>
          <cell r="I48">
            <v>40</v>
          </cell>
          <cell r="J48">
            <v>24</v>
          </cell>
          <cell r="K48">
            <v>16</v>
          </cell>
          <cell r="L48">
            <v>16</v>
          </cell>
        </row>
        <row r="49">
          <cell r="B49">
            <v>60</v>
          </cell>
          <cell r="C49">
            <v>60</v>
          </cell>
          <cell r="D49">
            <v>24</v>
          </cell>
          <cell r="E49">
            <v>24</v>
          </cell>
          <cell r="F49">
            <v>24</v>
          </cell>
          <cell r="G49">
            <v>24</v>
          </cell>
          <cell r="H49">
            <v>40</v>
          </cell>
          <cell r="I49">
            <v>40</v>
          </cell>
          <cell r="J49">
            <v>24</v>
          </cell>
          <cell r="K49">
            <v>8</v>
          </cell>
          <cell r="L49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C Breakout"/>
      <sheetName val="MARGIN ANALYSIS"/>
      <sheetName val="Gomez 10mm"/>
      <sheetName val="Translux Quote"/>
      <sheetName val="ANC - Install "/>
      <sheetName val="AJP Matrix"/>
      <sheetName val="Cost Sheet"/>
      <sheetName val="LH Sizing"/>
      <sheetName val="LH Pricing"/>
      <sheetName val="LH Indoor"/>
      <sheetName val="LH Outdoor"/>
      <sheetName val="T-L Sizes"/>
      <sheetName val="VSV Summary"/>
      <sheetName val="OES Scoring"/>
      <sheetName val="Travel (ANC)"/>
      <sheetName val="Cables and Panels (ANC)"/>
      <sheetName val="ANC Resource Tracking"/>
      <sheetName val="Evertz Rackmount Fiber"/>
      <sheetName val="Broadcast Items"/>
      <sheetName val="Boise State Cost Sheet_FINAL CO"/>
      <sheetName val="Boise%20State%20Cost%20Sheet_F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6">
          <cell r="K26" t="str">
            <v>V-PRO</v>
          </cell>
          <cell r="L26">
            <v>1800</v>
          </cell>
        </row>
        <row r="27">
          <cell r="K27" t="str">
            <v>LIP-HDI</v>
          </cell>
          <cell r="L27">
            <v>4053</v>
          </cell>
        </row>
        <row r="28">
          <cell r="K28" t="str">
            <v>LCM-HDP</v>
          </cell>
          <cell r="L28">
            <v>7183</v>
          </cell>
        </row>
        <row r="32">
          <cell r="K32" t="str">
            <v>SPYDER X20 0808</v>
          </cell>
          <cell r="L32">
            <v>85000</v>
          </cell>
        </row>
        <row r="33">
          <cell r="K33" t="str">
            <v>SPYDER X20 1608</v>
          </cell>
          <cell r="L33">
            <v>105000</v>
          </cell>
        </row>
      </sheetData>
      <sheetData sheetId="9">
        <row r="4">
          <cell r="B4" t="str">
            <v>Pv4-B</v>
          </cell>
          <cell r="C4" t="str">
            <v>Pv4-W</v>
          </cell>
          <cell r="D4" t="str">
            <v>Pv4-ECO</v>
          </cell>
          <cell r="E4" t="str">
            <v>Pn6B-FA</v>
          </cell>
          <cell r="F4" t="str">
            <v>Pn6B</v>
          </cell>
          <cell r="G4" t="str">
            <v>Pv10-B</v>
          </cell>
          <cell r="H4" t="str">
            <v>Pv10-W</v>
          </cell>
          <cell r="I4" t="str">
            <v>Pv10-ECO</v>
          </cell>
          <cell r="J4" t="str">
            <v>Pv6-B</v>
          </cell>
          <cell r="K4" t="str">
            <v>Pv6-W</v>
          </cell>
          <cell r="L4" t="str">
            <v>Pv6-ECO</v>
          </cell>
          <cell r="M4" t="str">
            <v>X10-FA</v>
          </cell>
          <cell r="N4" t="str">
            <v>Fv16</v>
          </cell>
          <cell r="O4" t="str">
            <v>Fv20</v>
          </cell>
        </row>
        <row r="5">
          <cell r="B5">
            <v>4</v>
          </cell>
          <cell r="C5">
            <v>4</v>
          </cell>
          <cell r="D5">
            <v>4</v>
          </cell>
          <cell r="E5">
            <v>6.67</v>
          </cell>
          <cell r="F5">
            <v>6.67</v>
          </cell>
          <cell r="G5">
            <v>10</v>
          </cell>
          <cell r="H5">
            <v>10</v>
          </cell>
          <cell r="I5">
            <v>10</v>
          </cell>
          <cell r="J5">
            <v>6</v>
          </cell>
          <cell r="K5">
            <v>6</v>
          </cell>
          <cell r="L5">
            <v>6</v>
          </cell>
          <cell r="M5">
            <v>10</v>
          </cell>
          <cell r="N5">
            <v>15.875</v>
          </cell>
          <cell r="O5">
            <v>20</v>
          </cell>
        </row>
        <row r="6">
          <cell r="B6" t="str">
            <v>Cree CLMVB</v>
          </cell>
          <cell r="C6" t="str">
            <v>Cree CLMVB</v>
          </cell>
          <cell r="D6" t="str">
            <v>Multicolor</v>
          </cell>
          <cell r="E6" t="str">
            <v>Cree CLVBA</v>
          </cell>
          <cell r="F6" t="str">
            <v>Cree CLVBA</v>
          </cell>
          <cell r="G6" t="str">
            <v>Cree CLVBA</v>
          </cell>
          <cell r="H6" t="str">
            <v>Cree CLV1</v>
          </cell>
          <cell r="I6" t="str">
            <v>Multicolor</v>
          </cell>
          <cell r="J6" t="str">
            <v>Cree CLVBA</v>
          </cell>
          <cell r="K6" t="str">
            <v>Cree CLV1</v>
          </cell>
          <cell r="L6" t="str">
            <v>MultiColor</v>
          </cell>
          <cell r="M6" t="str">
            <v>Cree CLV1</v>
          </cell>
          <cell r="N6" t="str">
            <v>Cree CLV1</v>
          </cell>
          <cell r="O6" t="str">
            <v>Cree CLV1</v>
          </cell>
        </row>
        <row r="7">
          <cell r="B7" t="str">
            <v>3-in-1 SMD</v>
          </cell>
          <cell r="C7" t="str">
            <v>3-in-1 SMD</v>
          </cell>
          <cell r="D7" t="str">
            <v>3-in-1 SMD</v>
          </cell>
          <cell r="E7" t="str">
            <v>3-in-1 SMD</v>
          </cell>
          <cell r="F7" t="str">
            <v>3-in-1 SMD</v>
          </cell>
          <cell r="G7" t="str">
            <v>3-in-1 SMD</v>
          </cell>
          <cell r="H7" t="str">
            <v>3-in-1 SMD</v>
          </cell>
          <cell r="I7" t="str">
            <v>3-in-1 SMD</v>
          </cell>
          <cell r="J7" t="str">
            <v>3-in-1 SMD</v>
          </cell>
          <cell r="K7" t="str">
            <v>3-in-1 SMD</v>
          </cell>
          <cell r="L7" t="str">
            <v>3-in-1 SMD</v>
          </cell>
          <cell r="M7" t="str">
            <v>3-in-1 SMD</v>
          </cell>
          <cell r="N7" t="str">
            <v>3-in-1 SMD</v>
          </cell>
          <cell r="O7" t="str">
            <v>3-in-1 SMD</v>
          </cell>
        </row>
        <row r="11">
          <cell r="B11">
            <v>960</v>
          </cell>
          <cell r="C11">
            <v>960</v>
          </cell>
          <cell r="D11">
            <v>960</v>
          </cell>
          <cell r="E11">
            <v>640</v>
          </cell>
          <cell r="F11">
            <v>640</v>
          </cell>
          <cell r="G11">
            <v>960</v>
          </cell>
          <cell r="H11">
            <v>960</v>
          </cell>
          <cell r="I11">
            <v>960</v>
          </cell>
          <cell r="J11">
            <v>960</v>
          </cell>
          <cell r="K11">
            <v>960</v>
          </cell>
          <cell r="L11">
            <v>960</v>
          </cell>
          <cell r="M11">
            <v>1280</v>
          </cell>
          <cell r="N11">
            <v>1016</v>
          </cell>
          <cell r="O11">
            <v>1280</v>
          </cell>
        </row>
        <row r="12">
          <cell r="B12">
            <v>37.795275590551185</v>
          </cell>
          <cell r="C12">
            <v>37.795275590551185</v>
          </cell>
          <cell r="D12">
            <v>37.795275590551185</v>
          </cell>
          <cell r="E12">
            <v>25.196850393700789</v>
          </cell>
          <cell r="F12">
            <v>25.196850393700789</v>
          </cell>
          <cell r="G12">
            <v>37.795275590551185</v>
          </cell>
          <cell r="H12">
            <v>37.795275590551185</v>
          </cell>
          <cell r="I12">
            <v>37.795275590551185</v>
          </cell>
          <cell r="J12">
            <v>37.795275590551185</v>
          </cell>
          <cell r="K12">
            <v>37.795275590551185</v>
          </cell>
          <cell r="L12">
            <v>37.795275590551185</v>
          </cell>
          <cell r="M12">
            <v>50.393700787401578</v>
          </cell>
          <cell r="N12">
            <v>40</v>
          </cell>
          <cell r="O12">
            <v>50.393700787401578</v>
          </cell>
        </row>
        <row r="15">
          <cell r="B15">
            <v>960</v>
          </cell>
          <cell r="C15">
            <v>960</v>
          </cell>
          <cell r="D15">
            <v>960</v>
          </cell>
          <cell r="E15">
            <v>480</v>
          </cell>
          <cell r="F15">
            <v>480</v>
          </cell>
          <cell r="G15">
            <v>960</v>
          </cell>
          <cell r="H15">
            <v>960</v>
          </cell>
          <cell r="I15">
            <v>960</v>
          </cell>
          <cell r="J15">
            <v>960</v>
          </cell>
          <cell r="K15">
            <v>960</v>
          </cell>
          <cell r="L15">
            <v>960</v>
          </cell>
          <cell r="M15">
            <v>800</v>
          </cell>
          <cell r="N15">
            <v>762</v>
          </cell>
          <cell r="O15">
            <v>800</v>
          </cell>
        </row>
        <row r="16">
          <cell r="B16">
            <v>37.795275590551185</v>
          </cell>
          <cell r="C16">
            <v>37.795275590551185</v>
          </cell>
          <cell r="D16">
            <v>37.795275590551185</v>
          </cell>
          <cell r="E16">
            <v>18.897637795275593</v>
          </cell>
          <cell r="F16">
            <v>18.897637795275593</v>
          </cell>
          <cell r="G16">
            <v>37.795275590551185</v>
          </cell>
          <cell r="H16">
            <v>37.795275590551185</v>
          </cell>
          <cell r="I16">
            <v>37.795275590551185</v>
          </cell>
          <cell r="J16">
            <v>37.795275590551185</v>
          </cell>
          <cell r="K16">
            <v>37.795275590551185</v>
          </cell>
          <cell r="L16">
            <v>37.795275590551185</v>
          </cell>
          <cell r="M16">
            <v>31.496062992125985</v>
          </cell>
          <cell r="N16">
            <v>30</v>
          </cell>
          <cell r="O16">
            <v>31.496062992125985</v>
          </cell>
        </row>
        <row r="19">
          <cell r="B19">
            <v>9.9200198400396822</v>
          </cell>
          <cell r="C19">
            <v>9.9200198400396822</v>
          </cell>
          <cell r="D19">
            <v>9.9200198400396822</v>
          </cell>
          <cell r="E19">
            <v>9.9200198400396822</v>
          </cell>
          <cell r="F19">
            <v>9.9200198400396822</v>
          </cell>
          <cell r="G19">
            <v>9.9200198400396822</v>
          </cell>
          <cell r="H19">
            <v>9.9200198400396822</v>
          </cell>
          <cell r="I19">
            <v>9.9200198400396822</v>
          </cell>
          <cell r="J19">
            <v>9.9200198400396822</v>
          </cell>
          <cell r="K19">
            <v>9.9200198400396822</v>
          </cell>
          <cell r="L19">
            <v>9.9200198400396822</v>
          </cell>
          <cell r="M19">
            <v>11.022244266710755</v>
          </cell>
          <cell r="N19">
            <v>8.3333333333333339</v>
          </cell>
          <cell r="O19">
            <v>11.022244266710755</v>
          </cell>
        </row>
        <row r="20">
          <cell r="B20">
            <v>0.92159999999999986</v>
          </cell>
          <cell r="C20">
            <v>0.92159999999999986</v>
          </cell>
          <cell r="D20">
            <v>0.92159999999999986</v>
          </cell>
          <cell r="E20">
            <v>0.30719999999999997</v>
          </cell>
          <cell r="F20">
            <v>0.30719999999999997</v>
          </cell>
          <cell r="G20">
            <v>0.92159999999999986</v>
          </cell>
          <cell r="H20">
            <v>0.92159999999999986</v>
          </cell>
          <cell r="I20">
            <v>0.92159999999999986</v>
          </cell>
          <cell r="J20">
            <v>0.92159999999999986</v>
          </cell>
          <cell r="K20">
            <v>0.92159999999999986</v>
          </cell>
          <cell r="L20">
            <v>0.92159999999999986</v>
          </cell>
          <cell r="M20">
            <v>1.024</v>
          </cell>
          <cell r="N20">
            <v>0.77419199999999999</v>
          </cell>
          <cell r="O20">
            <v>1.024</v>
          </cell>
        </row>
        <row r="23">
          <cell r="B23">
            <v>240</v>
          </cell>
          <cell r="C23">
            <v>240</v>
          </cell>
          <cell r="D23">
            <v>240</v>
          </cell>
          <cell r="E23">
            <v>96</v>
          </cell>
          <cell r="F23">
            <v>96</v>
          </cell>
          <cell r="G23">
            <v>96</v>
          </cell>
          <cell r="H23">
            <v>96</v>
          </cell>
          <cell r="I23">
            <v>96</v>
          </cell>
          <cell r="J23">
            <v>160</v>
          </cell>
          <cell r="K23">
            <v>160</v>
          </cell>
          <cell r="L23">
            <v>160</v>
          </cell>
          <cell r="M23">
            <v>128</v>
          </cell>
          <cell r="N23">
            <v>64</v>
          </cell>
          <cell r="O23">
            <v>64</v>
          </cell>
        </row>
        <row r="24">
          <cell r="B24">
            <v>240</v>
          </cell>
          <cell r="C24">
            <v>240</v>
          </cell>
          <cell r="D24">
            <v>240</v>
          </cell>
          <cell r="E24">
            <v>72</v>
          </cell>
          <cell r="F24">
            <v>72</v>
          </cell>
          <cell r="G24">
            <v>96</v>
          </cell>
          <cell r="H24">
            <v>96</v>
          </cell>
          <cell r="I24">
            <v>96</v>
          </cell>
          <cell r="J24">
            <v>160</v>
          </cell>
          <cell r="K24">
            <v>160</v>
          </cell>
          <cell r="L24">
            <v>160</v>
          </cell>
          <cell r="M24">
            <v>80</v>
          </cell>
          <cell r="N24">
            <v>48</v>
          </cell>
          <cell r="O24">
            <v>40</v>
          </cell>
        </row>
        <row r="27">
          <cell r="B27">
            <v>30</v>
          </cell>
          <cell r="C27">
            <v>30</v>
          </cell>
          <cell r="D27">
            <v>30</v>
          </cell>
          <cell r="E27">
            <v>16.3</v>
          </cell>
          <cell r="F27">
            <v>15</v>
          </cell>
          <cell r="G27">
            <v>29.3</v>
          </cell>
          <cell r="H27">
            <v>29.3</v>
          </cell>
          <cell r="I27">
            <v>29.3</v>
          </cell>
          <cell r="J27">
            <v>29.3</v>
          </cell>
          <cell r="K27">
            <v>29.3</v>
          </cell>
          <cell r="L27">
            <v>29.3</v>
          </cell>
          <cell r="M27">
            <v>8.42</v>
          </cell>
          <cell r="N27">
            <v>32</v>
          </cell>
          <cell r="O27">
            <v>38</v>
          </cell>
        </row>
        <row r="28">
          <cell r="B28">
            <v>66</v>
          </cell>
          <cell r="C28">
            <v>66</v>
          </cell>
          <cell r="D28">
            <v>66</v>
          </cell>
          <cell r="E28">
            <v>35.860000000000007</v>
          </cell>
          <cell r="F28">
            <v>33</v>
          </cell>
          <cell r="G28">
            <v>64.460000000000008</v>
          </cell>
          <cell r="H28">
            <v>64.460000000000008</v>
          </cell>
          <cell r="I28">
            <v>64.460000000000008</v>
          </cell>
          <cell r="J28">
            <v>64.460000000000008</v>
          </cell>
          <cell r="K28">
            <v>64.460000000000008</v>
          </cell>
          <cell r="L28">
            <v>64.460000000000008</v>
          </cell>
          <cell r="M28">
            <v>18.524000000000001</v>
          </cell>
          <cell r="N28">
            <v>70.400000000000006</v>
          </cell>
          <cell r="O28">
            <v>83.600000000000009</v>
          </cell>
        </row>
        <row r="31">
          <cell r="B31">
            <v>600</v>
          </cell>
          <cell r="C31">
            <v>650</v>
          </cell>
          <cell r="D31">
            <v>600</v>
          </cell>
          <cell r="E31">
            <v>360</v>
          </cell>
          <cell r="F31">
            <v>360</v>
          </cell>
          <cell r="G31">
            <v>315</v>
          </cell>
          <cell r="H31">
            <v>315</v>
          </cell>
          <cell r="I31">
            <v>315</v>
          </cell>
          <cell r="J31">
            <v>685</v>
          </cell>
          <cell r="K31">
            <v>345</v>
          </cell>
          <cell r="L31">
            <v>345</v>
          </cell>
          <cell r="M31">
            <v>460</v>
          </cell>
          <cell r="N31">
            <v>300</v>
          </cell>
          <cell r="O31">
            <v>360</v>
          </cell>
        </row>
        <row r="32">
          <cell r="B32">
            <v>180</v>
          </cell>
          <cell r="C32">
            <v>180</v>
          </cell>
          <cell r="D32">
            <v>180</v>
          </cell>
          <cell r="E32">
            <v>108</v>
          </cell>
          <cell r="F32">
            <v>108</v>
          </cell>
          <cell r="G32">
            <v>94.5</v>
          </cell>
          <cell r="H32">
            <v>94.5</v>
          </cell>
          <cell r="I32">
            <v>94.5</v>
          </cell>
          <cell r="J32">
            <v>205.5</v>
          </cell>
          <cell r="K32">
            <v>103.5</v>
          </cell>
          <cell r="L32">
            <v>103.5</v>
          </cell>
          <cell r="M32">
            <v>138</v>
          </cell>
          <cell r="N32">
            <v>90</v>
          </cell>
          <cell r="O32">
            <v>108</v>
          </cell>
        </row>
        <row r="35">
          <cell r="B35">
            <v>4</v>
          </cell>
          <cell r="C35">
            <v>4</v>
          </cell>
          <cell r="D35">
            <v>4</v>
          </cell>
          <cell r="E35">
            <v>3</v>
          </cell>
          <cell r="F35">
            <v>3</v>
          </cell>
          <cell r="G35">
            <v>4</v>
          </cell>
          <cell r="H35">
            <v>4</v>
          </cell>
          <cell r="I35">
            <v>4</v>
          </cell>
          <cell r="J35">
            <v>4</v>
          </cell>
          <cell r="K35">
            <v>4</v>
          </cell>
          <cell r="L35">
            <v>4</v>
          </cell>
          <cell r="M35">
            <v>8</v>
          </cell>
          <cell r="N35">
            <v>4</v>
          </cell>
          <cell r="O35">
            <v>4</v>
          </cell>
        </row>
        <row r="36">
          <cell r="B36">
            <v>4</v>
          </cell>
          <cell r="C36">
            <v>4</v>
          </cell>
          <cell r="D36">
            <v>4</v>
          </cell>
          <cell r="E36">
            <v>3</v>
          </cell>
          <cell r="F36">
            <v>3</v>
          </cell>
          <cell r="G36">
            <v>4</v>
          </cell>
          <cell r="H36">
            <v>4</v>
          </cell>
          <cell r="I36">
            <v>4</v>
          </cell>
          <cell r="J36">
            <v>4</v>
          </cell>
          <cell r="K36">
            <v>4</v>
          </cell>
          <cell r="L36">
            <v>4</v>
          </cell>
          <cell r="M36">
            <v>5</v>
          </cell>
          <cell r="N36">
            <v>6</v>
          </cell>
          <cell r="O36">
            <v>5</v>
          </cell>
        </row>
        <row r="40">
          <cell r="B40">
            <v>240</v>
          </cell>
          <cell r="C40">
            <v>240</v>
          </cell>
          <cell r="D40">
            <v>240</v>
          </cell>
          <cell r="E40">
            <v>213.33</v>
          </cell>
          <cell r="F40">
            <v>213.33</v>
          </cell>
          <cell r="G40">
            <v>240</v>
          </cell>
          <cell r="H40">
            <v>240</v>
          </cell>
          <cell r="I40">
            <v>240</v>
          </cell>
          <cell r="J40">
            <v>240</v>
          </cell>
          <cell r="K40">
            <v>240</v>
          </cell>
          <cell r="L40">
            <v>240</v>
          </cell>
          <cell r="M40">
            <v>160</v>
          </cell>
          <cell r="N40">
            <v>254</v>
          </cell>
          <cell r="O40">
            <v>320</v>
          </cell>
        </row>
        <row r="41">
          <cell r="B41">
            <v>9.4488188976377963</v>
          </cell>
          <cell r="C41">
            <v>9.4488188976377963</v>
          </cell>
          <cell r="D41">
            <v>9.4488188976377963</v>
          </cell>
          <cell r="E41">
            <v>9.4488188976377963</v>
          </cell>
          <cell r="F41">
            <v>9.4488188976377963</v>
          </cell>
          <cell r="G41">
            <v>9.4488188976377963</v>
          </cell>
          <cell r="H41">
            <v>9.4488188976377963</v>
          </cell>
          <cell r="I41">
            <v>9.4488188976377963</v>
          </cell>
          <cell r="J41">
            <v>9.4488188976377963</v>
          </cell>
          <cell r="K41">
            <v>9.4488188976377963</v>
          </cell>
          <cell r="L41">
            <v>9.4488188976377963</v>
          </cell>
          <cell r="M41">
            <v>6.2992125984251972</v>
          </cell>
          <cell r="N41">
            <v>10</v>
          </cell>
          <cell r="O41">
            <v>12.598425196850394</v>
          </cell>
        </row>
        <row r="44">
          <cell r="B44">
            <v>240</v>
          </cell>
          <cell r="C44">
            <v>240</v>
          </cell>
          <cell r="D44">
            <v>240</v>
          </cell>
          <cell r="E44">
            <v>160</v>
          </cell>
          <cell r="F44">
            <v>160</v>
          </cell>
          <cell r="G44">
            <v>240</v>
          </cell>
          <cell r="H44">
            <v>240</v>
          </cell>
          <cell r="I44">
            <v>240</v>
          </cell>
          <cell r="J44">
            <v>240</v>
          </cell>
          <cell r="K44">
            <v>240</v>
          </cell>
          <cell r="L44">
            <v>240</v>
          </cell>
          <cell r="M44">
            <v>160</v>
          </cell>
          <cell r="N44">
            <v>127</v>
          </cell>
          <cell r="O44">
            <v>160</v>
          </cell>
        </row>
        <row r="45">
          <cell r="B45">
            <v>9.4488188976377963</v>
          </cell>
          <cell r="C45">
            <v>9.4488188976377963</v>
          </cell>
          <cell r="D45">
            <v>9.4488188976377963</v>
          </cell>
          <cell r="E45">
            <v>9.4488188976377963</v>
          </cell>
          <cell r="F45">
            <v>9.4488188976377963</v>
          </cell>
          <cell r="G45">
            <v>9.4488188976377963</v>
          </cell>
          <cell r="H45">
            <v>9.4488188976377963</v>
          </cell>
          <cell r="I45">
            <v>9.4488188976377963</v>
          </cell>
          <cell r="J45">
            <v>9.4488188976377963</v>
          </cell>
          <cell r="K45">
            <v>9.4488188976377963</v>
          </cell>
          <cell r="L45">
            <v>9.4488188976377963</v>
          </cell>
          <cell r="M45">
            <v>6.2992125984251972</v>
          </cell>
          <cell r="N45">
            <v>5</v>
          </cell>
          <cell r="O45">
            <v>6.2992125984251972</v>
          </cell>
        </row>
        <row r="48">
          <cell r="B48">
            <v>60</v>
          </cell>
          <cell r="C48">
            <v>60</v>
          </cell>
          <cell r="D48">
            <v>60</v>
          </cell>
          <cell r="E48">
            <v>32</v>
          </cell>
          <cell r="F48">
            <v>32</v>
          </cell>
          <cell r="G48">
            <v>24</v>
          </cell>
          <cell r="H48">
            <v>24</v>
          </cell>
          <cell r="I48">
            <v>24</v>
          </cell>
          <cell r="J48">
            <v>40</v>
          </cell>
          <cell r="K48">
            <v>40</v>
          </cell>
          <cell r="L48">
            <v>40</v>
          </cell>
          <cell r="M48">
            <v>16</v>
          </cell>
          <cell r="N48">
            <v>16</v>
          </cell>
          <cell r="O48">
            <v>16</v>
          </cell>
        </row>
        <row r="49">
          <cell r="B49">
            <v>60</v>
          </cell>
          <cell r="C49">
            <v>60</v>
          </cell>
          <cell r="D49">
            <v>60</v>
          </cell>
          <cell r="E49">
            <v>24</v>
          </cell>
          <cell r="F49">
            <v>24</v>
          </cell>
          <cell r="G49">
            <v>24</v>
          </cell>
          <cell r="H49">
            <v>24</v>
          </cell>
          <cell r="I49">
            <v>24</v>
          </cell>
          <cell r="J49">
            <v>40</v>
          </cell>
          <cell r="K49">
            <v>40</v>
          </cell>
          <cell r="L49">
            <v>40</v>
          </cell>
          <cell r="M49">
            <v>16</v>
          </cell>
          <cell r="N49">
            <v>8</v>
          </cell>
          <cell r="O49">
            <v>8</v>
          </cell>
        </row>
      </sheetData>
      <sheetData sheetId="10">
        <row r="4">
          <cell r="B4" t="str">
            <v>Impact 8</v>
          </cell>
          <cell r="C4" t="str">
            <v>Impact 10</v>
          </cell>
          <cell r="D4" t="str">
            <v>Impact 12</v>
          </cell>
          <cell r="E4" t="str">
            <v>Impact 16</v>
          </cell>
          <cell r="F4" t="str">
            <v>Impact 19</v>
          </cell>
          <cell r="G4" t="str">
            <v>Bn10-SMD</v>
          </cell>
          <cell r="H4" t="str">
            <v>Pi7-ER</v>
          </cell>
          <cell r="I4" t="str">
            <v>Pi10-ER</v>
          </cell>
          <cell r="J4" t="str">
            <v>Pi12-ER</v>
          </cell>
          <cell r="K4" t="str">
            <v>HD7</v>
          </cell>
          <cell r="L4" t="str">
            <v>HD10</v>
          </cell>
          <cell r="M4" t="str">
            <v>HD12</v>
          </cell>
          <cell r="N4" t="str">
            <v>Pv20-FRA</v>
          </cell>
          <cell r="O4" t="str">
            <v>PvC20-FRA</v>
          </cell>
          <cell r="P4" t="str">
            <v>Fv20T-FA</v>
          </cell>
          <cell r="Q4" t="str">
            <v>FvC20T-FA</v>
          </cell>
        </row>
        <row r="5">
          <cell r="B5">
            <v>8</v>
          </cell>
          <cell r="C5">
            <v>10</v>
          </cell>
          <cell r="D5">
            <v>12</v>
          </cell>
          <cell r="E5">
            <v>16</v>
          </cell>
          <cell r="F5">
            <v>19.2</v>
          </cell>
          <cell r="G5">
            <v>10</v>
          </cell>
          <cell r="H5">
            <v>7.9</v>
          </cell>
          <cell r="I5">
            <v>10</v>
          </cell>
          <cell r="J5">
            <v>12.5</v>
          </cell>
          <cell r="K5">
            <v>7.9</v>
          </cell>
          <cell r="L5">
            <v>10</v>
          </cell>
          <cell r="M5">
            <v>12.5</v>
          </cell>
          <cell r="N5">
            <v>20</v>
          </cell>
          <cell r="O5">
            <v>20</v>
          </cell>
          <cell r="P5">
            <v>20</v>
          </cell>
          <cell r="Q5">
            <v>20</v>
          </cell>
        </row>
        <row r="6">
          <cell r="B6" t="str">
            <v>Cree CLX6</v>
          </cell>
          <cell r="C6" t="str">
            <v>Cree CLX6</v>
          </cell>
          <cell r="D6" t="str">
            <v>Cree CLX6</v>
          </cell>
          <cell r="E6" t="str">
            <v>Cree CLV6</v>
          </cell>
          <cell r="F6" t="str">
            <v>Cree CLV6</v>
          </cell>
          <cell r="G6" t="str">
            <v>Cree CLX6</v>
          </cell>
          <cell r="H6" t="str">
            <v>Cree</v>
          </cell>
          <cell r="I6" t="str">
            <v>Cree</v>
          </cell>
          <cell r="J6" t="str">
            <v>Cree</v>
          </cell>
          <cell r="K6" t="str">
            <v>Chinese</v>
          </cell>
          <cell r="L6" t="str">
            <v>Chinese</v>
          </cell>
          <cell r="M6" t="str">
            <v>Chinese</v>
          </cell>
          <cell r="N6" t="str">
            <v>Cree 4SMK</v>
          </cell>
          <cell r="O6" t="str">
            <v>Chinese</v>
          </cell>
          <cell r="P6" t="str">
            <v>Cree 4SMK</v>
          </cell>
          <cell r="Q6" t="str">
            <v>Chinese</v>
          </cell>
        </row>
        <row r="7">
          <cell r="B7" t="str">
            <v>3-in-1 SMD</v>
          </cell>
          <cell r="C7" t="str">
            <v>3-in-1 SMD</v>
          </cell>
          <cell r="D7" t="str">
            <v>3-in-1 SMD</v>
          </cell>
          <cell r="E7" t="str">
            <v>3-in-1 SMD</v>
          </cell>
          <cell r="F7" t="str">
            <v>3-in-1 SMD</v>
          </cell>
          <cell r="G7" t="str">
            <v>3-in-1 SMD</v>
          </cell>
          <cell r="H7" t="str">
            <v>4-LED Virtual</v>
          </cell>
          <cell r="I7" t="str">
            <v>4-LED Virtual</v>
          </cell>
          <cell r="J7" t="str">
            <v>4-LED Virtual</v>
          </cell>
          <cell r="K7" t="str">
            <v>4-LED Virtual</v>
          </cell>
          <cell r="L7" t="str">
            <v>4-LED Virtual</v>
          </cell>
          <cell r="M7" t="str">
            <v>4-LED Virtual</v>
          </cell>
          <cell r="N7" t="str">
            <v>Lamp</v>
          </cell>
          <cell r="O7" t="str">
            <v>Lamp</v>
          </cell>
          <cell r="P7" t="str">
            <v>Lamp</v>
          </cell>
          <cell r="Q7" t="str">
            <v>Lamp</v>
          </cell>
        </row>
        <row r="11">
          <cell r="B11">
            <v>512</v>
          </cell>
          <cell r="C11">
            <v>640</v>
          </cell>
          <cell r="D11">
            <v>768</v>
          </cell>
          <cell r="E11">
            <v>768</v>
          </cell>
          <cell r="F11">
            <v>768</v>
          </cell>
          <cell r="G11">
            <v>1280</v>
          </cell>
          <cell r="H11">
            <v>512</v>
          </cell>
          <cell r="I11">
            <v>640</v>
          </cell>
          <cell r="J11">
            <v>1600</v>
          </cell>
          <cell r="K11">
            <v>512</v>
          </cell>
          <cell r="L11">
            <v>640</v>
          </cell>
          <cell r="M11">
            <v>768</v>
          </cell>
          <cell r="N11">
            <v>1280</v>
          </cell>
          <cell r="O11">
            <v>1280</v>
          </cell>
          <cell r="P11">
            <v>1280</v>
          </cell>
          <cell r="Q11">
            <v>1280</v>
          </cell>
        </row>
        <row r="12">
          <cell r="B12">
            <v>20.15748031496063</v>
          </cell>
          <cell r="C12">
            <v>25.196850393700789</v>
          </cell>
          <cell r="D12">
            <v>30.236220472440948</v>
          </cell>
          <cell r="E12">
            <v>30.236220472440948</v>
          </cell>
          <cell r="F12">
            <v>30.236220472440948</v>
          </cell>
          <cell r="G12">
            <v>50.393700787401578</v>
          </cell>
          <cell r="H12">
            <v>20.15748031496063</v>
          </cell>
          <cell r="I12">
            <v>25.196850393700789</v>
          </cell>
          <cell r="J12">
            <v>62.99212598425197</v>
          </cell>
          <cell r="K12">
            <v>20.15748031496063</v>
          </cell>
          <cell r="L12">
            <v>25.196850393700789</v>
          </cell>
          <cell r="M12">
            <v>30.236220472440948</v>
          </cell>
          <cell r="N12">
            <v>50.393700787401578</v>
          </cell>
          <cell r="O12">
            <v>50.393700787401578</v>
          </cell>
          <cell r="P12">
            <v>50.393700787401578</v>
          </cell>
          <cell r="Q12">
            <v>50.393700787401578</v>
          </cell>
        </row>
        <row r="15">
          <cell r="B15">
            <v>768</v>
          </cell>
          <cell r="C15">
            <v>960</v>
          </cell>
          <cell r="D15">
            <v>1152</v>
          </cell>
          <cell r="E15">
            <v>1152</v>
          </cell>
          <cell r="F15">
            <v>1152</v>
          </cell>
          <cell r="G15">
            <v>960</v>
          </cell>
          <cell r="H15">
            <v>768</v>
          </cell>
          <cell r="I15">
            <v>960</v>
          </cell>
          <cell r="J15">
            <v>1200</v>
          </cell>
          <cell r="K15">
            <v>768</v>
          </cell>
          <cell r="L15">
            <v>960</v>
          </cell>
          <cell r="M15">
            <v>1152</v>
          </cell>
          <cell r="N15">
            <v>960</v>
          </cell>
          <cell r="O15">
            <v>960</v>
          </cell>
          <cell r="P15">
            <v>960</v>
          </cell>
          <cell r="Q15">
            <v>960</v>
          </cell>
        </row>
        <row r="16">
          <cell r="B16">
            <v>30.236220472440948</v>
          </cell>
          <cell r="C16">
            <v>37.795275590551185</v>
          </cell>
          <cell r="D16">
            <v>45.354330708661422</v>
          </cell>
          <cell r="E16">
            <v>45.354330708661422</v>
          </cell>
          <cell r="F16">
            <v>45.354330708661422</v>
          </cell>
          <cell r="G16">
            <v>37.795275590551185</v>
          </cell>
          <cell r="H16">
            <v>30.236220472440948</v>
          </cell>
          <cell r="I16">
            <v>37.795275590551185</v>
          </cell>
          <cell r="J16">
            <v>47.244094488188978</v>
          </cell>
          <cell r="K16">
            <v>30.236220472440948</v>
          </cell>
          <cell r="L16">
            <v>37.795275590551185</v>
          </cell>
          <cell r="M16">
            <v>45.354330708661422</v>
          </cell>
          <cell r="N16">
            <v>37.795275590551185</v>
          </cell>
          <cell r="O16">
            <v>37.795275590551185</v>
          </cell>
          <cell r="P16">
            <v>37.795275590551185</v>
          </cell>
          <cell r="Q16">
            <v>37.795275590551185</v>
          </cell>
        </row>
        <row r="19">
          <cell r="B19">
            <v>4.2325417984169311</v>
          </cell>
          <cell r="C19">
            <v>6.6133465600264536</v>
          </cell>
          <cell r="D19">
            <v>9.5232190464380952</v>
          </cell>
          <cell r="E19">
            <v>9.5232190464380952</v>
          </cell>
          <cell r="F19">
            <v>9.5232190464380952</v>
          </cell>
          <cell r="G19">
            <v>13.226693120052907</v>
          </cell>
          <cell r="H19">
            <v>4.2325417984169311</v>
          </cell>
          <cell r="I19">
            <v>6.6133465600264536</v>
          </cell>
          <cell r="J19">
            <v>20.666708000082668</v>
          </cell>
          <cell r="K19">
            <v>4.2325417984169311</v>
          </cell>
          <cell r="L19">
            <v>6.6133465600264536</v>
          </cell>
          <cell r="M19">
            <v>9.5232190464380952</v>
          </cell>
          <cell r="N19">
            <v>13.226693120052907</v>
          </cell>
          <cell r="O19">
            <v>13.226693120052907</v>
          </cell>
          <cell r="P19">
            <v>13.226693120052907</v>
          </cell>
          <cell r="Q19">
            <v>13.226693120052907</v>
          </cell>
        </row>
        <row r="20">
          <cell r="B20">
            <v>0.39321600000000001</v>
          </cell>
          <cell r="C20">
            <v>0.61439999999999995</v>
          </cell>
          <cell r="D20">
            <v>0.88473599999999997</v>
          </cell>
          <cell r="E20">
            <v>0.88473599999999997</v>
          </cell>
          <cell r="F20">
            <v>0.88473599999999997</v>
          </cell>
          <cell r="G20">
            <v>1.2287999999999999</v>
          </cell>
          <cell r="H20">
            <v>0.39321600000000001</v>
          </cell>
          <cell r="I20">
            <v>0.61439999999999995</v>
          </cell>
          <cell r="J20">
            <v>1.92</v>
          </cell>
          <cell r="K20">
            <v>0.39321600000000001</v>
          </cell>
          <cell r="L20">
            <v>0.61439999999999995</v>
          </cell>
          <cell r="M20">
            <v>0.88473599999999997</v>
          </cell>
          <cell r="N20">
            <v>1.2287999999999999</v>
          </cell>
          <cell r="O20">
            <v>1.2287999999999999</v>
          </cell>
          <cell r="P20">
            <v>1.2287999999999999</v>
          </cell>
          <cell r="Q20">
            <v>1.2287999999999999</v>
          </cell>
        </row>
        <row r="23">
          <cell r="B23">
            <v>64</v>
          </cell>
          <cell r="C23">
            <v>64</v>
          </cell>
          <cell r="D23">
            <v>64</v>
          </cell>
          <cell r="E23">
            <v>48</v>
          </cell>
          <cell r="F23">
            <v>40</v>
          </cell>
          <cell r="G23">
            <v>128</v>
          </cell>
          <cell r="H23">
            <v>64</v>
          </cell>
          <cell r="I23">
            <v>64</v>
          </cell>
          <cell r="J23">
            <v>64</v>
          </cell>
          <cell r="K23">
            <v>64</v>
          </cell>
          <cell r="L23">
            <v>64</v>
          </cell>
          <cell r="M23">
            <v>64</v>
          </cell>
          <cell r="N23">
            <v>64</v>
          </cell>
          <cell r="O23">
            <v>64</v>
          </cell>
          <cell r="P23">
            <v>64</v>
          </cell>
          <cell r="Q23">
            <v>64</v>
          </cell>
        </row>
        <row r="24">
          <cell r="B24">
            <v>96</v>
          </cell>
          <cell r="C24">
            <v>96</v>
          </cell>
          <cell r="D24">
            <v>96</v>
          </cell>
          <cell r="E24">
            <v>72</v>
          </cell>
          <cell r="F24">
            <v>60</v>
          </cell>
          <cell r="G24">
            <v>96</v>
          </cell>
          <cell r="H24">
            <v>96</v>
          </cell>
          <cell r="I24">
            <v>96</v>
          </cell>
          <cell r="J24">
            <v>48</v>
          </cell>
          <cell r="K24">
            <v>96</v>
          </cell>
          <cell r="L24">
            <v>96</v>
          </cell>
          <cell r="M24">
            <v>96</v>
          </cell>
          <cell r="N24">
            <v>48</v>
          </cell>
          <cell r="O24">
            <v>48</v>
          </cell>
          <cell r="P24">
            <v>48</v>
          </cell>
          <cell r="Q24">
            <v>48</v>
          </cell>
        </row>
        <row r="27">
          <cell r="B27">
            <v>21</v>
          </cell>
          <cell r="C27">
            <v>34.200000000000003</v>
          </cell>
          <cell r="D27">
            <v>37.200000000000003</v>
          </cell>
          <cell r="E27">
            <v>35.299999999999997</v>
          </cell>
          <cell r="F27">
            <v>35.299999999999997</v>
          </cell>
          <cell r="G27">
            <v>55.3</v>
          </cell>
          <cell r="H27">
            <v>21</v>
          </cell>
          <cell r="I27">
            <v>34.200000000000003</v>
          </cell>
          <cell r="J27">
            <v>106</v>
          </cell>
          <cell r="K27">
            <v>21</v>
          </cell>
          <cell r="L27">
            <v>34.200000000000003</v>
          </cell>
          <cell r="M27">
            <v>37.200000000000003</v>
          </cell>
          <cell r="N27">
            <v>61</v>
          </cell>
          <cell r="O27">
            <v>55</v>
          </cell>
          <cell r="P27">
            <v>61</v>
          </cell>
          <cell r="Q27">
            <v>55</v>
          </cell>
        </row>
        <row r="28">
          <cell r="B28">
            <v>46.2</v>
          </cell>
          <cell r="C28">
            <v>75.240000000000009</v>
          </cell>
          <cell r="D28">
            <v>81.840000000000018</v>
          </cell>
          <cell r="E28">
            <v>77.66</v>
          </cell>
          <cell r="F28">
            <v>77.66</v>
          </cell>
          <cell r="G28">
            <v>121.66</v>
          </cell>
          <cell r="H28">
            <v>46.2</v>
          </cell>
          <cell r="I28">
            <v>75.240000000000009</v>
          </cell>
          <cell r="J28">
            <v>233.20000000000002</v>
          </cell>
          <cell r="K28">
            <v>46.2</v>
          </cell>
          <cell r="L28">
            <v>75.240000000000009</v>
          </cell>
          <cell r="M28">
            <v>81.840000000000018</v>
          </cell>
          <cell r="N28">
            <v>134.20000000000002</v>
          </cell>
          <cell r="O28">
            <v>121.00000000000001</v>
          </cell>
          <cell r="P28">
            <v>134.20000000000002</v>
          </cell>
          <cell r="Q28">
            <v>121.00000000000001</v>
          </cell>
        </row>
        <row r="31">
          <cell r="B31">
            <v>465</v>
          </cell>
          <cell r="C31">
            <v>570</v>
          </cell>
          <cell r="D31">
            <v>720</v>
          </cell>
          <cell r="E31">
            <v>600</v>
          </cell>
          <cell r="F31">
            <v>600</v>
          </cell>
          <cell r="G31">
            <v>1250</v>
          </cell>
          <cell r="H31">
            <v>465</v>
          </cell>
          <cell r="I31">
            <v>570</v>
          </cell>
          <cell r="J31">
            <v>680</v>
          </cell>
          <cell r="K31">
            <v>465</v>
          </cell>
          <cell r="L31">
            <v>570</v>
          </cell>
          <cell r="M31">
            <v>720</v>
          </cell>
          <cell r="N31">
            <v>560</v>
          </cell>
          <cell r="O31">
            <v>570</v>
          </cell>
          <cell r="P31">
            <v>560</v>
          </cell>
          <cell r="Q31">
            <v>570</v>
          </cell>
        </row>
        <row r="32">
          <cell r="B32">
            <v>139.5</v>
          </cell>
          <cell r="C32">
            <v>171</v>
          </cell>
          <cell r="D32">
            <v>216</v>
          </cell>
          <cell r="E32">
            <v>180</v>
          </cell>
          <cell r="F32">
            <v>180</v>
          </cell>
          <cell r="G32">
            <v>375</v>
          </cell>
          <cell r="H32">
            <v>139.5</v>
          </cell>
          <cell r="I32">
            <v>171</v>
          </cell>
          <cell r="J32">
            <v>204</v>
          </cell>
          <cell r="K32">
            <v>139.5</v>
          </cell>
          <cell r="L32">
            <v>171</v>
          </cell>
          <cell r="M32">
            <v>216</v>
          </cell>
          <cell r="N32">
            <v>168</v>
          </cell>
          <cell r="O32">
            <v>171</v>
          </cell>
          <cell r="P32">
            <v>168</v>
          </cell>
          <cell r="Q32">
            <v>171</v>
          </cell>
        </row>
        <row r="35">
          <cell r="B35">
            <v>2</v>
          </cell>
          <cell r="C35">
            <v>4</v>
          </cell>
          <cell r="D35">
            <v>4</v>
          </cell>
          <cell r="E35">
            <v>4</v>
          </cell>
          <cell r="F35">
            <v>4</v>
          </cell>
          <cell r="G35">
            <v>8</v>
          </cell>
          <cell r="H35">
            <v>2</v>
          </cell>
          <cell r="I35">
            <v>4</v>
          </cell>
          <cell r="J35">
            <v>4</v>
          </cell>
          <cell r="K35">
            <v>2</v>
          </cell>
          <cell r="L35">
            <v>4</v>
          </cell>
          <cell r="M35">
            <v>4</v>
          </cell>
          <cell r="N35">
            <v>4</v>
          </cell>
          <cell r="O35">
            <v>4</v>
          </cell>
          <cell r="P35">
            <v>4</v>
          </cell>
          <cell r="Q35">
            <v>4</v>
          </cell>
        </row>
        <row r="36">
          <cell r="B36">
            <v>3</v>
          </cell>
          <cell r="C36">
            <v>6</v>
          </cell>
          <cell r="D36">
            <v>6</v>
          </cell>
          <cell r="E36">
            <v>6</v>
          </cell>
          <cell r="F36">
            <v>6</v>
          </cell>
          <cell r="G36">
            <v>6</v>
          </cell>
          <cell r="H36">
            <v>3</v>
          </cell>
          <cell r="I36">
            <v>6</v>
          </cell>
          <cell r="J36">
            <v>3</v>
          </cell>
          <cell r="K36">
            <v>3</v>
          </cell>
          <cell r="L36">
            <v>6</v>
          </cell>
          <cell r="M36">
            <v>6</v>
          </cell>
          <cell r="N36">
            <v>3</v>
          </cell>
          <cell r="O36">
            <v>3</v>
          </cell>
          <cell r="P36">
            <v>3</v>
          </cell>
          <cell r="Q36">
            <v>3</v>
          </cell>
        </row>
        <row r="40">
          <cell r="B40">
            <v>256</v>
          </cell>
          <cell r="C40">
            <v>160</v>
          </cell>
          <cell r="D40">
            <v>192</v>
          </cell>
          <cell r="E40">
            <v>192</v>
          </cell>
          <cell r="F40">
            <v>192</v>
          </cell>
          <cell r="G40">
            <v>160</v>
          </cell>
          <cell r="H40">
            <v>256</v>
          </cell>
          <cell r="I40">
            <v>160</v>
          </cell>
          <cell r="J40">
            <v>400</v>
          </cell>
          <cell r="K40">
            <v>256</v>
          </cell>
          <cell r="L40">
            <v>160</v>
          </cell>
          <cell r="M40">
            <v>192</v>
          </cell>
          <cell r="N40">
            <v>320</v>
          </cell>
          <cell r="O40">
            <v>320</v>
          </cell>
          <cell r="P40">
            <v>320</v>
          </cell>
          <cell r="Q40">
            <v>320</v>
          </cell>
        </row>
        <row r="41">
          <cell r="B41">
            <v>10.078740157480315</v>
          </cell>
          <cell r="C41">
            <v>6.2992125984251972</v>
          </cell>
          <cell r="D41">
            <v>7.559055118110237</v>
          </cell>
          <cell r="E41">
            <v>7.559055118110237</v>
          </cell>
          <cell r="F41">
            <v>7.559055118110237</v>
          </cell>
          <cell r="G41">
            <v>6.2992125984251972</v>
          </cell>
          <cell r="H41">
            <v>10.078740157480315</v>
          </cell>
          <cell r="I41">
            <v>6.2992125984251972</v>
          </cell>
          <cell r="J41">
            <v>15.748031496062993</v>
          </cell>
          <cell r="K41">
            <v>10.078740157480315</v>
          </cell>
          <cell r="L41">
            <v>6.2992125984251972</v>
          </cell>
          <cell r="M41">
            <v>7.559055118110237</v>
          </cell>
          <cell r="N41">
            <v>12.598425196850394</v>
          </cell>
          <cell r="O41">
            <v>12.598425196850394</v>
          </cell>
          <cell r="P41">
            <v>12.598425196850394</v>
          </cell>
          <cell r="Q41">
            <v>12.598425196850394</v>
          </cell>
        </row>
        <row r="44">
          <cell r="B44">
            <v>256</v>
          </cell>
          <cell r="C44">
            <v>160</v>
          </cell>
          <cell r="D44">
            <v>192</v>
          </cell>
          <cell r="E44">
            <v>192</v>
          </cell>
          <cell r="F44">
            <v>192</v>
          </cell>
          <cell r="G44">
            <v>160</v>
          </cell>
          <cell r="H44">
            <v>256</v>
          </cell>
          <cell r="I44">
            <v>160</v>
          </cell>
          <cell r="J44">
            <v>400</v>
          </cell>
          <cell r="K44">
            <v>256</v>
          </cell>
          <cell r="L44">
            <v>160</v>
          </cell>
          <cell r="M44">
            <v>192</v>
          </cell>
          <cell r="N44">
            <v>320</v>
          </cell>
          <cell r="O44">
            <v>320</v>
          </cell>
          <cell r="P44">
            <v>320</v>
          </cell>
          <cell r="Q44">
            <v>320</v>
          </cell>
        </row>
        <row r="45">
          <cell r="B45">
            <v>10.078740157480315</v>
          </cell>
          <cell r="C45">
            <v>6.2992125984251972</v>
          </cell>
          <cell r="D45">
            <v>7.559055118110237</v>
          </cell>
          <cell r="E45">
            <v>7.559055118110237</v>
          </cell>
          <cell r="F45">
            <v>7.559055118110237</v>
          </cell>
          <cell r="G45">
            <v>6.2992125984251972</v>
          </cell>
          <cell r="H45">
            <v>10.078740157480315</v>
          </cell>
          <cell r="I45">
            <v>6.2992125984251972</v>
          </cell>
          <cell r="J45">
            <v>15.748031496062993</v>
          </cell>
          <cell r="K45">
            <v>10.078740157480315</v>
          </cell>
          <cell r="L45">
            <v>6.2992125984251972</v>
          </cell>
          <cell r="M45">
            <v>7.559055118110237</v>
          </cell>
          <cell r="N45">
            <v>12.598425196850394</v>
          </cell>
          <cell r="O45">
            <v>12.598425196850394</v>
          </cell>
          <cell r="P45">
            <v>12.598425196850394</v>
          </cell>
          <cell r="Q45">
            <v>12.598425196850394</v>
          </cell>
        </row>
        <row r="48">
          <cell r="B48">
            <v>32</v>
          </cell>
          <cell r="C48">
            <v>16</v>
          </cell>
          <cell r="D48">
            <v>16</v>
          </cell>
          <cell r="E48">
            <v>12</v>
          </cell>
          <cell r="F48">
            <v>10</v>
          </cell>
          <cell r="G48">
            <v>16</v>
          </cell>
          <cell r="H48">
            <v>32</v>
          </cell>
          <cell r="I48">
            <v>16</v>
          </cell>
          <cell r="J48">
            <v>16</v>
          </cell>
          <cell r="K48">
            <v>32</v>
          </cell>
          <cell r="L48">
            <v>16</v>
          </cell>
          <cell r="M48">
            <v>16</v>
          </cell>
          <cell r="N48">
            <v>16</v>
          </cell>
          <cell r="O48">
            <v>16</v>
          </cell>
          <cell r="P48">
            <v>16</v>
          </cell>
          <cell r="Q48">
            <v>16</v>
          </cell>
        </row>
        <row r="49">
          <cell r="B49">
            <v>32</v>
          </cell>
          <cell r="C49">
            <v>16</v>
          </cell>
          <cell r="D49">
            <v>16</v>
          </cell>
          <cell r="E49">
            <v>12</v>
          </cell>
          <cell r="F49">
            <v>10</v>
          </cell>
          <cell r="G49">
            <v>16</v>
          </cell>
          <cell r="H49">
            <v>32</v>
          </cell>
          <cell r="I49">
            <v>16</v>
          </cell>
          <cell r="J49">
            <v>16</v>
          </cell>
          <cell r="K49">
            <v>32</v>
          </cell>
          <cell r="L49">
            <v>16</v>
          </cell>
          <cell r="M49">
            <v>16</v>
          </cell>
          <cell r="N49">
            <v>16</v>
          </cell>
          <cell r="O49">
            <v>16</v>
          </cell>
          <cell r="P49">
            <v>16</v>
          </cell>
          <cell r="Q49">
            <v>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S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or"/>
      <sheetName val="Tampa RJS Cost Sheet 010813 - M"/>
      <sheetName val="Outdoor"/>
      <sheetName val="LH Pricing"/>
      <sheetName val="LH Sizing"/>
      <sheetName val="Tampa%20RJS%20Cost%20Sheet%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F2E6-1837-4F25-9059-A5DA0E8A5B31}">
  <dimension ref="A1:N75"/>
  <sheetViews>
    <sheetView tabSelected="1" workbookViewId="0">
      <selection activeCell="H16" sqref="H16"/>
    </sheetView>
  </sheetViews>
  <sheetFormatPr defaultRowHeight="12.5" x14ac:dyDescent="0.25"/>
  <cols>
    <col min="1" max="1" width="11.1796875" style="6" bestFit="1" customWidth="1"/>
    <col min="2" max="2" width="14.26953125" style="6" customWidth="1"/>
    <col min="3" max="3" width="11.81640625" style="6" customWidth="1"/>
    <col min="4" max="4" width="10.1796875" style="6" customWidth="1"/>
    <col min="5" max="5" width="19" style="6" customWidth="1"/>
    <col min="6" max="6" width="11.81640625" style="6" customWidth="1"/>
    <col min="7" max="7" width="11.81640625" style="6" bestFit="1" customWidth="1"/>
    <col min="8" max="8" width="13.26953125" style="6" customWidth="1"/>
    <col min="9" max="9" width="14.7265625" style="6" customWidth="1"/>
    <col min="10" max="11" width="8.7265625" style="6"/>
    <col min="12" max="12" width="21.54296875" style="6" customWidth="1"/>
    <col min="13" max="13" width="12.54296875" style="6" customWidth="1"/>
    <col min="14" max="14" width="11.7265625" style="6" customWidth="1"/>
    <col min="15" max="242" width="8.7265625" style="6"/>
    <col min="243" max="243" width="11.1796875" style="6" bestFit="1" customWidth="1"/>
    <col min="244" max="244" width="14.26953125" style="6" customWidth="1"/>
    <col min="245" max="245" width="11.81640625" style="6" customWidth="1"/>
    <col min="246" max="246" width="10.1796875" style="6" customWidth="1"/>
    <col min="247" max="247" width="19" style="6" customWidth="1"/>
    <col min="248" max="248" width="11.81640625" style="6" customWidth="1"/>
    <col min="249" max="249" width="13.81640625" style="6" customWidth="1"/>
    <col min="250" max="250" width="12.26953125" style="6" customWidth="1"/>
    <col min="251" max="251" width="12" style="6" customWidth="1"/>
    <col min="252" max="252" width="11.453125" style="6" customWidth="1"/>
    <col min="253" max="253" width="11.81640625" style="6" customWidth="1"/>
    <col min="254" max="254" width="10.81640625" style="6" customWidth="1"/>
    <col min="255" max="255" width="11.81640625" style="6" customWidth="1"/>
    <col min="256" max="256" width="11.26953125" style="6" customWidth="1"/>
    <col min="257" max="257" width="11.453125" style="6" customWidth="1"/>
    <col min="258" max="258" width="12.1796875" style="6" customWidth="1"/>
    <col min="259" max="259" width="10.81640625" style="6" bestFit="1" customWidth="1"/>
    <col min="260" max="260" width="12.453125" style="6" bestFit="1" customWidth="1"/>
    <col min="261" max="262" width="12.453125" style="6" customWidth="1"/>
    <col min="263" max="498" width="8.7265625" style="6"/>
    <col min="499" max="499" width="11.1796875" style="6" bestFit="1" customWidth="1"/>
    <col min="500" max="500" width="14.26953125" style="6" customWidth="1"/>
    <col min="501" max="501" width="11.81640625" style="6" customWidth="1"/>
    <col min="502" max="502" width="10.1796875" style="6" customWidth="1"/>
    <col min="503" max="503" width="19" style="6" customWidth="1"/>
    <col min="504" max="504" width="11.81640625" style="6" customWidth="1"/>
    <col min="505" max="505" width="13.81640625" style="6" customWidth="1"/>
    <col min="506" max="506" width="12.26953125" style="6" customWidth="1"/>
    <col min="507" max="507" width="12" style="6" customWidth="1"/>
    <col min="508" max="508" width="11.453125" style="6" customWidth="1"/>
    <col min="509" max="509" width="11.81640625" style="6" customWidth="1"/>
    <col min="510" max="510" width="10.81640625" style="6" customWidth="1"/>
    <col min="511" max="511" width="11.81640625" style="6" customWidth="1"/>
    <col min="512" max="512" width="11.26953125" style="6" customWidth="1"/>
    <col min="513" max="513" width="11.453125" style="6" customWidth="1"/>
    <col min="514" max="514" width="12.1796875" style="6" customWidth="1"/>
    <col min="515" max="515" width="10.81640625" style="6" bestFit="1" customWidth="1"/>
    <col min="516" max="516" width="12.453125" style="6" bestFit="1" customWidth="1"/>
    <col min="517" max="518" width="12.453125" style="6" customWidth="1"/>
    <col min="519" max="754" width="8.7265625" style="6"/>
    <col min="755" max="755" width="11.1796875" style="6" bestFit="1" customWidth="1"/>
    <col min="756" max="756" width="14.26953125" style="6" customWidth="1"/>
    <col min="757" max="757" width="11.81640625" style="6" customWidth="1"/>
    <col min="758" max="758" width="10.1796875" style="6" customWidth="1"/>
    <col min="759" max="759" width="19" style="6" customWidth="1"/>
    <col min="760" max="760" width="11.81640625" style="6" customWidth="1"/>
    <col min="761" max="761" width="13.81640625" style="6" customWidth="1"/>
    <col min="762" max="762" width="12.26953125" style="6" customWidth="1"/>
    <col min="763" max="763" width="12" style="6" customWidth="1"/>
    <col min="764" max="764" width="11.453125" style="6" customWidth="1"/>
    <col min="765" max="765" width="11.81640625" style="6" customWidth="1"/>
    <col min="766" max="766" width="10.81640625" style="6" customWidth="1"/>
    <col min="767" max="767" width="11.81640625" style="6" customWidth="1"/>
    <col min="768" max="768" width="11.26953125" style="6" customWidth="1"/>
    <col min="769" max="769" width="11.453125" style="6" customWidth="1"/>
    <col min="770" max="770" width="12.1796875" style="6" customWidth="1"/>
    <col min="771" max="771" width="10.81640625" style="6" bestFit="1" customWidth="1"/>
    <col min="772" max="772" width="12.453125" style="6" bestFit="1" customWidth="1"/>
    <col min="773" max="774" width="12.453125" style="6" customWidth="1"/>
    <col min="775" max="1010" width="8.7265625" style="6"/>
    <col min="1011" max="1011" width="11.1796875" style="6" bestFit="1" customWidth="1"/>
    <col min="1012" max="1012" width="14.26953125" style="6" customWidth="1"/>
    <col min="1013" max="1013" width="11.81640625" style="6" customWidth="1"/>
    <col min="1014" max="1014" width="10.1796875" style="6" customWidth="1"/>
    <col min="1015" max="1015" width="19" style="6" customWidth="1"/>
    <col min="1016" max="1016" width="11.81640625" style="6" customWidth="1"/>
    <col min="1017" max="1017" width="13.81640625" style="6" customWidth="1"/>
    <col min="1018" max="1018" width="12.26953125" style="6" customWidth="1"/>
    <col min="1019" max="1019" width="12" style="6" customWidth="1"/>
    <col min="1020" max="1020" width="11.453125" style="6" customWidth="1"/>
    <col min="1021" max="1021" width="11.81640625" style="6" customWidth="1"/>
    <col min="1022" max="1022" width="10.81640625" style="6" customWidth="1"/>
    <col min="1023" max="1023" width="11.81640625" style="6" customWidth="1"/>
    <col min="1024" max="1024" width="11.26953125" style="6" customWidth="1"/>
    <col min="1025" max="1025" width="11.453125" style="6" customWidth="1"/>
    <col min="1026" max="1026" width="12.1796875" style="6" customWidth="1"/>
    <col min="1027" max="1027" width="10.81640625" style="6" bestFit="1" customWidth="1"/>
    <col min="1028" max="1028" width="12.453125" style="6" bestFit="1" customWidth="1"/>
    <col min="1029" max="1030" width="12.453125" style="6" customWidth="1"/>
    <col min="1031" max="1266" width="8.7265625" style="6"/>
    <col min="1267" max="1267" width="11.1796875" style="6" bestFit="1" customWidth="1"/>
    <col min="1268" max="1268" width="14.26953125" style="6" customWidth="1"/>
    <col min="1269" max="1269" width="11.81640625" style="6" customWidth="1"/>
    <col min="1270" max="1270" width="10.1796875" style="6" customWidth="1"/>
    <col min="1271" max="1271" width="19" style="6" customWidth="1"/>
    <col min="1272" max="1272" width="11.81640625" style="6" customWidth="1"/>
    <col min="1273" max="1273" width="13.81640625" style="6" customWidth="1"/>
    <col min="1274" max="1274" width="12.26953125" style="6" customWidth="1"/>
    <col min="1275" max="1275" width="12" style="6" customWidth="1"/>
    <col min="1276" max="1276" width="11.453125" style="6" customWidth="1"/>
    <col min="1277" max="1277" width="11.81640625" style="6" customWidth="1"/>
    <col min="1278" max="1278" width="10.81640625" style="6" customWidth="1"/>
    <col min="1279" max="1279" width="11.81640625" style="6" customWidth="1"/>
    <col min="1280" max="1280" width="11.26953125" style="6" customWidth="1"/>
    <col min="1281" max="1281" width="11.453125" style="6" customWidth="1"/>
    <col min="1282" max="1282" width="12.1796875" style="6" customWidth="1"/>
    <col min="1283" max="1283" width="10.81640625" style="6" bestFit="1" customWidth="1"/>
    <col min="1284" max="1284" width="12.453125" style="6" bestFit="1" customWidth="1"/>
    <col min="1285" max="1286" width="12.453125" style="6" customWidth="1"/>
    <col min="1287" max="1522" width="8.7265625" style="6"/>
    <col min="1523" max="1523" width="11.1796875" style="6" bestFit="1" customWidth="1"/>
    <col min="1524" max="1524" width="14.26953125" style="6" customWidth="1"/>
    <col min="1525" max="1525" width="11.81640625" style="6" customWidth="1"/>
    <col min="1526" max="1526" width="10.1796875" style="6" customWidth="1"/>
    <col min="1527" max="1527" width="19" style="6" customWidth="1"/>
    <col min="1528" max="1528" width="11.81640625" style="6" customWidth="1"/>
    <col min="1529" max="1529" width="13.81640625" style="6" customWidth="1"/>
    <col min="1530" max="1530" width="12.26953125" style="6" customWidth="1"/>
    <col min="1531" max="1531" width="12" style="6" customWidth="1"/>
    <col min="1532" max="1532" width="11.453125" style="6" customWidth="1"/>
    <col min="1533" max="1533" width="11.81640625" style="6" customWidth="1"/>
    <col min="1534" max="1534" width="10.81640625" style="6" customWidth="1"/>
    <col min="1535" max="1535" width="11.81640625" style="6" customWidth="1"/>
    <col min="1536" max="1536" width="11.26953125" style="6" customWidth="1"/>
    <col min="1537" max="1537" width="11.453125" style="6" customWidth="1"/>
    <col min="1538" max="1538" width="12.1796875" style="6" customWidth="1"/>
    <col min="1539" max="1539" width="10.81640625" style="6" bestFit="1" customWidth="1"/>
    <col min="1540" max="1540" width="12.453125" style="6" bestFit="1" customWidth="1"/>
    <col min="1541" max="1542" width="12.453125" style="6" customWidth="1"/>
    <col min="1543" max="1778" width="8.7265625" style="6"/>
    <col min="1779" max="1779" width="11.1796875" style="6" bestFit="1" customWidth="1"/>
    <col min="1780" max="1780" width="14.26953125" style="6" customWidth="1"/>
    <col min="1781" max="1781" width="11.81640625" style="6" customWidth="1"/>
    <col min="1782" max="1782" width="10.1796875" style="6" customWidth="1"/>
    <col min="1783" max="1783" width="19" style="6" customWidth="1"/>
    <col min="1784" max="1784" width="11.81640625" style="6" customWidth="1"/>
    <col min="1785" max="1785" width="13.81640625" style="6" customWidth="1"/>
    <col min="1786" max="1786" width="12.26953125" style="6" customWidth="1"/>
    <col min="1787" max="1787" width="12" style="6" customWidth="1"/>
    <col min="1788" max="1788" width="11.453125" style="6" customWidth="1"/>
    <col min="1789" max="1789" width="11.81640625" style="6" customWidth="1"/>
    <col min="1790" max="1790" width="10.81640625" style="6" customWidth="1"/>
    <col min="1791" max="1791" width="11.81640625" style="6" customWidth="1"/>
    <col min="1792" max="1792" width="11.26953125" style="6" customWidth="1"/>
    <col min="1793" max="1793" width="11.453125" style="6" customWidth="1"/>
    <col min="1794" max="1794" width="12.1796875" style="6" customWidth="1"/>
    <col min="1795" max="1795" width="10.81640625" style="6" bestFit="1" customWidth="1"/>
    <col min="1796" max="1796" width="12.453125" style="6" bestFit="1" customWidth="1"/>
    <col min="1797" max="1798" width="12.453125" style="6" customWidth="1"/>
    <col min="1799" max="2034" width="8.7265625" style="6"/>
    <col min="2035" max="2035" width="11.1796875" style="6" bestFit="1" customWidth="1"/>
    <col min="2036" max="2036" width="14.26953125" style="6" customWidth="1"/>
    <col min="2037" max="2037" width="11.81640625" style="6" customWidth="1"/>
    <col min="2038" max="2038" width="10.1796875" style="6" customWidth="1"/>
    <col min="2039" max="2039" width="19" style="6" customWidth="1"/>
    <col min="2040" max="2040" width="11.81640625" style="6" customWidth="1"/>
    <col min="2041" max="2041" width="13.81640625" style="6" customWidth="1"/>
    <col min="2042" max="2042" width="12.26953125" style="6" customWidth="1"/>
    <col min="2043" max="2043" width="12" style="6" customWidth="1"/>
    <col min="2044" max="2044" width="11.453125" style="6" customWidth="1"/>
    <col min="2045" max="2045" width="11.81640625" style="6" customWidth="1"/>
    <col min="2046" max="2046" width="10.81640625" style="6" customWidth="1"/>
    <col min="2047" max="2047" width="11.81640625" style="6" customWidth="1"/>
    <col min="2048" max="2048" width="11.26953125" style="6" customWidth="1"/>
    <col min="2049" max="2049" width="11.453125" style="6" customWidth="1"/>
    <col min="2050" max="2050" width="12.1796875" style="6" customWidth="1"/>
    <col min="2051" max="2051" width="10.81640625" style="6" bestFit="1" customWidth="1"/>
    <col min="2052" max="2052" width="12.453125" style="6" bestFit="1" customWidth="1"/>
    <col min="2053" max="2054" width="12.453125" style="6" customWidth="1"/>
    <col min="2055" max="2290" width="8.7265625" style="6"/>
    <col min="2291" max="2291" width="11.1796875" style="6" bestFit="1" customWidth="1"/>
    <col min="2292" max="2292" width="14.26953125" style="6" customWidth="1"/>
    <col min="2293" max="2293" width="11.81640625" style="6" customWidth="1"/>
    <col min="2294" max="2294" width="10.1796875" style="6" customWidth="1"/>
    <col min="2295" max="2295" width="19" style="6" customWidth="1"/>
    <col min="2296" max="2296" width="11.81640625" style="6" customWidth="1"/>
    <col min="2297" max="2297" width="13.81640625" style="6" customWidth="1"/>
    <col min="2298" max="2298" width="12.26953125" style="6" customWidth="1"/>
    <col min="2299" max="2299" width="12" style="6" customWidth="1"/>
    <col min="2300" max="2300" width="11.453125" style="6" customWidth="1"/>
    <col min="2301" max="2301" width="11.81640625" style="6" customWidth="1"/>
    <col min="2302" max="2302" width="10.81640625" style="6" customWidth="1"/>
    <col min="2303" max="2303" width="11.81640625" style="6" customWidth="1"/>
    <col min="2304" max="2304" width="11.26953125" style="6" customWidth="1"/>
    <col min="2305" max="2305" width="11.453125" style="6" customWidth="1"/>
    <col min="2306" max="2306" width="12.1796875" style="6" customWidth="1"/>
    <col min="2307" max="2307" width="10.81640625" style="6" bestFit="1" customWidth="1"/>
    <col min="2308" max="2308" width="12.453125" style="6" bestFit="1" customWidth="1"/>
    <col min="2309" max="2310" width="12.453125" style="6" customWidth="1"/>
    <col min="2311" max="2546" width="8.7265625" style="6"/>
    <col min="2547" max="2547" width="11.1796875" style="6" bestFit="1" customWidth="1"/>
    <col min="2548" max="2548" width="14.26953125" style="6" customWidth="1"/>
    <col min="2549" max="2549" width="11.81640625" style="6" customWidth="1"/>
    <col min="2550" max="2550" width="10.1796875" style="6" customWidth="1"/>
    <col min="2551" max="2551" width="19" style="6" customWidth="1"/>
    <col min="2552" max="2552" width="11.81640625" style="6" customWidth="1"/>
    <col min="2553" max="2553" width="13.81640625" style="6" customWidth="1"/>
    <col min="2554" max="2554" width="12.26953125" style="6" customWidth="1"/>
    <col min="2555" max="2555" width="12" style="6" customWidth="1"/>
    <col min="2556" max="2556" width="11.453125" style="6" customWidth="1"/>
    <col min="2557" max="2557" width="11.81640625" style="6" customWidth="1"/>
    <col min="2558" max="2558" width="10.81640625" style="6" customWidth="1"/>
    <col min="2559" max="2559" width="11.81640625" style="6" customWidth="1"/>
    <col min="2560" max="2560" width="11.26953125" style="6" customWidth="1"/>
    <col min="2561" max="2561" width="11.453125" style="6" customWidth="1"/>
    <col min="2562" max="2562" width="12.1796875" style="6" customWidth="1"/>
    <col min="2563" max="2563" width="10.81640625" style="6" bestFit="1" customWidth="1"/>
    <col min="2564" max="2564" width="12.453125" style="6" bestFit="1" customWidth="1"/>
    <col min="2565" max="2566" width="12.453125" style="6" customWidth="1"/>
    <col min="2567" max="2802" width="8.7265625" style="6"/>
    <col min="2803" max="2803" width="11.1796875" style="6" bestFit="1" customWidth="1"/>
    <col min="2804" max="2804" width="14.26953125" style="6" customWidth="1"/>
    <col min="2805" max="2805" width="11.81640625" style="6" customWidth="1"/>
    <col min="2806" max="2806" width="10.1796875" style="6" customWidth="1"/>
    <col min="2807" max="2807" width="19" style="6" customWidth="1"/>
    <col min="2808" max="2808" width="11.81640625" style="6" customWidth="1"/>
    <col min="2809" max="2809" width="13.81640625" style="6" customWidth="1"/>
    <col min="2810" max="2810" width="12.26953125" style="6" customWidth="1"/>
    <col min="2811" max="2811" width="12" style="6" customWidth="1"/>
    <col min="2812" max="2812" width="11.453125" style="6" customWidth="1"/>
    <col min="2813" max="2813" width="11.81640625" style="6" customWidth="1"/>
    <col min="2814" max="2814" width="10.81640625" style="6" customWidth="1"/>
    <col min="2815" max="2815" width="11.81640625" style="6" customWidth="1"/>
    <col min="2816" max="2816" width="11.26953125" style="6" customWidth="1"/>
    <col min="2817" max="2817" width="11.453125" style="6" customWidth="1"/>
    <col min="2818" max="2818" width="12.1796875" style="6" customWidth="1"/>
    <col min="2819" max="2819" width="10.81640625" style="6" bestFit="1" customWidth="1"/>
    <col min="2820" max="2820" width="12.453125" style="6" bestFit="1" customWidth="1"/>
    <col min="2821" max="2822" width="12.453125" style="6" customWidth="1"/>
    <col min="2823" max="3058" width="8.7265625" style="6"/>
    <col min="3059" max="3059" width="11.1796875" style="6" bestFit="1" customWidth="1"/>
    <col min="3060" max="3060" width="14.26953125" style="6" customWidth="1"/>
    <col min="3061" max="3061" width="11.81640625" style="6" customWidth="1"/>
    <col min="3062" max="3062" width="10.1796875" style="6" customWidth="1"/>
    <col min="3063" max="3063" width="19" style="6" customWidth="1"/>
    <col min="3064" max="3064" width="11.81640625" style="6" customWidth="1"/>
    <col min="3065" max="3065" width="13.81640625" style="6" customWidth="1"/>
    <col min="3066" max="3066" width="12.26953125" style="6" customWidth="1"/>
    <col min="3067" max="3067" width="12" style="6" customWidth="1"/>
    <col min="3068" max="3068" width="11.453125" style="6" customWidth="1"/>
    <col min="3069" max="3069" width="11.81640625" style="6" customWidth="1"/>
    <col min="3070" max="3070" width="10.81640625" style="6" customWidth="1"/>
    <col min="3071" max="3071" width="11.81640625" style="6" customWidth="1"/>
    <col min="3072" max="3072" width="11.26953125" style="6" customWidth="1"/>
    <col min="3073" max="3073" width="11.453125" style="6" customWidth="1"/>
    <col min="3074" max="3074" width="12.1796875" style="6" customWidth="1"/>
    <col min="3075" max="3075" width="10.81640625" style="6" bestFit="1" customWidth="1"/>
    <col min="3076" max="3076" width="12.453125" style="6" bestFit="1" customWidth="1"/>
    <col min="3077" max="3078" width="12.453125" style="6" customWidth="1"/>
    <col min="3079" max="3314" width="8.7265625" style="6"/>
    <col min="3315" max="3315" width="11.1796875" style="6" bestFit="1" customWidth="1"/>
    <col min="3316" max="3316" width="14.26953125" style="6" customWidth="1"/>
    <col min="3317" max="3317" width="11.81640625" style="6" customWidth="1"/>
    <col min="3318" max="3318" width="10.1796875" style="6" customWidth="1"/>
    <col min="3319" max="3319" width="19" style="6" customWidth="1"/>
    <col min="3320" max="3320" width="11.81640625" style="6" customWidth="1"/>
    <col min="3321" max="3321" width="13.81640625" style="6" customWidth="1"/>
    <col min="3322" max="3322" width="12.26953125" style="6" customWidth="1"/>
    <col min="3323" max="3323" width="12" style="6" customWidth="1"/>
    <col min="3324" max="3324" width="11.453125" style="6" customWidth="1"/>
    <col min="3325" max="3325" width="11.81640625" style="6" customWidth="1"/>
    <col min="3326" max="3326" width="10.81640625" style="6" customWidth="1"/>
    <col min="3327" max="3327" width="11.81640625" style="6" customWidth="1"/>
    <col min="3328" max="3328" width="11.26953125" style="6" customWidth="1"/>
    <col min="3329" max="3329" width="11.453125" style="6" customWidth="1"/>
    <col min="3330" max="3330" width="12.1796875" style="6" customWidth="1"/>
    <col min="3331" max="3331" width="10.81640625" style="6" bestFit="1" customWidth="1"/>
    <col min="3332" max="3332" width="12.453125" style="6" bestFit="1" customWidth="1"/>
    <col min="3333" max="3334" width="12.453125" style="6" customWidth="1"/>
    <col min="3335" max="3570" width="8.7265625" style="6"/>
    <col min="3571" max="3571" width="11.1796875" style="6" bestFit="1" customWidth="1"/>
    <col min="3572" max="3572" width="14.26953125" style="6" customWidth="1"/>
    <col min="3573" max="3573" width="11.81640625" style="6" customWidth="1"/>
    <col min="3574" max="3574" width="10.1796875" style="6" customWidth="1"/>
    <col min="3575" max="3575" width="19" style="6" customWidth="1"/>
    <col min="3576" max="3576" width="11.81640625" style="6" customWidth="1"/>
    <col min="3577" max="3577" width="13.81640625" style="6" customWidth="1"/>
    <col min="3578" max="3578" width="12.26953125" style="6" customWidth="1"/>
    <col min="3579" max="3579" width="12" style="6" customWidth="1"/>
    <col min="3580" max="3580" width="11.453125" style="6" customWidth="1"/>
    <col min="3581" max="3581" width="11.81640625" style="6" customWidth="1"/>
    <col min="3582" max="3582" width="10.81640625" style="6" customWidth="1"/>
    <col min="3583" max="3583" width="11.81640625" style="6" customWidth="1"/>
    <col min="3584" max="3584" width="11.26953125" style="6" customWidth="1"/>
    <col min="3585" max="3585" width="11.453125" style="6" customWidth="1"/>
    <col min="3586" max="3586" width="12.1796875" style="6" customWidth="1"/>
    <col min="3587" max="3587" width="10.81640625" style="6" bestFit="1" customWidth="1"/>
    <col min="3588" max="3588" width="12.453125" style="6" bestFit="1" customWidth="1"/>
    <col min="3589" max="3590" width="12.453125" style="6" customWidth="1"/>
    <col min="3591" max="3826" width="8.7265625" style="6"/>
    <col min="3827" max="3827" width="11.1796875" style="6" bestFit="1" customWidth="1"/>
    <col min="3828" max="3828" width="14.26953125" style="6" customWidth="1"/>
    <col min="3829" max="3829" width="11.81640625" style="6" customWidth="1"/>
    <col min="3830" max="3830" width="10.1796875" style="6" customWidth="1"/>
    <col min="3831" max="3831" width="19" style="6" customWidth="1"/>
    <col min="3832" max="3832" width="11.81640625" style="6" customWidth="1"/>
    <col min="3833" max="3833" width="13.81640625" style="6" customWidth="1"/>
    <col min="3834" max="3834" width="12.26953125" style="6" customWidth="1"/>
    <col min="3835" max="3835" width="12" style="6" customWidth="1"/>
    <col min="3836" max="3836" width="11.453125" style="6" customWidth="1"/>
    <col min="3837" max="3837" width="11.81640625" style="6" customWidth="1"/>
    <col min="3838" max="3838" width="10.81640625" style="6" customWidth="1"/>
    <col min="3839" max="3839" width="11.81640625" style="6" customWidth="1"/>
    <col min="3840" max="3840" width="11.26953125" style="6" customWidth="1"/>
    <col min="3841" max="3841" width="11.453125" style="6" customWidth="1"/>
    <col min="3842" max="3842" width="12.1796875" style="6" customWidth="1"/>
    <col min="3843" max="3843" width="10.81640625" style="6" bestFit="1" customWidth="1"/>
    <col min="3844" max="3844" width="12.453125" style="6" bestFit="1" customWidth="1"/>
    <col min="3845" max="3846" width="12.453125" style="6" customWidth="1"/>
    <col min="3847" max="4082" width="8.7265625" style="6"/>
    <col min="4083" max="4083" width="11.1796875" style="6" bestFit="1" customWidth="1"/>
    <col min="4084" max="4084" width="14.26953125" style="6" customWidth="1"/>
    <col min="4085" max="4085" width="11.81640625" style="6" customWidth="1"/>
    <col min="4086" max="4086" width="10.1796875" style="6" customWidth="1"/>
    <col min="4087" max="4087" width="19" style="6" customWidth="1"/>
    <col min="4088" max="4088" width="11.81640625" style="6" customWidth="1"/>
    <col min="4089" max="4089" width="13.81640625" style="6" customWidth="1"/>
    <col min="4090" max="4090" width="12.26953125" style="6" customWidth="1"/>
    <col min="4091" max="4091" width="12" style="6" customWidth="1"/>
    <col min="4092" max="4092" width="11.453125" style="6" customWidth="1"/>
    <col min="4093" max="4093" width="11.81640625" style="6" customWidth="1"/>
    <col min="4094" max="4094" width="10.81640625" style="6" customWidth="1"/>
    <col min="4095" max="4095" width="11.81640625" style="6" customWidth="1"/>
    <col min="4096" max="4096" width="11.26953125" style="6" customWidth="1"/>
    <col min="4097" max="4097" width="11.453125" style="6" customWidth="1"/>
    <col min="4098" max="4098" width="12.1796875" style="6" customWidth="1"/>
    <col min="4099" max="4099" width="10.81640625" style="6" bestFit="1" customWidth="1"/>
    <col min="4100" max="4100" width="12.453125" style="6" bestFit="1" customWidth="1"/>
    <col min="4101" max="4102" width="12.453125" style="6" customWidth="1"/>
    <col min="4103" max="4338" width="8.7265625" style="6"/>
    <col min="4339" max="4339" width="11.1796875" style="6" bestFit="1" customWidth="1"/>
    <col min="4340" max="4340" width="14.26953125" style="6" customWidth="1"/>
    <col min="4341" max="4341" width="11.81640625" style="6" customWidth="1"/>
    <col min="4342" max="4342" width="10.1796875" style="6" customWidth="1"/>
    <col min="4343" max="4343" width="19" style="6" customWidth="1"/>
    <col min="4344" max="4344" width="11.81640625" style="6" customWidth="1"/>
    <col min="4345" max="4345" width="13.81640625" style="6" customWidth="1"/>
    <col min="4346" max="4346" width="12.26953125" style="6" customWidth="1"/>
    <col min="4347" max="4347" width="12" style="6" customWidth="1"/>
    <col min="4348" max="4348" width="11.453125" style="6" customWidth="1"/>
    <col min="4349" max="4349" width="11.81640625" style="6" customWidth="1"/>
    <col min="4350" max="4350" width="10.81640625" style="6" customWidth="1"/>
    <col min="4351" max="4351" width="11.81640625" style="6" customWidth="1"/>
    <col min="4352" max="4352" width="11.26953125" style="6" customWidth="1"/>
    <col min="4353" max="4353" width="11.453125" style="6" customWidth="1"/>
    <col min="4354" max="4354" width="12.1796875" style="6" customWidth="1"/>
    <col min="4355" max="4355" width="10.81640625" style="6" bestFit="1" customWidth="1"/>
    <col min="4356" max="4356" width="12.453125" style="6" bestFit="1" customWidth="1"/>
    <col min="4357" max="4358" width="12.453125" style="6" customWidth="1"/>
    <col min="4359" max="4594" width="8.7265625" style="6"/>
    <col min="4595" max="4595" width="11.1796875" style="6" bestFit="1" customWidth="1"/>
    <col min="4596" max="4596" width="14.26953125" style="6" customWidth="1"/>
    <col min="4597" max="4597" width="11.81640625" style="6" customWidth="1"/>
    <col min="4598" max="4598" width="10.1796875" style="6" customWidth="1"/>
    <col min="4599" max="4599" width="19" style="6" customWidth="1"/>
    <col min="4600" max="4600" width="11.81640625" style="6" customWidth="1"/>
    <col min="4601" max="4601" width="13.81640625" style="6" customWidth="1"/>
    <col min="4602" max="4602" width="12.26953125" style="6" customWidth="1"/>
    <col min="4603" max="4603" width="12" style="6" customWidth="1"/>
    <col min="4604" max="4604" width="11.453125" style="6" customWidth="1"/>
    <col min="4605" max="4605" width="11.81640625" style="6" customWidth="1"/>
    <col min="4606" max="4606" width="10.81640625" style="6" customWidth="1"/>
    <col min="4607" max="4607" width="11.81640625" style="6" customWidth="1"/>
    <col min="4608" max="4608" width="11.26953125" style="6" customWidth="1"/>
    <col min="4609" max="4609" width="11.453125" style="6" customWidth="1"/>
    <col min="4610" max="4610" width="12.1796875" style="6" customWidth="1"/>
    <col min="4611" max="4611" width="10.81640625" style="6" bestFit="1" customWidth="1"/>
    <col min="4612" max="4612" width="12.453125" style="6" bestFit="1" customWidth="1"/>
    <col min="4613" max="4614" width="12.453125" style="6" customWidth="1"/>
    <col min="4615" max="4850" width="8.7265625" style="6"/>
    <col min="4851" max="4851" width="11.1796875" style="6" bestFit="1" customWidth="1"/>
    <col min="4852" max="4852" width="14.26953125" style="6" customWidth="1"/>
    <col min="4853" max="4853" width="11.81640625" style="6" customWidth="1"/>
    <col min="4854" max="4854" width="10.1796875" style="6" customWidth="1"/>
    <col min="4855" max="4855" width="19" style="6" customWidth="1"/>
    <col min="4856" max="4856" width="11.81640625" style="6" customWidth="1"/>
    <col min="4857" max="4857" width="13.81640625" style="6" customWidth="1"/>
    <col min="4858" max="4858" width="12.26953125" style="6" customWidth="1"/>
    <col min="4859" max="4859" width="12" style="6" customWidth="1"/>
    <col min="4860" max="4860" width="11.453125" style="6" customWidth="1"/>
    <col min="4861" max="4861" width="11.81640625" style="6" customWidth="1"/>
    <col min="4862" max="4862" width="10.81640625" style="6" customWidth="1"/>
    <col min="4863" max="4863" width="11.81640625" style="6" customWidth="1"/>
    <col min="4864" max="4864" width="11.26953125" style="6" customWidth="1"/>
    <col min="4865" max="4865" width="11.453125" style="6" customWidth="1"/>
    <col min="4866" max="4866" width="12.1796875" style="6" customWidth="1"/>
    <col min="4867" max="4867" width="10.81640625" style="6" bestFit="1" customWidth="1"/>
    <col min="4868" max="4868" width="12.453125" style="6" bestFit="1" customWidth="1"/>
    <col min="4869" max="4870" width="12.453125" style="6" customWidth="1"/>
    <col min="4871" max="5106" width="8.7265625" style="6"/>
    <col min="5107" max="5107" width="11.1796875" style="6" bestFit="1" customWidth="1"/>
    <col min="5108" max="5108" width="14.26953125" style="6" customWidth="1"/>
    <col min="5109" max="5109" width="11.81640625" style="6" customWidth="1"/>
    <col min="5110" max="5110" width="10.1796875" style="6" customWidth="1"/>
    <col min="5111" max="5111" width="19" style="6" customWidth="1"/>
    <col min="5112" max="5112" width="11.81640625" style="6" customWidth="1"/>
    <col min="5113" max="5113" width="13.81640625" style="6" customWidth="1"/>
    <col min="5114" max="5114" width="12.26953125" style="6" customWidth="1"/>
    <col min="5115" max="5115" width="12" style="6" customWidth="1"/>
    <col min="5116" max="5116" width="11.453125" style="6" customWidth="1"/>
    <col min="5117" max="5117" width="11.81640625" style="6" customWidth="1"/>
    <col min="5118" max="5118" width="10.81640625" style="6" customWidth="1"/>
    <col min="5119" max="5119" width="11.81640625" style="6" customWidth="1"/>
    <col min="5120" max="5120" width="11.26953125" style="6" customWidth="1"/>
    <col min="5121" max="5121" width="11.453125" style="6" customWidth="1"/>
    <col min="5122" max="5122" width="12.1796875" style="6" customWidth="1"/>
    <col min="5123" max="5123" width="10.81640625" style="6" bestFit="1" customWidth="1"/>
    <col min="5124" max="5124" width="12.453125" style="6" bestFit="1" customWidth="1"/>
    <col min="5125" max="5126" width="12.453125" style="6" customWidth="1"/>
    <col min="5127" max="5362" width="8.7265625" style="6"/>
    <col min="5363" max="5363" width="11.1796875" style="6" bestFit="1" customWidth="1"/>
    <col min="5364" max="5364" width="14.26953125" style="6" customWidth="1"/>
    <col min="5365" max="5365" width="11.81640625" style="6" customWidth="1"/>
    <col min="5366" max="5366" width="10.1796875" style="6" customWidth="1"/>
    <col min="5367" max="5367" width="19" style="6" customWidth="1"/>
    <col min="5368" max="5368" width="11.81640625" style="6" customWidth="1"/>
    <col min="5369" max="5369" width="13.81640625" style="6" customWidth="1"/>
    <col min="5370" max="5370" width="12.26953125" style="6" customWidth="1"/>
    <col min="5371" max="5371" width="12" style="6" customWidth="1"/>
    <col min="5372" max="5372" width="11.453125" style="6" customWidth="1"/>
    <col min="5373" max="5373" width="11.81640625" style="6" customWidth="1"/>
    <col min="5374" max="5374" width="10.81640625" style="6" customWidth="1"/>
    <col min="5375" max="5375" width="11.81640625" style="6" customWidth="1"/>
    <col min="5376" max="5376" width="11.26953125" style="6" customWidth="1"/>
    <col min="5377" max="5377" width="11.453125" style="6" customWidth="1"/>
    <col min="5378" max="5378" width="12.1796875" style="6" customWidth="1"/>
    <col min="5379" max="5379" width="10.81640625" style="6" bestFit="1" customWidth="1"/>
    <col min="5380" max="5380" width="12.453125" style="6" bestFit="1" customWidth="1"/>
    <col min="5381" max="5382" width="12.453125" style="6" customWidth="1"/>
    <col min="5383" max="5618" width="8.7265625" style="6"/>
    <col min="5619" max="5619" width="11.1796875" style="6" bestFit="1" customWidth="1"/>
    <col min="5620" max="5620" width="14.26953125" style="6" customWidth="1"/>
    <col min="5621" max="5621" width="11.81640625" style="6" customWidth="1"/>
    <col min="5622" max="5622" width="10.1796875" style="6" customWidth="1"/>
    <col min="5623" max="5623" width="19" style="6" customWidth="1"/>
    <col min="5624" max="5624" width="11.81640625" style="6" customWidth="1"/>
    <col min="5625" max="5625" width="13.81640625" style="6" customWidth="1"/>
    <col min="5626" max="5626" width="12.26953125" style="6" customWidth="1"/>
    <col min="5627" max="5627" width="12" style="6" customWidth="1"/>
    <col min="5628" max="5628" width="11.453125" style="6" customWidth="1"/>
    <col min="5629" max="5629" width="11.81640625" style="6" customWidth="1"/>
    <col min="5630" max="5630" width="10.81640625" style="6" customWidth="1"/>
    <col min="5631" max="5631" width="11.81640625" style="6" customWidth="1"/>
    <col min="5632" max="5632" width="11.26953125" style="6" customWidth="1"/>
    <col min="5633" max="5633" width="11.453125" style="6" customWidth="1"/>
    <col min="5634" max="5634" width="12.1796875" style="6" customWidth="1"/>
    <col min="5635" max="5635" width="10.81640625" style="6" bestFit="1" customWidth="1"/>
    <col min="5636" max="5636" width="12.453125" style="6" bestFit="1" customWidth="1"/>
    <col min="5637" max="5638" width="12.453125" style="6" customWidth="1"/>
    <col min="5639" max="5874" width="8.7265625" style="6"/>
    <col min="5875" max="5875" width="11.1796875" style="6" bestFit="1" customWidth="1"/>
    <col min="5876" max="5876" width="14.26953125" style="6" customWidth="1"/>
    <col min="5877" max="5877" width="11.81640625" style="6" customWidth="1"/>
    <col min="5878" max="5878" width="10.1796875" style="6" customWidth="1"/>
    <col min="5879" max="5879" width="19" style="6" customWidth="1"/>
    <col min="5880" max="5880" width="11.81640625" style="6" customWidth="1"/>
    <col min="5881" max="5881" width="13.81640625" style="6" customWidth="1"/>
    <col min="5882" max="5882" width="12.26953125" style="6" customWidth="1"/>
    <col min="5883" max="5883" width="12" style="6" customWidth="1"/>
    <col min="5884" max="5884" width="11.453125" style="6" customWidth="1"/>
    <col min="5885" max="5885" width="11.81640625" style="6" customWidth="1"/>
    <col min="5886" max="5886" width="10.81640625" style="6" customWidth="1"/>
    <col min="5887" max="5887" width="11.81640625" style="6" customWidth="1"/>
    <col min="5888" max="5888" width="11.26953125" style="6" customWidth="1"/>
    <col min="5889" max="5889" width="11.453125" style="6" customWidth="1"/>
    <col min="5890" max="5890" width="12.1796875" style="6" customWidth="1"/>
    <col min="5891" max="5891" width="10.81640625" style="6" bestFit="1" customWidth="1"/>
    <col min="5892" max="5892" width="12.453125" style="6" bestFit="1" customWidth="1"/>
    <col min="5893" max="5894" width="12.453125" style="6" customWidth="1"/>
    <col min="5895" max="6130" width="8.7265625" style="6"/>
    <col min="6131" max="6131" width="11.1796875" style="6" bestFit="1" customWidth="1"/>
    <col min="6132" max="6132" width="14.26953125" style="6" customWidth="1"/>
    <col min="6133" max="6133" width="11.81640625" style="6" customWidth="1"/>
    <col min="6134" max="6134" width="10.1796875" style="6" customWidth="1"/>
    <col min="6135" max="6135" width="19" style="6" customWidth="1"/>
    <col min="6136" max="6136" width="11.81640625" style="6" customWidth="1"/>
    <col min="6137" max="6137" width="13.81640625" style="6" customWidth="1"/>
    <col min="6138" max="6138" width="12.26953125" style="6" customWidth="1"/>
    <col min="6139" max="6139" width="12" style="6" customWidth="1"/>
    <col min="6140" max="6140" width="11.453125" style="6" customWidth="1"/>
    <col min="6141" max="6141" width="11.81640625" style="6" customWidth="1"/>
    <col min="6142" max="6142" width="10.81640625" style="6" customWidth="1"/>
    <col min="6143" max="6143" width="11.81640625" style="6" customWidth="1"/>
    <col min="6144" max="6144" width="11.26953125" style="6" customWidth="1"/>
    <col min="6145" max="6145" width="11.453125" style="6" customWidth="1"/>
    <col min="6146" max="6146" width="12.1796875" style="6" customWidth="1"/>
    <col min="6147" max="6147" width="10.81640625" style="6" bestFit="1" customWidth="1"/>
    <col min="6148" max="6148" width="12.453125" style="6" bestFit="1" customWidth="1"/>
    <col min="6149" max="6150" width="12.453125" style="6" customWidth="1"/>
    <col min="6151" max="6386" width="8.7265625" style="6"/>
    <col min="6387" max="6387" width="11.1796875" style="6" bestFit="1" customWidth="1"/>
    <col min="6388" max="6388" width="14.26953125" style="6" customWidth="1"/>
    <col min="6389" max="6389" width="11.81640625" style="6" customWidth="1"/>
    <col min="6390" max="6390" width="10.1796875" style="6" customWidth="1"/>
    <col min="6391" max="6391" width="19" style="6" customWidth="1"/>
    <col min="6392" max="6392" width="11.81640625" style="6" customWidth="1"/>
    <col min="6393" max="6393" width="13.81640625" style="6" customWidth="1"/>
    <col min="6394" max="6394" width="12.26953125" style="6" customWidth="1"/>
    <col min="6395" max="6395" width="12" style="6" customWidth="1"/>
    <col min="6396" max="6396" width="11.453125" style="6" customWidth="1"/>
    <col min="6397" max="6397" width="11.81640625" style="6" customWidth="1"/>
    <col min="6398" max="6398" width="10.81640625" style="6" customWidth="1"/>
    <col min="6399" max="6399" width="11.81640625" style="6" customWidth="1"/>
    <col min="6400" max="6400" width="11.26953125" style="6" customWidth="1"/>
    <col min="6401" max="6401" width="11.453125" style="6" customWidth="1"/>
    <col min="6402" max="6402" width="12.1796875" style="6" customWidth="1"/>
    <col min="6403" max="6403" width="10.81640625" style="6" bestFit="1" customWidth="1"/>
    <col min="6404" max="6404" width="12.453125" style="6" bestFit="1" customWidth="1"/>
    <col min="6405" max="6406" width="12.453125" style="6" customWidth="1"/>
    <col min="6407" max="6642" width="8.7265625" style="6"/>
    <col min="6643" max="6643" width="11.1796875" style="6" bestFit="1" customWidth="1"/>
    <col min="6644" max="6644" width="14.26953125" style="6" customWidth="1"/>
    <col min="6645" max="6645" width="11.81640625" style="6" customWidth="1"/>
    <col min="6646" max="6646" width="10.1796875" style="6" customWidth="1"/>
    <col min="6647" max="6647" width="19" style="6" customWidth="1"/>
    <col min="6648" max="6648" width="11.81640625" style="6" customWidth="1"/>
    <col min="6649" max="6649" width="13.81640625" style="6" customWidth="1"/>
    <col min="6650" max="6650" width="12.26953125" style="6" customWidth="1"/>
    <col min="6651" max="6651" width="12" style="6" customWidth="1"/>
    <col min="6652" max="6652" width="11.453125" style="6" customWidth="1"/>
    <col min="6653" max="6653" width="11.81640625" style="6" customWidth="1"/>
    <col min="6654" max="6654" width="10.81640625" style="6" customWidth="1"/>
    <col min="6655" max="6655" width="11.81640625" style="6" customWidth="1"/>
    <col min="6656" max="6656" width="11.26953125" style="6" customWidth="1"/>
    <col min="6657" max="6657" width="11.453125" style="6" customWidth="1"/>
    <col min="6658" max="6658" width="12.1796875" style="6" customWidth="1"/>
    <col min="6659" max="6659" width="10.81640625" style="6" bestFit="1" customWidth="1"/>
    <col min="6660" max="6660" width="12.453125" style="6" bestFit="1" customWidth="1"/>
    <col min="6661" max="6662" width="12.453125" style="6" customWidth="1"/>
    <col min="6663" max="6898" width="8.7265625" style="6"/>
    <col min="6899" max="6899" width="11.1796875" style="6" bestFit="1" customWidth="1"/>
    <col min="6900" max="6900" width="14.26953125" style="6" customWidth="1"/>
    <col min="6901" max="6901" width="11.81640625" style="6" customWidth="1"/>
    <col min="6902" max="6902" width="10.1796875" style="6" customWidth="1"/>
    <col min="6903" max="6903" width="19" style="6" customWidth="1"/>
    <col min="6904" max="6904" width="11.81640625" style="6" customWidth="1"/>
    <col min="6905" max="6905" width="13.81640625" style="6" customWidth="1"/>
    <col min="6906" max="6906" width="12.26953125" style="6" customWidth="1"/>
    <col min="6907" max="6907" width="12" style="6" customWidth="1"/>
    <col min="6908" max="6908" width="11.453125" style="6" customWidth="1"/>
    <col min="6909" max="6909" width="11.81640625" style="6" customWidth="1"/>
    <col min="6910" max="6910" width="10.81640625" style="6" customWidth="1"/>
    <col min="6911" max="6911" width="11.81640625" style="6" customWidth="1"/>
    <col min="6912" max="6912" width="11.26953125" style="6" customWidth="1"/>
    <col min="6913" max="6913" width="11.453125" style="6" customWidth="1"/>
    <col min="6914" max="6914" width="12.1796875" style="6" customWidth="1"/>
    <col min="6915" max="6915" width="10.81640625" style="6" bestFit="1" customWidth="1"/>
    <col min="6916" max="6916" width="12.453125" style="6" bestFit="1" customWidth="1"/>
    <col min="6917" max="6918" width="12.453125" style="6" customWidth="1"/>
    <col min="6919" max="7154" width="8.7265625" style="6"/>
    <col min="7155" max="7155" width="11.1796875" style="6" bestFit="1" customWidth="1"/>
    <col min="7156" max="7156" width="14.26953125" style="6" customWidth="1"/>
    <col min="7157" max="7157" width="11.81640625" style="6" customWidth="1"/>
    <col min="7158" max="7158" width="10.1796875" style="6" customWidth="1"/>
    <col min="7159" max="7159" width="19" style="6" customWidth="1"/>
    <col min="7160" max="7160" width="11.81640625" style="6" customWidth="1"/>
    <col min="7161" max="7161" width="13.81640625" style="6" customWidth="1"/>
    <col min="7162" max="7162" width="12.26953125" style="6" customWidth="1"/>
    <col min="7163" max="7163" width="12" style="6" customWidth="1"/>
    <col min="7164" max="7164" width="11.453125" style="6" customWidth="1"/>
    <col min="7165" max="7165" width="11.81640625" style="6" customWidth="1"/>
    <col min="7166" max="7166" width="10.81640625" style="6" customWidth="1"/>
    <col min="7167" max="7167" width="11.81640625" style="6" customWidth="1"/>
    <col min="7168" max="7168" width="11.26953125" style="6" customWidth="1"/>
    <col min="7169" max="7169" width="11.453125" style="6" customWidth="1"/>
    <col min="7170" max="7170" width="12.1796875" style="6" customWidth="1"/>
    <col min="7171" max="7171" width="10.81640625" style="6" bestFit="1" customWidth="1"/>
    <col min="7172" max="7172" width="12.453125" style="6" bestFit="1" customWidth="1"/>
    <col min="7173" max="7174" width="12.453125" style="6" customWidth="1"/>
    <col min="7175" max="7410" width="8.7265625" style="6"/>
    <col min="7411" max="7411" width="11.1796875" style="6" bestFit="1" customWidth="1"/>
    <col min="7412" max="7412" width="14.26953125" style="6" customWidth="1"/>
    <col min="7413" max="7413" width="11.81640625" style="6" customWidth="1"/>
    <col min="7414" max="7414" width="10.1796875" style="6" customWidth="1"/>
    <col min="7415" max="7415" width="19" style="6" customWidth="1"/>
    <col min="7416" max="7416" width="11.81640625" style="6" customWidth="1"/>
    <col min="7417" max="7417" width="13.81640625" style="6" customWidth="1"/>
    <col min="7418" max="7418" width="12.26953125" style="6" customWidth="1"/>
    <col min="7419" max="7419" width="12" style="6" customWidth="1"/>
    <col min="7420" max="7420" width="11.453125" style="6" customWidth="1"/>
    <col min="7421" max="7421" width="11.81640625" style="6" customWidth="1"/>
    <col min="7422" max="7422" width="10.81640625" style="6" customWidth="1"/>
    <col min="7423" max="7423" width="11.81640625" style="6" customWidth="1"/>
    <col min="7424" max="7424" width="11.26953125" style="6" customWidth="1"/>
    <col min="7425" max="7425" width="11.453125" style="6" customWidth="1"/>
    <col min="7426" max="7426" width="12.1796875" style="6" customWidth="1"/>
    <col min="7427" max="7427" width="10.81640625" style="6" bestFit="1" customWidth="1"/>
    <col min="7428" max="7428" width="12.453125" style="6" bestFit="1" customWidth="1"/>
    <col min="7429" max="7430" width="12.453125" style="6" customWidth="1"/>
    <col min="7431" max="7666" width="8.7265625" style="6"/>
    <col min="7667" max="7667" width="11.1796875" style="6" bestFit="1" customWidth="1"/>
    <col min="7668" max="7668" width="14.26953125" style="6" customWidth="1"/>
    <col min="7669" max="7669" width="11.81640625" style="6" customWidth="1"/>
    <col min="7670" max="7670" width="10.1796875" style="6" customWidth="1"/>
    <col min="7671" max="7671" width="19" style="6" customWidth="1"/>
    <col min="7672" max="7672" width="11.81640625" style="6" customWidth="1"/>
    <col min="7673" max="7673" width="13.81640625" style="6" customWidth="1"/>
    <col min="7674" max="7674" width="12.26953125" style="6" customWidth="1"/>
    <col min="7675" max="7675" width="12" style="6" customWidth="1"/>
    <col min="7676" max="7676" width="11.453125" style="6" customWidth="1"/>
    <col min="7677" max="7677" width="11.81640625" style="6" customWidth="1"/>
    <col min="7678" max="7678" width="10.81640625" style="6" customWidth="1"/>
    <col min="7679" max="7679" width="11.81640625" style="6" customWidth="1"/>
    <col min="7680" max="7680" width="11.26953125" style="6" customWidth="1"/>
    <col min="7681" max="7681" width="11.453125" style="6" customWidth="1"/>
    <col min="7682" max="7682" width="12.1796875" style="6" customWidth="1"/>
    <col min="7683" max="7683" width="10.81640625" style="6" bestFit="1" customWidth="1"/>
    <col min="7684" max="7684" width="12.453125" style="6" bestFit="1" customWidth="1"/>
    <col min="7685" max="7686" width="12.453125" style="6" customWidth="1"/>
    <col min="7687" max="7922" width="8.7265625" style="6"/>
    <col min="7923" max="7923" width="11.1796875" style="6" bestFit="1" customWidth="1"/>
    <col min="7924" max="7924" width="14.26953125" style="6" customWidth="1"/>
    <col min="7925" max="7925" width="11.81640625" style="6" customWidth="1"/>
    <col min="7926" max="7926" width="10.1796875" style="6" customWidth="1"/>
    <col min="7927" max="7927" width="19" style="6" customWidth="1"/>
    <col min="7928" max="7928" width="11.81640625" style="6" customWidth="1"/>
    <col min="7929" max="7929" width="13.81640625" style="6" customWidth="1"/>
    <col min="7930" max="7930" width="12.26953125" style="6" customWidth="1"/>
    <col min="7931" max="7931" width="12" style="6" customWidth="1"/>
    <col min="7932" max="7932" width="11.453125" style="6" customWidth="1"/>
    <col min="7933" max="7933" width="11.81640625" style="6" customWidth="1"/>
    <col min="7934" max="7934" width="10.81640625" style="6" customWidth="1"/>
    <col min="7935" max="7935" width="11.81640625" style="6" customWidth="1"/>
    <col min="7936" max="7936" width="11.26953125" style="6" customWidth="1"/>
    <col min="7937" max="7937" width="11.453125" style="6" customWidth="1"/>
    <col min="7938" max="7938" width="12.1796875" style="6" customWidth="1"/>
    <col min="7939" max="7939" width="10.81640625" style="6" bestFit="1" customWidth="1"/>
    <col min="7940" max="7940" width="12.453125" style="6" bestFit="1" customWidth="1"/>
    <col min="7941" max="7942" width="12.453125" style="6" customWidth="1"/>
    <col min="7943" max="8178" width="8.7265625" style="6"/>
    <col min="8179" max="8179" width="11.1796875" style="6" bestFit="1" customWidth="1"/>
    <col min="8180" max="8180" width="14.26953125" style="6" customWidth="1"/>
    <col min="8181" max="8181" width="11.81640625" style="6" customWidth="1"/>
    <col min="8182" max="8182" width="10.1796875" style="6" customWidth="1"/>
    <col min="8183" max="8183" width="19" style="6" customWidth="1"/>
    <col min="8184" max="8184" width="11.81640625" style="6" customWidth="1"/>
    <col min="8185" max="8185" width="13.81640625" style="6" customWidth="1"/>
    <col min="8186" max="8186" width="12.26953125" style="6" customWidth="1"/>
    <col min="8187" max="8187" width="12" style="6" customWidth="1"/>
    <col min="8188" max="8188" width="11.453125" style="6" customWidth="1"/>
    <col min="8189" max="8189" width="11.81640625" style="6" customWidth="1"/>
    <col min="8190" max="8190" width="10.81640625" style="6" customWidth="1"/>
    <col min="8191" max="8191" width="11.81640625" style="6" customWidth="1"/>
    <col min="8192" max="8192" width="11.26953125" style="6" customWidth="1"/>
    <col min="8193" max="8193" width="11.453125" style="6" customWidth="1"/>
    <col min="8194" max="8194" width="12.1796875" style="6" customWidth="1"/>
    <col min="8195" max="8195" width="10.81640625" style="6" bestFit="1" customWidth="1"/>
    <col min="8196" max="8196" width="12.453125" style="6" bestFit="1" customWidth="1"/>
    <col min="8197" max="8198" width="12.453125" style="6" customWidth="1"/>
    <col min="8199" max="8434" width="8.7265625" style="6"/>
    <col min="8435" max="8435" width="11.1796875" style="6" bestFit="1" customWidth="1"/>
    <col min="8436" max="8436" width="14.26953125" style="6" customWidth="1"/>
    <col min="8437" max="8437" width="11.81640625" style="6" customWidth="1"/>
    <col min="8438" max="8438" width="10.1796875" style="6" customWidth="1"/>
    <col min="8439" max="8439" width="19" style="6" customWidth="1"/>
    <col min="8440" max="8440" width="11.81640625" style="6" customWidth="1"/>
    <col min="8441" max="8441" width="13.81640625" style="6" customWidth="1"/>
    <col min="8442" max="8442" width="12.26953125" style="6" customWidth="1"/>
    <col min="8443" max="8443" width="12" style="6" customWidth="1"/>
    <col min="8444" max="8444" width="11.453125" style="6" customWidth="1"/>
    <col min="8445" max="8445" width="11.81640625" style="6" customWidth="1"/>
    <col min="8446" max="8446" width="10.81640625" style="6" customWidth="1"/>
    <col min="8447" max="8447" width="11.81640625" style="6" customWidth="1"/>
    <col min="8448" max="8448" width="11.26953125" style="6" customWidth="1"/>
    <col min="8449" max="8449" width="11.453125" style="6" customWidth="1"/>
    <col min="8450" max="8450" width="12.1796875" style="6" customWidth="1"/>
    <col min="8451" max="8451" width="10.81640625" style="6" bestFit="1" customWidth="1"/>
    <col min="8452" max="8452" width="12.453125" style="6" bestFit="1" customWidth="1"/>
    <col min="8453" max="8454" width="12.453125" style="6" customWidth="1"/>
    <col min="8455" max="8690" width="8.7265625" style="6"/>
    <col min="8691" max="8691" width="11.1796875" style="6" bestFit="1" customWidth="1"/>
    <col min="8692" max="8692" width="14.26953125" style="6" customWidth="1"/>
    <col min="8693" max="8693" width="11.81640625" style="6" customWidth="1"/>
    <col min="8694" max="8694" width="10.1796875" style="6" customWidth="1"/>
    <col min="8695" max="8695" width="19" style="6" customWidth="1"/>
    <col min="8696" max="8696" width="11.81640625" style="6" customWidth="1"/>
    <col min="8697" max="8697" width="13.81640625" style="6" customWidth="1"/>
    <col min="8698" max="8698" width="12.26953125" style="6" customWidth="1"/>
    <col min="8699" max="8699" width="12" style="6" customWidth="1"/>
    <col min="8700" max="8700" width="11.453125" style="6" customWidth="1"/>
    <col min="8701" max="8701" width="11.81640625" style="6" customWidth="1"/>
    <col min="8702" max="8702" width="10.81640625" style="6" customWidth="1"/>
    <col min="8703" max="8703" width="11.81640625" style="6" customWidth="1"/>
    <col min="8704" max="8704" width="11.26953125" style="6" customWidth="1"/>
    <col min="8705" max="8705" width="11.453125" style="6" customWidth="1"/>
    <col min="8706" max="8706" width="12.1796875" style="6" customWidth="1"/>
    <col min="8707" max="8707" width="10.81640625" style="6" bestFit="1" customWidth="1"/>
    <col min="8708" max="8708" width="12.453125" style="6" bestFit="1" customWidth="1"/>
    <col min="8709" max="8710" width="12.453125" style="6" customWidth="1"/>
    <col min="8711" max="8946" width="8.7265625" style="6"/>
    <col min="8947" max="8947" width="11.1796875" style="6" bestFit="1" customWidth="1"/>
    <col min="8948" max="8948" width="14.26953125" style="6" customWidth="1"/>
    <col min="8949" max="8949" width="11.81640625" style="6" customWidth="1"/>
    <col min="8950" max="8950" width="10.1796875" style="6" customWidth="1"/>
    <col min="8951" max="8951" width="19" style="6" customWidth="1"/>
    <col min="8952" max="8952" width="11.81640625" style="6" customWidth="1"/>
    <col min="8953" max="8953" width="13.81640625" style="6" customWidth="1"/>
    <col min="8954" max="8954" width="12.26953125" style="6" customWidth="1"/>
    <col min="8955" max="8955" width="12" style="6" customWidth="1"/>
    <col min="8956" max="8956" width="11.453125" style="6" customWidth="1"/>
    <col min="8957" max="8957" width="11.81640625" style="6" customWidth="1"/>
    <col min="8958" max="8958" width="10.81640625" style="6" customWidth="1"/>
    <col min="8959" max="8959" width="11.81640625" style="6" customWidth="1"/>
    <col min="8960" max="8960" width="11.26953125" style="6" customWidth="1"/>
    <col min="8961" max="8961" width="11.453125" style="6" customWidth="1"/>
    <col min="8962" max="8962" width="12.1796875" style="6" customWidth="1"/>
    <col min="8963" max="8963" width="10.81640625" style="6" bestFit="1" customWidth="1"/>
    <col min="8964" max="8964" width="12.453125" style="6" bestFit="1" customWidth="1"/>
    <col min="8965" max="8966" width="12.453125" style="6" customWidth="1"/>
    <col min="8967" max="9202" width="8.7265625" style="6"/>
    <col min="9203" max="9203" width="11.1796875" style="6" bestFit="1" customWidth="1"/>
    <col min="9204" max="9204" width="14.26953125" style="6" customWidth="1"/>
    <col min="9205" max="9205" width="11.81640625" style="6" customWidth="1"/>
    <col min="9206" max="9206" width="10.1796875" style="6" customWidth="1"/>
    <col min="9207" max="9207" width="19" style="6" customWidth="1"/>
    <col min="9208" max="9208" width="11.81640625" style="6" customWidth="1"/>
    <col min="9209" max="9209" width="13.81640625" style="6" customWidth="1"/>
    <col min="9210" max="9210" width="12.26953125" style="6" customWidth="1"/>
    <col min="9211" max="9211" width="12" style="6" customWidth="1"/>
    <col min="9212" max="9212" width="11.453125" style="6" customWidth="1"/>
    <col min="9213" max="9213" width="11.81640625" style="6" customWidth="1"/>
    <col min="9214" max="9214" width="10.81640625" style="6" customWidth="1"/>
    <col min="9215" max="9215" width="11.81640625" style="6" customWidth="1"/>
    <col min="9216" max="9216" width="11.26953125" style="6" customWidth="1"/>
    <col min="9217" max="9217" width="11.453125" style="6" customWidth="1"/>
    <col min="9218" max="9218" width="12.1796875" style="6" customWidth="1"/>
    <col min="9219" max="9219" width="10.81640625" style="6" bestFit="1" customWidth="1"/>
    <col min="9220" max="9220" width="12.453125" style="6" bestFit="1" customWidth="1"/>
    <col min="9221" max="9222" width="12.453125" style="6" customWidth="1"/>
    <col min="9223" max="9458" width="8.7265625" style="6"/>
    <col min="9459" max="9459" width="11.1796875" style="6" bestFit="1" customWidth="1"/>
    <col min="9460" max="9460" width="14.26953125" style="6" customWidth="1"/>
    <col min="9461" max="9461" width="11.81640625" style="6" customWidth="1"/>
    <col min="9462" max="9462" width="10.1796875" style="6" customWidth="1"/>
    <col min="9463" max="9463" width="19" style="6" customWidth="1"/>
    <col min="9464" max="9464" width="11.81640625" style="6" customWidth="1"/>
    <col min="9465" max="9465" width="13.81640625" style="6" customWidth="1"/>
    <col min="9466" max="9466" width="12.26953125" style="6" customWidth="1"/>
    <col min="9467" max="9467" width="12" style="6" customWidth="1"/>
    <col min="9468" max="9468" width="11.453125" style="6" customWidth="1"/>
    <col min="9469" max="9469" width="11.81640625" style="6" customWidth="1"/>
    <col min="9470" max="9470" width="10.81640625" style="6" customWidth="1"/>
    <col min="9471" max="9471" width="11.81640625" style="6" customWidth="1"/>
    <col min="9472" max="9472" width="11.26953125" style="6" customWidth="1"/>
    <col min="9473" max="9473" width="11.453125" style="6" customWidth="1"/>
    <col min="9474" max="9474" width="12.1796875" style="6" customWidth="1"/>
    <col min="9475" max="9475" width="10.81640625" style="6" bestFit="1" customWidth="1"/>
    <col min="9476" max="9476" width="12.453125" style="6" bestFit="1" customWidth="1"/>
    <col min="9477" max="9478" width="12.453125" style="6" customWidth="1"/>
    <col min="9479" max="9714" width="8.7265625" style="6"/>
    <col min="9715" max="9715" width="11.1796875" style="6" bestFit="1" customWidth="1"/>
    <col min="9716" max="9716" width="14.26953125" style="6" customWidth="1"/>
    <col min="9717" max="9717" width="11.81640625" style="6" customWidth="1"/>
    <col min="9718" max="9718" width="10.1796875" style="6" customWidth="1"/>
    <col min="9719" max="9719" width="19" style="6" customWidth="1"/>
    <col min="9720" max="9720" width="11.81640625" style="6" customWidth="1"/>
    <col min="9721" max="9721" width="13.81640625" style="6" customWidth="1"/>
    <col min="9722" max="9722" width="12.26953125" style="6" customWidth="1"/>
    <col min="9723" max="9723" width="12" style="6" customWidth="1"/>
    <col min="9724" max="9724" width="11.453125" style="6" customWidth="1"/>
    <col min="9725" max="9725" width="11.81640625" style="6" customWidth="1"/>
    <col min="9726" max="9726" width="10.81640625" style="6" customWidth="1"/>
    <col min="9727" max="9727" width="11.81640625" style="6" customWidth="1"/>
    <col min="9728" max="9728" width="11.26953125" style="6" customWidth="1"/>
    <col min="9729" max="9729" width="11.453125" style="6" customWidth="1"/>
    <col min="9730" max="9730" width="12.1796875" style="6" customWidth="1"/>
    <col min="9731" max="9731" width="10.81640625" style="6" bestFit="1" customWidth="1"/>
    <col min="9732" max="9732" width="12.453125" style="6" bestFit="1" customWidth="1"/>
    <col min="9733" max="9734" width="12.453125" style="6" customWidth="1"/>
    <col min="9735" max="9970" width="8.7265625" style="6"/>
    <col min="9971" max="9971" width="11.1796875" style="6" bestFit="1" customWidth="1"/>
    <col min="9972" max="9972" width="14.26953125" style="6" customWidth="1"/>
    <col min="9973" max="9973" width="11.81640625" style="6" customWidth="1"/>
    <col min="9974" max="9974" width="10.1796875" style="6" customWidth="1"/>
    <col min="9975" max="9975" width="19" style="6" customWidth="1"/>
    <col min="9976" max="9976" width="11.81640625" style="6" customWidth="1"/>
    <col min="9977" max="9977" width="13.81640625" style="6" customWidth="1"/>
    <col min="9978" max="9978" width="12.26953125" style="6" customWidth="1"/>
    <col min="9979" max="9979" width="12" style="6" customWidth="1"/>
    <col min="9980" max="9980" width="11.453125" style="6" customWidth="1"/>
    <col min="9981" max="9981" width="11.81640625" style="6" customWidth="1"/>
    <col min="9982" max="9982" width="10.81640625" style="6" customWidth="1"/>
    <col min="9983" max="9983" width="11.81640625" style="6" customWidth="1"/>
    <col min="9984" max="9984" width="11.26953125" style="6" customWidth="1"/>
    <col min="9985" max="9985" width="11.453125" style="6" customWidth="1"/>
    <col min="9986" max="9986" width="12.1796875" style="6" customWidth="1"/>
    <col min="9987" max="9987" width="10.81640625" style="6" bestFit="1" customWidth="1"/>
    <col min="9988" max="9988" width="12.453125" style="6" bestFit="1" customWidth="1"/>
    <col min="9989" max="9990" width="12.453125" style="6" customWidth="1"/>
    <col min="9991" max="10226" width="8.7265625" style="6"/>
    <col min="10227" max="10227" width="11.1796875" style="6" bestFit="1" customWidth="1"/>
    <col min="10228" max="10228" width="14.26953125" style="6" customWidth="1"/>
    <col min="10229" max="10229" width="11.81640625" style="6" customWidth="1"/>
    <col min="10230" max="10230" width="10.1796875" style="6" customWidth="1"/>
    <col min="10231" max="10231" width="19" style="6" customWidth="1"/>
    <col min="10232" max="10232" width="11.81640625" style="6" customWidth="1"/>
    <col min="10233" max="10233" width="13.81640625" style="6" customWidth="1"/>
    <col min="10234" max="10234" width="12.26953125" style="6" customWidth="1"/>
    <col min="10235" max="10235" width="12" style="6" customWidth="1"/>
    <col min="10236" max="10236" width="11.453125" style="6" customWidth="1"/>
    <col min="10237" max="10237" width="11.81640625" style="6" customWidth="1"/>
    <col min="10238" max="10238" width="10.81640625" style="6" customWidth="1"/>
    <col min="10239" max="10239" width="11.81640625" style="6" customWidth="1"/>
    <col min="10240" max="10240" width="11.26953125" style="6" customWidth="1"/>
    <col min="10241" max="10241" width="11.453125" style="6" customWidth="1"/>
    <col min="10242" max="10242" width="12.1796875" style="6" customWidth="1"/>
    <col min="10243" max="10243" width="10.81640625" style="6" bestFit="1" customWidth="1"/>
    <col min="10244" max="10244" width="12.453125" style="6" bestFit="1" customWidth="1"/>
    <col min="10245" max="10246" width="12.453125" style="6" customWidth="1"/>
    <col min="10247" max="10482" width="8.7265625" style="6"/>
    <col min="10483" max="10483" width="11.1796875" style="6" bestFit="1" customWidth="1"/>
    <col min="10484" max="10484" width="14.26953125" style="6" customWidth="1"/>
    <col min="10485" max="10485" width="11.81640625" style="6" customWidth="1"/>
    <col min="10486" max="10486" width="10.1796875" style="6" customWidth="1"/>
    <col min="10487" max="10487" width="19" style="6" customWidth="1"/>
    <col min="10488" max="10488" width="11.81640625" style="6" customWidth="1"/>
    <col min="10489" max="10489" width="13.81640625" style="6" customWidth="1"/>
    <col min="10490" max="10490" width="12.26953125" style="6" customWidth="1"/>
    <col min="10491" max="10491" width="12" style="6" customWidth="1"/>
    <col min="10492" max="10492" width="11.453125" style="6" customWidth="1"/>
    <col min="10493" max="10493" width="11.81640625" style="6" customWidth="1"/>
    <col min="10494" max="10494" width="10.81640625" style="6" customWidth="1"/>
    <col min="10495" max="10495" width="11.81640625" style="6" customWidth="1"/>
    <col min="10496" max="10496" width="11.26953125" style="6" customWidth="1"/>
    <col min="10497" max="10497" width="11.453125" style="6" customWidth="1"/>
    <col min="10498" max="10498" width="12.1796875" style="6" customWidth="1"/>
    <col min="10499" max="10499" width="10.81640625" style="6" bestFit="1" customWidth="1"/>
    <col min="10500" max="10500" width="12.453125" style="6" bestFit="1" customWidth="1"/>
    <col min="10501" max="10502" width="12.453125" style="6" customWidth="1"/>
    <col min="10503" max="10738" width="8.7265625" style="6"/>
    <col min="10739" max="10739" width="11.1796875" style="6" bestFit="1" customWidth="1"/>
    <col min="10740" max="10740" width="14.26953125" style="6" customWidth="1"/>
    <col min="10741" max="10741" width="11.81640625" style="6" customWidth="1"/>
    <col min="10742" max="10742" width="10.1796875" style="6" customWidth="1"/>
    <col min="10743" max="10743" width="19" style="6" customWidth="1"/>
    <col min="10744" max="10744" width="11.81640625" style="6" customWidth="1"/>
    <col min="10745" max="10745" width="13.81640625" style="6" customWidth="1"/>
    <col min="10746" max="10746" width="12.26953125" style="6" customWidth="1"/>
    <col min="10747" max="10747" width="12" style="6" customWidth="1"/>
    <col min="10748" max="10748" width="11.453125" style="6" customWidth="1"/>
    <col min="10749" max="10749" width="11.81640625" style="6" customWidth="1"/>
    <col min="10750" max="10750" width="10.81640625" style="6" customWidth="1"/>
    <col min="10751" max="10751" width="11.81640625" style="6" customWidth="1"/>
    <col min="10752" max="10752" width="11.26953125" style="6" customWidth="1"/>
    <col min="10753" max="10753" width="11.453125" style="6" customWidth="1"/>
    <col min="10754" max="10754" width="12.1796875" style="6" customWidth="1"/>
    <col min="10755" max="10755" width="10.81640625" style="6" bestFit="1" customWidth="1"/>
    <col min="10756" max="10756" width="12.453125" style="6" bestFit="1" customWidth="1"/>
    <col min="10757" max="10758" width="12.453125" style="6" customWidth="1"/>
    <col min="10759" max="10994" width="8.7265625" style="6"/>
    <col min="10995" max="10995" width="11.1796875" style="6" bestFit="1" customWidth="1"/>
    <col min="10996" max="10996" width="14.26953125" style="6" customWidth="1"/>
    <col min="10997" max="10997" width="11.81640625" style="6" customWidth="1"/>
    <col min="10998" max="10998" width="10.1796875" style="6" customWidth="1"/>
    <col min="10999" max="10999" width="19" style="6" customWidth="1"/>
    <col min="11000" max="11000" width="11.81640625" style="6" customWidth="1"/>
    <col min="11001" max="11001" width="13.81640625" style="6" customWidth="1"/>
    <col min="11002" max="11002" width="12.26953125" style="6" customWidth="1"/>
    <col min="11003" max="11003" width="12" style="6" customWidth="1"/>
    <col min="11004" max="11004" width="11.453125" style="6" customWidth="1"/>
    <col min="11005" max="11005" width="11.81640625" style="6" customWidth="1"/>
    <col min="11006" max="11006" width="10.81640625" style="6" customWidth="1"/>
    <col min="11007" max="11007" width="11.81640625" style="6" customWidth="1"/>
    <col min="11008" max="11008" width="11.26953125" style="6" customWidth="1"/>
    <col min="11009" max="11009" width="11.453125" style="6" customWidth="1"/>
    <col min="11010" max="11010" width="12.1796875" style="6" customWidth="1"/>
    <col min="11011" max="11011" width="10.81640625" style="6" bestFit="1" customWidth="1"/>
    <col min="11012" max="11012" width="12.453125" style="6" bestFit="1" customWidth="1"/>
    <col min="11013" max="11014" width="12.453125" style="6" customWidth="1"/>
    <col min="11015" max="11250" width="8.7265625" style="6"/>
    <col min="11251" max="11251" width="11.1796875" style="6" bestFit="1" customWidth="1"/>
    <col min="11252" max="11252" width="14.26953125" style="6" customWidth="1"/>
    <col min="11253" max="11253" width="11.81640625" style="6" customWidth="1"/>
    <col min="11254" max="11254" width="10.1796875" style="6" customWidth="1"/>
    <col min="11255" max="11255" width="19" style="6" customWidth="1"/>
    <col min="11256" max="11256" width="11.81640625" style="6" customWidth="1"/>
    <col min="11257" max="11257" width="13.81640625" style="6" customWidth="1"/>
    <col min="11258" max="11258" width="12.26953125" style="6" customWidth="1"/>
    <col min="11259" max="11259" width="12" style="6" customWidth="1"/>
    <col min="11260" max="11260" width="11.453125" style="6" customWidth="1"/>
    <col min="11261" max="11261" width="11.81640625" style="6" customWidth="1"/>
    <col min="11262" max="11262" width="10.81640625" style="6" customWidth="1"/>
    <col min="11263" max="11263" width="11.81640625" style="6" customWidth="1"/>
    <col min="11264" max="11264" width="11.26953125" style="6" customWidth="1"/>
    <col min="11265" max="11265" width="11.453125" style="6" customWidth="1"/>
    <col min="11266" max="11266" width="12.1796875" style="6" customWidth="1"/>
    <col min="11267" max="11267" width="10.81640625" style="6" bestFit="1" customWidth="1"/>
    <col min="11268" max="11268" width="12.453125" style="6" bestFit="1" customWidth="1"/>
    <col min="11269" max="11270" width="12.453125" style="6" customWidth="1"/>
    <col min="11271" max="11506" width="8.7265625" style="6"/>
    <col min="11507" max="11507" width="11.1796875" style="6" bestFit="1" customWidth="1"/>
    <col min="11508" max="11508" width="14.26953125" style="6" customWidth="1"/>
    <col min="11509" max="11509" width="11.81640625" style="6" customWidth="1"/>
    <col min="11510" max="11510" width="10.1796875" style="6" customWidth="1"/>
    <col min="11511" max="11511" width="19" style="6" customWidth="1"/>
    <col min="11512" max="11512" width="11.81640625" style="6" customWidth="1"/>
    <col min="11513" max="11513" width="13.81640625" style="6" customWidth="1"/>
    <col min="11514" max="11514" width="12.26953125" style="6" customWidth="1"/>
    <col min="11515" max="11515" width="12" style="6" customWidth="1"/>
    <col min="11516" max="11516" width="11.453125" style="6" customWidth="1"/>
    <col min="11517" max="11517" width="11.81640625" style="6" customWidth="1"/>
    <col min="11518" max="11518" width="10.81640625" style="6" customWidth="1"/>
    <col min="11519" max="11519" width="11.81640625" style="6" customWidth="1"/>
    <col min="11520" max="11520" width="11.26953125" style="6" customWidth="1"/>
    <col min="11521" max="11521" width="11.453125" style="6" customWidth="1"/>
    <col min="11522" max="11522" width="12.1796875" style="6" customWidth="1"/>
    <col min="11523" max="11523" width="10.81640625" style="6" bestFit="1" customWidth="1"/>
    <col min="11524" max="11524" width="12.453125" style="6" bestFit="1" customWidth="1"/>
    <col min="11525" max="11526" width="12.453125" style="6" customWidth="1"/>
    <col min="11527" max="11762" width="8.7265625" style="6"/>
    <col min="11763" max="11763" width="11.1796875" style="6" bestFit="1" customWidth="1"/>
    <col min="11764" max="11764" width="14.26953125" style="6" customWidth="1"/>
    <col min="11765" max="11765" width="11.81640625" style="6" customWidth="1"/>
    <col min="11766" max="11766" width="10.1796875" style="6" customWidth="1"/>
    <col min="11767" max="11767" width="19" style="6" customWidth="1"/>
    <col min="11768" max="11768" width="11.81640625" style="6" customWidth="1"/>
    <col min="11769" max="11769" width="13.81640625" style="6" customWidth="1"/>
    <col min="11770" max="11770" width="12.26953125" style="6" customWidth="1"/>
    <col min="11771" max="11771" width="12" style="6" customWidth="1"/>
    <col min="11772" max="11772" width="11.453125" style="6" customWidth="1"/>
    <col min="11773" max="11773" width="11.81640625" style="6" customWidth="1"/>
    <col min="11774" max="11774" width="10.81640625" style="6" customWidth="1"/>
    <col min="11775" max="11775" width="11.81640625" style="6" customWidth="1"/>
    <col min="11776" max="11776" width="11.26953125" style="6" customWidth="1"/>
    <col min="11777" max="11777" width="11.453125" style="6" customWidth="1"/>
    <col min="11778" max="11778" width="12.1796875" style="6" customWidth="1"/>
    <col min="11779" max="11779" width="10.81640625" style="6" bestFit="1" customWidth="1"/>
    <col min="11780" max="11780" width="12.453125" style="6" bestFit="1" customWidth="1"/>
    <col min="11781" max="11782" width="12.453125" style="6" customWidth="1"/>
    <col min="11783" max="12018" width="8.7265625" style="6"/>
    <col min="12019" max="12019" width="11.1796875" style="6" bestFit="1" customWidth="1"/>
    <col min="12020" max="12020" width="14.26953125" style="6" customWidth="1"/>
    <col min="12021" max="12021" width="11.81640625" style="6" customWidth="1"/>
    <col min="12022" max="12022" width="10.1796875" style="6" customWidth="1"/>
    <col min="12023" max="12023" width="19" style="6" customWidth="1"/>
    <col min="12024" max="12024" width="11.81640625" style="6" customWidth="1"/>
    <col min="12025" max="12025" width="13.81640625" style="6" customWidth="1"/>
    <col min="12026" max="12026" width="12.26953125" style="6" customWidth="1"/>
    <col min="12027" max="12027" width="12" style="6" customWidth="1"/>
    <col min="12028" max="12028" width="11.453125" style="6" customWidth="1"/>
    <col min="12029" max="12029" width="11.81640625" style="6" customWidth="1"/>
    <col min="12030" max="12030" width="10.81640625" style="6" customWidth="1"/>
    <col min="12031" max="12031" width="11.81640625" style="6" customWidth="1"/>
    <col min="12032" max="12032" width="11.26953125" style="6" customWidth="1"/>
    <col min="12033" max="12033" width="11.453125" style="6" customWidth="1"/>
    <col min="12034" max="12034" width="12.1796875" style="6" customWidth="1"/>
    <col min="12035" max="12035" width="10.81640625" style="6" bestFit="1" customWidth="1"/>
    <col min="12036" max="12036" width="12.453125" style="6" bestFit="1" customWidth="1"/>
    <col min="12037" max="12038" width="12.453125" style="6" customWidth="1"/>
    <col min="12039" max="12274" width="8.7265625" style="6"/>
    <col min="12275" max="12275" width="11.1796875" style="6" bestFit="1" customWidth="1"/>
    <col min="12276" max="12276" width="14.26953125" style="6" customWidth="1"/>
    <col min="12277" max="12277" width="11.81640625" style="6" customWidth="1"/>
    <col min="12278" max="12278" width="10.1796875" style="6" customWidth="1"/>
    <col min="12279" max="12279" width="19" style="6" customWidth="1"/>
    <col min="12280" max="12280" width="11.81640625" style="6" customWidth="1"/>
    <col min="12281" max="12281" width="13.81640625" style="6" customWidth="1"/>
    <col min="12282" max="12282" width="12.26953125" style="6" customWidth="1"/>
    <col min="12283" max="12283" width="12" style="6" customWidth="1"/>
    <col min="12284" max="12284" width="11.453125" style="6" customWidth="1"/>
    <col min="12285" max="12285" width="11.81640625" style="6" customWidth="1"/>
    <col min="12286" max="12286" width="10.81640625" style="6" customWidth="1"/>
    <col min="12287" max="12287" width="11.81640625" style="6" customWidth="1"/>
    <col min="12288" max="12288" width="11.26953125" style="6" customWidth="1"/>
    <col min="12289" max="12289" width="11.453125" style="6" customWidth="1"/>
    <col min="12290" max="12290" width="12.1796875" style="6" customWidth="1"/>
    <col min="12291" max="12291" width="10.81640625" style="6" bestFit="1" customWidth="1"/>
    <col min="12292" max="12292" width="12.453125" style="6" bestFit="1" customWidth="1"/>
    <col min="12293" max="12294" width="12.453125" style="6" customWidth="1"/>
    <col min="12295" max="12530" width="8.7265625" style="6"/>
    <col min="12531" max="12531" width="11.1796875" style="6" bestFit="1" customWidth="1"/>
    <col min="12532" max="12532" width="14.26953125" style="6" customWidth="1"/>
    <col min="12533" max="12533" width="11.81640625" style="6" customWidth="1"/>
    <col min="12534" max="12534" width="10.1796875" style="6" customWidth="1"/>
    <col min="12535" max="12535" width="19" style="6" customWidth="1"/>
    <col min="12536" max="12536" width="11.81640625" style="6" customWidth="1"/>
    <col min="12537" max="12537" width="13.81640625" style="6" customWidth="1"/>
    <col min="12538" max="12538" width="12.26953125" style="6" customWidth="1"/>
    <col min="12539" max="12539" width="12" style="6" customWidth="1"/>
    <col min="12540" max="12540" width="11.453125" style="6" customWidth="1"/>
    <col min="12541" max="12541" width="11.81640625" style="6" customWidth="1"/>
    <col min="12542" max="12542" width="10.81640625" style="6" customWidth="1"/>
    <col min="12543" max="12543" width="11.81640625" style="6" customWidth="1"/>
    <col min="12544" max="12544" width="11.26953125" style="6" customWidth="1"/>
    <col min="12545" max="12545" width="11.453125" style="6" customWidth="1"/>
    <col min="12546" max="12546" width="12.1796875" style="6" customWidth="1"/>
    <col min="12547" max="12547" width="10.81640625" style="6" bestFit="1" customWidth="1"/>
    <col min="12548" max="12548" width="12.453125" style="6" bestFit="1" customWidth="1"/>
    <col min="12549" max="12550" width="12.453125" style="6" customWidth="1"/>
    <col min="12551" max="12786" width="8.7265625" style="6"/>
    <col min="12787" max="12787" width="11.1796875" style="6" bestFit="1" customWidth="1"/>
    <col min="12788" max="12788" width="14.26953125" style="6" customWidth="1"/>
    <col min="12789" max="12789" width="11.81640625" style="6" customWidth="1"/>
    <col min="12790" max="12790" width="10.1796875" style="6" customWidth="1"/>
    <col min="12791" max="12791" width="19" style="6" customWidth="1"/>
    <col min="12792" max="12792" width="11.81640625" style="6" customWidth="1"/>
    <col min="12793" max="12793" width="13.81640625" style="6" customWidth="1"/>
    <col min="12794" max="12794" width="12.26953125" style="6" customWidth="1"/>
    <col min="12795" max="12795" width="12" style="6" customWidth="1"/>
    <col min="12796" max="12796" width="11.453125" style="6" customWidth="1"/>
    <col min="12797" max="12797" width="11.81640625" style="6" customWidth="1"/>
    <col min="12798" max="12798" width="10.81640625" style="6" customWidth="1"/>
    <col min="12799" max="12799" width="11.81640625" style="6" customWidth="1"/>
    <col min="12800" max="12800" width="11.26953125" style="6" customWidth="1"/>
    <col min="12801" max="12801" width="11.453125" style="6" customWidth="1"/>
    <col min="12802" max="12802" width="12.1796875" style="6" customWidth="1"/>
    <col min="12803" max="12803" width="10.81640625" style="6" bestFit="1" customWidth="1"/>
    <col min="12804" max="12804" width="12.453125" style="6" bestFit="1" customWidth="1"/>
    <col min="12805" max="12806" width="12.453125" style="6" customWidth="1"/>
    <col min="12807" max="13042" width="8.7265625" style="6"/>
    <col min="13043" max="13043" width="11.1796875" style="6" bestFit="1" customWidth="1"/>
    <col min="13044" max="13044" width="14.26953125" style="6" customWidth="1"/>
    <col min="13045" max="13045" width="11.81640625" style="6" customWidth="1"/>
    <col min="13046" max="13046" width="10.1796875" style="6" customWidth="1"/>
    <col min="13047" max="13047" width="19" style="6" customWidth="1"/>
    <col min="13048" max="13048" width="11.81640625" style="6" customWidth="1"/>
    <col min="13049" max="13049" width="13.81640625" style="6" customWidth="1"/>
    <col min="13050" max="13050" width="12.26953125" style="6" customWidth="1"/>
    <col min="13051" max="13051" width="12" style="6" customWidth="1"/>
    <col min="13052" max="13052" width="11.453125" style="6" customWidth="1"/>
    <col min="13053" max="13053" width="11.81640625" style="6" customWidth="1"/>
    <col min="13054" max="13054" width="10.81640625" style="6" customWidth="1"/>
    <col min="13055" max="13055" width="11.81640625" style="6" customWidth="1"/>
    <col min="13056" max="13056" width="11.26953125" style="6" customWidth="1"/>
    <col min="13057" max="13057" width="11.453125" style="6" customWidth="1"/>
    <col min="13058" max="13058" width="12.1796875" style="6" customWidth="1"/>
    <col min="13059" max="13059" width="10.81640625" style="6" bestFit="1" customWidth="1"/>
    <col min="13060" max="13060" width="12.453125" style="6" bestFit="1" customWidth="1"/>
    <col min="13061" max="13062" width="12.453125" style="6" customWidth="1"/>
    <col min="13063" max="13298" width="8.7265625" style="6"/>
    <col min="13299" max="13299" width="11.1796875" style="6" bestFit="1" customWidth="1"/>
    <col min="13300" max="13300" width="14.26953125" style="6" customWidth="1"/>
    <col min="13301" max="13301" width="11.81640625" style="6" customWidth="1"/>
    <col min="13302" max="13302" width="10.1796875" style="6" customWidth="1"/>
    <col min="13303" max="13303" width="19" style="6" customWidth="1"/>
    <col min="13304" max="13304" width="11.81640625" style="6" customWidth="1"/>
    <col min="13305" max="13305" width="13.81640625" style="6" customWidth="1"/>
    <col min="13306" max="13306" width="12.26953125" style="6" customWidth="1"/>
    <col min="13307" max="13307" width="12" style="6" customWidth="1"/>
    <col min="13308" max="13308" width="11.453125" style="6" customWidth="1"/>
    <col min="13309" max="13309" width="11.81640625" style="6" customWidth="1"/>
    <col min="13310" max="13310" width="10.81640625" style="6" customWidth="1"/>
    <col min="13311" max="13311" width="11.81640625" style="6" customWidth="1"/>
    <col min="13312" max="13312" width="11.26953125" style="6" customWidth="1"/>
    <col min="13313" max="13313" width="11.453125" style="6" customWidth="1"/>
    <col min="13314" max="13314" width="12.1796875" style="6" customWidth="1"/>
    <col min="13315" max="13315" width="10.81640625" style="6" bestFit="1" customWidth="1"/>
    <col min="13316" max="13316" width="12.453125" style="6" bestFit="1" customWidth="1"/>
    <col min="13317" max="13318" width="12.453125" style="6" customWidth="1"/>
    <col min="13319" max="13554" width="8.7265625" style="6"/>
    <col min="13555" max="13555" width="11.1796875" style="6" bestFit="1" customWidth="1"/>
    <col min="13556" max="13556" width="14.26953125" style="6" customWidth="1"/>
    <col min="13557" max="13557" width="11.81640625" style="6" customWidth="1"/>
    <col min="13558" max="13558" width="10.1796875" style="6" customWidth="1"/>
    <col min="13559" max="13559" width="19" style="6" customWidth="1"/>
    <col min="13560" max="13560" width="11.81640625" style="6" customWidth="1"/>
    <col min="13561" max="13561" width="13.81640625" style="6" customWidth="1"/>
    <col min="13562" max="13562" width="12.26953125" style="6" customWidth="1"/>
    <col min="13563" max="13563" width="12" style="6" customWidth="1"/>
    <col min="13564" max="13564" width="11.453125" style="6" customWidth="1"/>
    <col min="13565" max="13565" width="11.81640625" style="6" customWidth="1"/>
    <col min="13566" max="13566" width="10.81640625" style="6" customWidth="1"/>
    <col min="13567" max="13567" width="11.81640625" style="6" customWidth="1"/>
    <col min="13568" max="13568" width="11.26953125" style="6" customWidth="1"/>
    <col min="13569" max="13569" width="11.453125" style="6" customWidth="1"/>
    <col min="13570" max="13570" width="12.1796875" style="6" customWidth="1"/>
    <col min="13571" max="13571" width="10.81640625" style="6" bestFit="1" customWidth="1"/>
    <col min="13572" max="13572" width="12.453125" style="6" bestFit="1" customWidth="1"/>
    <col min="13573" max="13574" width="12.453125" style="6" customWidth="1"/>
    <col min="13575" max="13810" width="8.7265625" style="6"/>
    <col min="13811" max="13811" width="11.1796875" style="6" bestFit="1" customWidth="1"/>
    <col min="13812" max="13812" width="14.26953125" style="6" customWidth="1"/>
    <col min="13813" max="13813" width="11.81640625" style="6" customWidth="1"/>
    <col min="13814" max="13814" width="10.1796875" style="6" customWidth="1"/>
    <col min="13815" max="13815" width="19" style="6" customWidth="1"/>
    <col min="13816" max="13816" width="11.81640625" style="6" customWidth="1"/>
    <col min="13817" max="13817" width="13.81640625" style="6" customWidth="1"/>
    <col min="13818" max="13818" width="12.26953125" style="6" customWidth="1"/>
    <col min="13819" max="13819" width="12" style="6" customWidth="1"/>
    <col min="13820" max="13820" width="11.453125" style="6" customWidth="1"/>
    <col min="13821" max="13821" width="11.81640625" style="6" customWidth="1"/>
    <col min="13822" max="13822" width="10.81640625" style="6" customWidth="1"/>
    <col min="13823" max="13823" width="11.81640625" style="6" customWidth="1"/>
    <col min="13824" max="13824" width="11.26953125" style="6" customWidth="1"/>
    <col min="13825" max="13825" width="11.453125" style="6" customWidth="1"/>
    <col min="13826" max="13826" width="12.1796875" style="6" customWidth="1"/>
    <col min="13827" max="13827" width="10.81640625" style="6" bestFit="1" customWidth="1"/>
    <col min="13828" max="13828" width="12.453125" style="6" bestFit="1" customWidth="1"/>
    <col min="13829" max="13830" width="12.453125" style="6" customWidth="1"/>
    <col min="13831" max="14066" width="8.7265625" style="6"/>
    <col min="14067" max="14067" width="11.1796875" style="6" bestFit="1" customWidth="1"/>
    <col min="14068" max="14068" width="14.26953125" style="6" customWidth="1"/>
    <col min="14069" max="14069" width="11.81640625" style="6" customWidth="1"/>
    <col min="14070" max="14070" width="10.1796875" style="6" customWidth="1"/>
    <col min="14071" max="14071" width="19" style="6" customWidth="1"/>
    <col min="14072" max="14072" width="11.81640625" style="6" customWidth="1"/>
    <col min="14073" max="14073" width="13.81640625" style="6" customWidth="1"/>
    <col min="14074" max="14074" width="12.26953125" style="6" customWidth="1"/>
    <col min="14075" max="14075" width="12" style="6" customWidth="1"/>
    <col min="14076" max="14076" width="11.453125" style="6" customWidth="1"/>
    <col min="14077" max="14077" width="11.81640625" style="6" customWidth="1"/>
    <col min="14078" max="14078" width="10.81640625" style="6" customWidth="1"/>
    <col min="14079" max="14079" width="11.81640625" style="6" customWidth="1"/>
    <col min="14080" max="14080" width="11.26953125" style="6" customWidth="1"/>
    <col min="14081" max="14081" width="11.453125" style="6" customWidth="1"/>
    <col min="14082" max="14082" width="12.1796875" style="6" customWidth="1"/>
    <col min="14083" max="14083" width="10.81640625" style="6" bestFit="1" customWidth="1"/>
    <col min="14084" max="14084" width="12.453125" style="6" bestFit="1" customWidth="1"/>
    <col min="14085" max="14086" width="12.453125" style="6" customWidth="1"/>
    <col min="14087" max="14322" width="8.7265625" style="6"/>
    <col min="14323" max="14323" width="11.1796875" style="6" bestFit="1" customWidth="1"/>
    <col min="14324" max="14324" width="14.26953125" style="6" customWidth="1"/>
    <col min="14325" max="14325" width="11.81640625" style="6" customWidth="1"/>
    <col min="14326" max="14326" width="10.1796875" style="6" customWidth="1"/>
    <col min="14327" max="14327" width="19" style="6" customWidth="1"/>
    <col min="14328" max="14328" width="11.81640625" style="6" customWidth="1"/>
    <col min="14329" max="14329" width="13.81640625" style="6" customWidth="1"/>
    <col min="14330" max="14330" width="12.26953125" style="6" customWidth="1"/>
    <col min="14331" max="14331" width="12" style="6" customWidth="1"/>
    <col min="14332" max="14332" width="11.453125" style="6" customWidth="1"/>
    <col min="14333" max="14333" width="11.81640625" style="6" customWidth="1"/>
    <col min="14334" max="14334" width="10.81640625" style="6" customWidth="1"/>
    <col min="14335" max="14335" width="11.81640625" style="6" customWidth="1"/>
    <col min="14336" max="14336" width="11.26953125" style="6" customWidth="1"/>
    <col min="14337" max="14337" width="11.453125" style="6" customWidth="1"/>
    <col min="14338" max="14338" width="12.1796875" style="6" customWidth="1"/>
    <col min="14339" max="14339" width="10.81640625" style="6" bestFit="1" customWidth="1"/>
    <col min="14340" max="14340" width="12.453125" style="6" bestFit="1" customWidth="1"/>
    <col min="14341" max="14342" width="12.453125" style="6" customWidth="1"/>
    <col min="14343" max="14578" width="8.7265625" style="6"/>
    <col min="14579" max="14579" width="11.1796875" style="6" bestFit="1" customWidth="1"/>
    <col min="14580" max="14580" width="14.26953125" style="6" customWidth="1"/>
    <col min="14581" max="14581" width="11.81640625" style="6" customWidth="1"/>
    <col min="14582" max="14582" width="10.1796875" style="6" customWidth="1"/>
    <col min="14583" max="14583" width="19" style="6" customWidth="1"/>
    <col min="14584" max="14584" width="11.81640625" style="6" customWidth="1"/>
    <col min="14585" max="14585" width="13.81640625" style="6" customWidth="1"/>
    <col min="14586" max="14586" width="12.26953125" style="6" customWidth="1"/>
    <col min="14587" max="14587" width="12" style="6" customWidth="1"/>
    <col min="14588" max="14588" width="11.453125" style="6" customWidth="1"/>
    <col min="14589" max="14589" width="11.81640625" style="6" customWidth="1"/>
    <col min="14590" max="14590" width="10.81640625" style="6" customWidth="1"/>
    <col min="14591" max="14591" width="11.81640625" style="6" customWidth="1"/>
    <col min="14592" max="14592" width="11.26953125" style="6" customWidth="1"/>
    <col min="14593" max="14593" width="11.453125" style="6" customWidth="1"/>
    <col min="14594" max="14594" width="12.1796875" style="6" customWidth="1"/>
    <col min="14595" max="14595" width="10.81640625" style="6" bestFit="1" customWidth="1"/>
    <col min="14596" max="14596" width="12.453125" style="6" bestFit="1" customWidth="1"/>
    <col min="14597" max="14598" width="12.453125" style="6" customWidth="1"/>
    <col min="14599" max="14834" width="8.7265625" style="6"/>
    <col min="14835" max="14835" width="11.1796875" style="6" bestFit="1" customWidth="1"/>
    <col min="14836" max="14836" width="14.26953125" style="6" customWidth="1"/>
    <col min="14837" max="14837" width="11.81640625" style="6" customWidth="1"/>
    <col min="14838" max="14838" width="10.1796875" style="6" customWidth="1"/>
    <col min="14839" max="14839" width="19" style="6" customWidth="1"/>
    <col min="14840" max="14840" width="11.81640625" style="6" customWidth="1"/>
    <col min="14841" max="14841" width="13.81640625" style="6" customWidth="1"/>
    <col min="14842" max="14842" width="12.26953125" style="6" customWidth="1"/>
    <col min="14843" max="14843" width="12" style="6" customWidth="1"/>
    <col min="14844" max="14844" width="11.453125" style="6" customWidth="1"/>
    <col min="14845" max="14845" width="11.81640625" style="6" customWidth="1"/>
    <col min="14846" max="14846" width="10.81640625" style="6" customWidth="1"/>
    <col min="14847" max="14847" width="11.81640625" style="6" customWidth="1"/>
    <col min="14848" max="14848" width="11.26953125" style="6" customWidth="1"/>
    <col min="14849" max="14849" width="11.453125" style="6" customWidth="1"/>
    <col min="14850" max="14850" width="12.1796875" style="6" customWidth="1"/>
    <col min="14851" max="14851" width="10.81640625" style="6" bestFit="1" customWidth="1"/>
    <col min="14852" max="14852" width="12.453125" style="6" bestFit="1" customWidth="1"/>
    <col min="14853" max="14854" width="12.453125" style="6" customWidth="1"/>
    <col min="14855" max="15090" width="8.7265625" style="6"/>
    <col min="15091" max="15091" width="11.1796875" style="6" bestFit="1" customWidth="1"/>
    <col min="15092" max="15092" width="14.26953125" style="6" customWidth="1"/>
    <col min="15093" max="15093" width="11.81640625" style="6" customWidth="1"/>
    <col min="15094" max="15094" width="10.1796875" style="6" customWidth="1"/>
    <col min="15095" max="15095" width="19" style="6" customWidth="1"/>
    <col min="15096" max="15096" width="11.81640625" style="6" customWidth="1"/>
    <col min="15097" max="15097" width="13.81640625" style="6" customWidth="1"/>
    <col min="15098" max="15098" width="12.26953125" style="6" customWidth="1"/>
    <col min="15099" max="15099" width="12" style="6" customWidth="1"/>
    <col min="15100" max="15100" width="11.453125" style="6" customWidth="1"/>
    <col min="15101" max="15101" width="11.81640625" style="6" customWidth="1"/>
    <col min="15102" max="15102" width="10.81640625" style="6" customWidth="1"/>
    <col min="15103" max="15103" width="11.81640625" style="6" customWidth="1"/>
    <col min="15104" max="15104" width="11.26953125" style="6" customWidth="1"/>
    <col min="15105" max="15105" width="11.453125" style="6" customWidth="1"/>
    <col min="15106" max="15106" width="12.1796875" style="6" customWidth="1"/>
    <col min="15107" max="15107" width="10.81640625" style="6" bestFit="1" customWidth="1"/>
    <col min="15108" max="15108" width="12.453125" style="6" bestFit="1" customWidth="1"/>
    <col min="15109" max="15110" width="12.453125" style="6" customWidth="1"/>
    <col min="15111" max="15346" width="8.7265625" style="6"/>
    <col min="15347" max="15347" width="11.1796875" style="6" bestFit="1" customWidth="1"/>
    <col min="15348" max="15348" width="14.26953125" style="6" customWidth="1"/>
    <col min="15349" max="15349" width="11.81640625" style="6" customWidth="1"/>
    <col min="15350" max="15350" width="10.1796875" style="6" customWidth="1"/>
    <col min="15351" max="15351" width="19" style="6" customWidth="1"/>
    <col min="15352" max="15352" width="11.81640625" style="6" customWidth="1"/>
    <col min="15353" max="15353" width="13.81640625" style="6" customWidth="1"/>
    <col min="15354" max="15354" width="12.26953125" style="6" customWidth="1"/>
    <col min="15355" max="15355" width="12" style="6" customWidth="1"/>
    <col min="15356" max="15356" width="11.453125" style="6" customWidth="1"/>
    <col min="15357" max="15357" width="11.81640625" style="6" customWidth="1"/>
    <col min="15358" max="15358" width="10.81640625" style="6" customWidth="1"/>
    <col min="15359" max="15359" width="11.81640625" style="6" customWidth="1"/>
    <col min="15360" max="15360" width="11.26953125" style="6" customWidth="1"/>
    <col min="15361" max="15361" width="11.453125" style="6" customWidth="1"/>
    <col min="15362" max="15362" width="12.1796875" style="6" customWidth="1"/>
    <col min="15363" max="15363" width="10.81640625" style="6" bestFit="1" customWidth="1"/>
    <col min="15364" max="15364" width="12.453125" style="6" bestFit="1" customWidth="1"/>
    <col min="15365" max="15366" width="12.453125" style="6" customWidth="1"/>
    <col min="15367" max="15602" width="8.7265625" style="6"/>
    <col min="15603" max="15603" width="11.1796875" style="6" bestFit="1" customWidth="1"/>
    <col min="15604" max="15604" width="14.26953125" style="6" customWidth="1"/>
    <col min="15605" max="15605" width="11.81640625" style="6" customWidth="1"/>
    <col min="15606" max="15606" width="10.1796875" style="6" customWidth="1"/>
    <col min="15607" max="15607" width="19" style="6" customWidth="1"/>
    <col min="15608" max="15608" width="11.81640625" style="6" customWidth="1"/>
    <col min="15609" max="15609" width="13.81640625" style="6" customWidth="1"/>
    <col min="15610" max="15610" width="12.26953125" style="6" customWidth="1"/>
    <col min="15611" max="15611" width="12" style="6" customWidth="1"/>
    <col min="15612" max="15612" width="11.453125" style="6" customWidth="1"/>
    <col min="15613" max="15613" width="11.81640625" style="6" customWidth="1"/>
    <col min="15614" max="15614" width="10.81640625" style="6" customWidth="1"/>
    <col min="15615" max="15615" width="11.81640625" style="6" customWidth="1"/>
    <col min="15616" max="15616" width="11.26953125" style="6" customWidth="1"/>
    <col min="15617" max="15617" width="11.453125" style="6" customWidth="1"/>
    <col min="15618" max="15618" width="12.1796875" style="6" customWidth="1"/>
    <col min="15619" max="15619" width="10.81640625" style="6" bestFit="1" customWidth="1"/>
    <col min="15620" max="15620" width="12.453125" style="6" bestFit="1" customWidth="1"/>
    <col min="15621" max="15622" width="12.453125" style="6" customWidth="1"/>
    <col min="15623" max="15858" width="8.7265625" style="6"/>
    <col min="15859" max="15859" width="11.1796875" style="6" bestFit="1" customWidth="1"/>
    <col min="15860" max="15860" width="14.26953125" style="6" customWidth="1"/>
    <col min="15861" max="15861" width="11.81640625" style="6" customWidth="1"/>
    <col min="15862" max="15862" width="10.1796875" style="6" customWidth="1"/>
    <col min="15863" max="15863" width="19" style="6" customWidth="1"/>
    <col min="15864" max="15864" width="11.81640625" style="6" customWidth="1"/>
    <col min="15865" max="15865" width="13.81640625" style="6" customWidth="1"/>
    <col min="15866" max="15866" width="12.26953125" style="6" customWidth="1"/>
    <col min="15867" max="15867" width="12" style="6" customWidth="1"/>
    <col min="15868" max="15868" width="11.453125" style="6" customWidth="1"/>
    <col min="15869" max="15869" width="11.81640625" style="6" customWidth="1"/>
    <col min="15870" max="15870" width="10.81640625" style="6" customWidth="1"/>
    <col min="15871" max="15871" width="11.81640625" style="6" customWidth="1"/>
    <col min="15872" max="15872" width="11.26953125" style="6" customWidth="1"/>
    <col min="15873" max="15873" width="11.453125" style="6" customWidth="1"/>
    <col min="15874" max="15874" width="12.1796875" style="6" customWidth="1"/>
    <col min="15875" max="15875" width="10.81640625" style="6" bestFit="1" customWidth="1"/>
    <col min="15876" max="15876" width="12.453125" style="6" bestFit="1" customWidth="1"/>
    <col min="15877" max="15878" width="12.453125" style="6" customWidth="1"/>
    <col min="15879" max="16114" width="8.7265625" style="6"/>
    <col min="16115" max="16115" width="11.1796875" style="6" bestFit="1" customWidth="1"/>
    <col min="16116" max="16116" width="14.26953125" style="6" customWidth="1"/>
    <col min="16117" max="16117" width="11.81640625" style="6" customWidth="1"/>
    <col min="16118" max="16118" width="10.1796875" style="6" customWidth="1"/>
    <col min="16119" max="16119" width="19" style="6" customWidth="1"/>
    <col min="16120" max="16120" width="11.81640625" style="6" customWidth="1"/>
    <col min="16121" max="16121" width="13.81640625" style="6" customWidth="1"/>
    <col min="16122" max="16122" width="12.26953125" style="6" customWidth="1"/>
    <col min="16123" max="16123" width="12" style="6" customWidth="1"/>
    <col min="16124" max="16124" width="11.453125" style="6" customWidth="1"/>
    <col min="16125" max="16125" width="11.81640625" style="6" customWidth="1"/>
    <col min="16126" max="16126" width="10.81640625" style="6" customWidth="1"/>
    <col min="16127" max="16127" width="11.81640625" style="6" customWidth="1"/>
    <col min="16128" max="16128" width="11.26953125" style="6" customWidth="1"/>
    <col min="16129" max="16129" width="11.453125" style="6" customWidth="1"/>
    <col min="16130" max="16130" width="12.1796875" style="6" customWidth="1"/>
    <col min="16131" max="16131" width="10.81640625" style="6" bestFit="1" customWidth="1"/>
    <col min="16132" max="16132" width="12.453125" style="6" bestFit="1" customWidth="1"/>
    <col min="16133" max="16134" width="12.453125" style="6" customWidth="1"/>
    <col min="16135" max="16384" width="8.7265625" style="6"/>
  </cols>
  <sheetData>
    <row r="1" spans="1:14" ht="14" x14ac:dyDescent="0.3">
      <c r="A1" s="52" t="s">
        <v>0</v>
      </c>
    </row>
    <row r="2" spans="1:14" ht="14" x14ac:dyDescent="0.3">
      <c r="A2" s="52" t="s">
        <v>1</v>
      </c>
      <c r="E2" s="7"/>
      <c r="F2" s="39"/>
    </row>
    <row r="3" spans="1:14" ht="14" x14ac:dyDescent="0.3">
      <c r="A3" s="52"/>
    </row>
    <row r="4" spans="1:14" ht="13" x14ac:dyDescent="0.3">
      <c r="A4" s="7"/>
    </row>
    <row r="5" spans="1:14" ht="13" x14ac:dyDescent="0.3">
      <c r="A5" s="7"/>
    </row>
    <row r="6" spans="1:14" ht="13" x14ac:dyDescent="0.3">
      <c r="A6" s="51" t="s">
        <v>2</v>
      </c>
      <c r="B6" s="49"/>
      <c r="C6" s="50" t="s">
        <v>3</v>
      </c>
      <c r="D6" s="49"/>
      <c r="E6" s="48"/>
      <c r="F6" s="41">
        <v>2026</v>
      </c>
      <c r="G6" s="41">
        <v>2026</v>
      </c>
      <c r="H6" s="41">
        <v>2026</v>
      </c>
    </row>
    <row r="7" spans="1:14" ht="13" x14ac:dyDescent="0.3">
      <c r="A7" s="47"/>
      <c r="B7" s="42"/>
      <c r="C7" s="46"/>
      <c r="D7" s="45"/>
      <c r="E7" s="44"/>
      <c r="F7" s="43"/>
      <c r="G7" s="43"/>
      <c r="H7" s="43"/>
    </row>
    <row r="8" spans="1:14" ht="13" x14ac:dyDescent="0.3">
      <c r="C8" s="7"/>
      <c r="D8" s="41"/>
    </row>
    <row r="9" spans="1:14" x14ac:dyDescent="0.25">
      <c r="A9" s="6" t="s">
        <v>4</v>
      </c>
    </row>
    <row r="10" spans="1:14" ht="14.5" x14ac:dyDescent="0.35">
      <c r="B10" s="29" t="s">
        <v>5</v>
      </c>
      <c r="F10" s="56" t="s">
        <v>6</v>
      </c>
      <c r="G10" s="56">
        <v>7500</v>
      </c>
      <c r="H10" s="57">
        <f>G10*1.05</f>
        <v>7875</v>
      </c>
    </row>
    <row r="11" spans="1:14" ht="14.5" x14ac:dyDescent="0.35">
      <c r="B11" s="29" t="s">
        <v>7</v>
      </c>
      <c r="F11" s="57">
        <f>L15</f>
        <v>30000</v>
      </c>
      <c r="G11" s="57">
        <f>F11*1.05</f>
        <v>31500</v>
      </c>
      <c r="H11" s="57">
        <f>G11*1.05</f>
        <v>33075</v>
      </c>
    </row>
    <row r="12" spans="1:14" ht="14.5" x14ac:dyDescent="0.35">
      <c r="B12" s="29" t="s">
        <v>8</v>
      </c>
      <c r="F12" s="57">
        <v>13500</v>
      </c>
      <c r="G12" s="57">
        <v>13500</v>
      </c>
      <c r="H12" s="57">
        <v>13500</v>
      </c>
      <c r="L12" s="29" t="s">
        <v>9</v>
      </c>
    </row>
    <row r="13" spans="1:14" ht="14.5" x14ac:dyDescent="0.35">
      <c r="B13" s="29" t="s">
        <v>10</v>
      </c>
      <c r="F13" s="57" t="s">
        <v>6</v>
      </c>
      <c r="G13" s="57">
        <v>10000</v>
      </c>
      <c r="H13" s="57">
        <v>10000</v>
      </c>
      <c r="L13" s="6">
        <v>100</v>
      </c>
      <c r="M13" s="29" t="s">
        <v>11</v>
      </c>
    </row>
    <row r="14" spans="1:14" ht="14.5" x14ac:dyDescent="0.35">
      <c r="B14" s="29" t="s">
        <v>12</v>
      </c>
      <c r="F14" s="57">
        <v>10000</v>
      </c>
      <c r="G14" s="57">
        <v>10000</v>
      </c>
      <c r="H14" s="57">
        <v>10000</v>
      </c>
      <c r="L14" s="28">
        <v>300</v>
      </c>
      <c r="M14" s="29" t="s">
        <v>13</v>
      </c>
      <c r="N14" s="29"/>
    </row>
    <row r="15" spans="1:14" ht="14.5" x14ac:dyDescent="0.35">
      <c r="B15" s="29" t="s">
        <v>14</v>
      </c>
      <c r="F15" s="57" t="s">
        <v>6</v>
      </c>
      <c r="G15" s="57">
        <v>9688</v>
      </c>
      <c r="H15" s="57">
        <v>15858</v>
      </c>
      <c r="L15" s="26">
        <f>L13*L14</f>
        <v>30000</v>
      </c>
      <c r="M15" s="6" t="s">
        <v>15</v>
      </c>
    </row>
    <row r="16" spans="1:14" x14ac:dyDescent="0.25">
      <c r="L16" s="29" t="s">
        <v>16</v>
      </c>
    </row>
    <row r="17" spans="1:14" ht="13" x14ac:dyDescent="0.3">
      <c r="B17" s="6" t="s">
        <v>17</v>
      </c>
      <c r="F17" s="40">
        <f>SUM(F10:F15)</f>
        <v>53500</v>
      </c>
      <c r="G17" s="40">
        <f t="shared" ref="G17:H17" si="0">SUM(G10:G15)</f>
        <v>82188</v>
      </c>
      <c r="H17" s="40">
        <f t="shared" si="0"/>
        <v>90308</v>
      </c>
      <c r="L17" s="6">
        <v>100</v>
      </c>
      <c r="M17" s="29" t="s">
        <v>11</v>
      </c>
    </row>
    <row r="18" spans="1:14" ht="14.5" x14ac:dyDescent="0.35">
      <c r="A18" s="6" t="s">
        <v>18</v>
      </c>
      <c r="L18" s="28">
        <v>125</v>
      </c>
      <c r="M18" s="29" t="s">
        <v>13</v>
      </c>
      <c r="N18" s="29"/>
    </row>
    <row r="19" spans="1:14" ht="14.5" x14ac:dyDescent="0.35">
      <c r="A19" s="35" t="s">
        <v>19</v>
      </c>
      <c r="L19" s="26">
        <f>L17*L18</f>
        <v>12500</v>
      </c>
      <c r="M19" s="6" t="s">
        <v>15</v>
      </c>
    </row>
    <row r="20" spans="1:14" ht="14.5" x14ac:dyDescent="0.35">
      <c r="A20" s="35"/>
      <c r="B20" s="31"/>
      <c r="C20" s="31"/>
      <c r="D20" s="38"/>
      <c r="E20" s="31"/>
      <c r="F20" s="33"/>
      <c r="G20" s="33"/>
      <c r="H20" s="33"/>
      <c r="L20" s="24"/>
    </row>
    <row r="21" spans="1:14" x14ac:dyDescent="0.25">
      <c r="A21" s="35"/>
    </row>
    <row r="22" spans="1:14" ht="14.5" x14ac:dyDescent="0.35">
      <c r="A22" s="35"/>
      <c r="B22" s="29" t="s">
        <v>5</v>
      </c>
      <c r="F22" s="13">
        <v>3000</v>
      </c>
      <c r="G22" s="57">
        <f t="shared" ref="G22:H22" si="1">F22*1.05</f>
        <v>3150</v>
      </c>
      <c r="H22" s="57">
        <f t="shared" si="1"/>
        <v>3307.5</v>
      </c>
    </row>
    <row r="23" spans="1:14" ht="14.5" x14ac:dyDescent="0.35">
      <c r="B23" s="6" t="s">
        <v>20</v>
      </c>
      <c r="F23" s="13">
        <v>1000</v>
      </c>
      <c r="G23" s="13">
        <v>1000</v>
      </c>
      <c r="H23" s="13">
        <v>1000</v>
      </c>
    </row>
    <row r="24" spans="1:14" ht="14.5" x14ac:dyDescent="0.35">
      <c r="B24" s="6" t="s">
        <v>21</v>
      </c>
      <c r="F24" s="13">
        <f>L19</f>
        <v>12500</v>
      </c>
      <c r="G24" s="57">
        <f t="shared" ref="G24:H24" si="2">F24*1.05</f>
        <v>13125</v>
      </c>
      <c r="H24" s="57">
        <f t="shared" si="2"/>
        <v>13781.25</v>
      </c>
    </row>
    <row r="25" spans="1:14" ht="14.5" x14ac:dyDescent="0.35">
      <c r="B25" s="6" t="s">
        <v>22</v>
      </c>
      <c r="F25" s="13">
        <v>1000</v>
      </c>
      <c r="G25" s="57">
        <f t="shared" ref="G25:H25" si="3">F25*1.05</f>
        <v>1050</v>
      </c>
      <c r="H25" s="57">
        <f t="shared" si="3"/>
        <v>1102.5</v>
      </c>
      <c r="L25" s="2"/>
    </row>
    <row r="26" spans="1:14" x14ac:dyDescent="0.25">
      <c r="B26" s="29" t="s">
        <v>23</v>
      </c>
      <c r="F26" s="29" t="s">
        <v>24</v>
      </c>
      <c r="G26" s="58">
        <v>7750</v>
      </c>
      <c r="H26" s="58">
        <v>12154</v>
      </c>
      <c r="L26" s="1"/>
    </row>
    <row r="27" spans="1:14" x14ac:dyDescent="0.25">
      <c r="B27" s="6" t="s">
        <v>25</v>
      </c>
      <c r="C27" s="25"/>
      <c r="D27" s="25"/>
      <c r="F27" s="37">
        <f>SUM(F22:F26)</f>
        <v>17500</v>
      </c>
      <c r="G27" s="37">
        <f t="shared" ref="G27:H27" si="4">SUM(G22:G26)</f>
        <v>26075</v>
      </c>
      <c r="H27" s="37">
        <f t="shared" si="4"/>
        <v>31345.25</v>
      </c>
      <c r="L27" s="1"/>
    </row>
    <row r="28" spans="1:14" x14ac:dyDescent="0.25">
      <c r="C28" s="25"/>
      <c r="D28" s="25"/>
      <c r="F28" s="9"/>
      <c r="G28" s="9"/>
      <c r="H28" s="9"/>
      <c r="L28" s="1"/>
    </row>
    <row r="29" spans="1:14" x14ac:dyDescent="0.25">
      <c r="B29" s="6" t="s">
        <v>26</v>
      </c>
      <c r="C29" s="25"/>
      <c r="D29" s="25"/>
      <c r="F29" s="9">
        <f>+F17-F27</f>
        <v>36000</v>
      </c>
      <c r="G29" s="9">
        <f t="shared" ref="G29:H29" si="5">+G17-G27</f>
        <v>56113</v>
      </c>
      <c r="H29" s="9">
        <f t="shared" si="5"/>
        <v>58962.75</v>
      </c>
      <c r="L29" s="1"/>
    </row>
    <row r="30" spans="1:14" x14ac:dyDescent="0.25">
      <c r="C30" s="25"/>
      <c r="D30" s="25"/>
      <c r="F30" s="9"/>
      <c r="G30" s="9"/>
      <c r="H30" s="9"/>
      <c r="L30" s="1"/>
    </row>
    <row r="31" spans="1:14" x14ac:dyDescent="0.25">
      <c r="C31" s="25"/>
      <c r="D31" s="25"/>
      <c r="F31" s="9"/>
      <c r="G31" s="9"/>
      <c r="H31" s="9"/>
      <c r="L31" s="1"/>
    </row>
    <row r="32" spans="1:14" ht="14.5" x14ac:dyDescent="0.35">
      <c r="B32" s="7" t="s">
        <v>27</v>
      </c>
      <c r="C32" s="36"/>
    </row>
    <row r="33" spans="1:14" ht="14.5" x14ac:dyDescent="0.35">
      <c r="B33" s="34"/>
      <c r="C33" s="33"/>
      <c r="D33" s="32">
        <f>+E59</f>
        <v>0</v>
      </c>
      <c r="E33" s="31"/>
      <c r="F33" s="30">
        <f t="shared" ref="F33:H37" si="6">+$D33/5</f>
        <v>0</v>
      </c>
      <c r="G33" s="30">
        <f t="shared" si="6"/>
        <v>0</v>
      </c>
      <c r="H33" s="30">
        <f t="shared" si="6"/>
        <v>0</v>
      </c>
    </row>
    <row r="34" spans="1:14" ht="14.5" x14ac:dyDescent="0.35">
      <c r="D34" s="53"/>
      <c r="F34" s="13">
        <f t="shared" si="6"/>
        <v>0</v>
      </c>
      <c r="G34" s="13">
        <f t="shared" si="6"/>
        <v>0</v>
      </c>
      <c r="H34" s="13">
        <f t="shared" si="6"/>
        <v>0</v>
      </c>
    </row>
    <row r="35" spans="1:14" ht="14.5" x14ac:dyDescent="0.35">
      <c r="D35" s="53"/>
      <c r="F35" s="13">
        <f t="shared" si="6"/>
        <v>0</v>
      </c>
      <c r="G35" s="13">
        <f t="shared" si="6"/>
        <v>0</v>
      </c>
      <c r="H35" s="13">
        <f t="shared" si="6"/>
        <v>0</v>
      </c>
    </row>
    <row r="36" spans="1:14" ht="14.5" x14ac:dyDescent="0.35">
      <c r="D36" s="53"/>
      <c r="F36" s="13">
        <f t="shared" si="6"/>
        <v>0</v>
      </c>
      <c r="G36" s="13">
        <f t="shared" si="6"/>
        <v>0</v>
      </c>
      <c r="H36" s="13">
        <f t="shared" si="6"/>
        <v>0</v>
      </c>
    </row>
    <row r="37" spans="1:14" ht="14.5" x14ac:dyDescent="0.35">
      <c r="D37" s="53"/>
      <c r="F37" s="13">
        <f t="shared" si="6"/>
        <v>0</v>
      </c>
      <c r="G37" s="13">
        <f t="shared" si="6"/>
        <v>0</v>
      </c>
      <c r="H37" s="13">
        <f t="shared" si="6"/>
        <v>0</v>
      </c>
    </row>
    <row r="38" spans="1:14" ht="13" x14ac:dyDescent="0.3">
      <c r="A38" s="35"/>
      <c r="B38" s="7" t="s">
        <v>28</v>
      </c>
      <c r="C38" s="25"/>
      <c r="D38" s="27">
        <f>SUM(D33:D37)</f>
        <v>0</v>
      </c>
      <c r="F38" s="10">
        <f>SUM(F33:F37)</f>
        <v>0</v>
      </c>
      <c r="G38" s="10">
        <f t="shared" ref="G38:H38" si="7">SUM(G33:G37)</f>
        <v>0</v>
      </c>
      <c r="H38" s="10">
        <f t="shared" si="7"/>
        <v>0</v>
      </c>
    </row>
    <row r="39" spans="1:14" ht="14.5" x14ac:dyDescent="0.35">
      <c r="A39" s="35"/>
      <c r="B39" s="25"/>
      <c r="C39" s="25"/>
      <c r="D39" s="10"/>
      <c r="F39" s="13"/>
      <c r="G39" s="13"/>
      <c r="H39" s="13"/>
    </row>
    <row r="40" spans="1:14" ht="14.5" x14ac:dyDescent="0.35">
      <c r="B40" s="25" t="s">
        <v>29</v>
      </c>
      <c r="C40" s="25"/>
      <c r="D40" s="10"/>
      <c r="F40" s="13">
        <f>+$D$38/5</f>
        <v>0</v>
      </c>
      <c r="G40" s="13">
        <f t="shared" ref="G40:H40" si="8">+$D$38/5</f>
        <v>0</v>
      </c>
      <c r="H40" s="13">
        <f t="shared" si="8"/>
        <v>0</v>
      </c>
    </row>
    <row r="43" spans="1:14" x14ac:dyDescent="0.25">
      <c r="A43" s="6" t="s">
        <v>30</v>
      </c>
      <c r="F43" s="23">
        <f>F29-F40</f>
        <v>36000</v>
      </c>
      <c r="G43" s="23">
        <f t="shared" ref="G43:H43" si="9">G29-G40</f>
        <v>56113</v>
      </c>
      <c r="H43" s="23">
        <f t="shared" si="9"/>
        <v>58962.75</v>
      </c>
    </row>
    <row r="44" spans="1:14" ht="14.5" x14ac:dyDescent="0.35">
      <c r="A44" s="22" t="s">
        <v>31</v>
      </c>
      <c r="F44" s="21">
        <f>SUM(F43/F17)</f>
        <v>0.67289719626168221</v>
      </c>
      <c r="G44" s="21">
        <f t="shared" ref="G44:H44" si="10">SUM(G43/G17)</f>
        <v>0.68273957268701024</v>
      </c>
      <c r="H44" s="21">
        <f t="shared" si="10"/>
        <v>0.65290727288833772</v>
      </c>
    </row>
    <row r="45" spans="1:14" ht="14.5" x14ac:dyDescent="0.35">
      <c r="A45" s="6" t="s">
        <v>32</v>
      </c>
      <c r="F45" s="21"/>
      <c r="G45" s="21"/>
      <c r="H45" s="21"/>
      <c r="M45" s="1"/>
      <c r="N45" s="1"/>
    </row>
    <row r="46" spans="1:14" ht="14.5" x14ac:dyDescent="0.35">
      <c r="B46" s="6" t="s">
        <v>33</v>
      </c>
      <c r="E46" s="13"/>
      <c r="F46" s="13">
        <f>$E$46*0.2</f>
        <v>0</v>
      </c>
      <c r="G46" s="13">
        <f t="shared" ref="G46:H46" si="11">$E$46*0.2</f>
        <v>0</v>
      </c>
      <c r="H46" s="13">
        <f t="shared" si="11"/>
        <v>0</v>
      </c>
      <c r="M46" s="3"/>
      <c r="N46" s="4"/>
    </row>
    <row r="47" spans="1:14" ht="14.5" x14ac:dyDescent="0.35">
      <c r="A47" s="6" t="s">
        <v>34</v>
      </c>
      <c r="E47" s="13"/>
      <c r="F47" s="13">
        <f>F46+F43</f>
        <v>36000</v>
      </c>
      <c r="G47" s="13">
        <f t="shared" ref="G47:H47" si="12">G46+G43</f>
        <v>56113</v>
      </c>
      <c r="H47" s="13">
        <f t="shared" si="12"/>
        <v>58962.75</v>
      </c>
      <c r="M47" s="3"/>
      <c r="N47" s="4"/>
    </row>
    <row r="48" spans="1:14" ht="15" thickBot="1" x14ac:dyDescent="0.4">
      <c r="E48" s="13"/>
      <c r="F48" s="13"/>
      <c r="G48" s="13"/>
      <c r="H48" s="13"/>
      <c r="M48" s="3"/>
      <c r="N48" s="4"/>
    </row>
    <row r="49" spans="1:14" x14ac:dyDescent="0.25">
      <c r="A49" s="20" t="s">
        <v>35</v>
      </c>
      <c r="B49" s="19" t="s">
        <v>36</v>
      </c>
      <c r="C49" s="19"/>
      <c r="D49" s="19"/>
      <c r="E49" s="54"/>
      <c r="F49" s="54">
        <f>D38+F27</f>
        <v>17500</v>
      </c>
      <c r="G49" s="54">
        <f t="shared" ref="G49:H49" si="13">E38+G27</f>
        <v>26075</v>
      </c>
      <c r="H49" s="54">
        <f t="shared" si="13"/>
        <v>31345.25</v>
      </c>
      <c r="M49" s="3"/>
      <c r="N49" s="4"/>
    </row>
    <row r="50" spans="1:14" x14ac:dyDescent="0.25">
      <c r="A50" s="18"/>
      <c r="B50" s="17" t="s">
        <v>37</v>
      </c>
      <c r="C50" s="17"/>
      <c r="D50" s="17"/>
      <c r="E50" s="55"/>
      <c r="F50" s="55">
        <f>F17</f>
        <v>53500</v>
      </c>
      <c r="G50" s="55">
        <f t="shared" ref="G50:H50" si="14">G17</f>
        <v>82188</v>
      </c>
      <c r="H50" s="55">
        <f t="shared" si="14"/>
        <v>90308</v>
      </c>
      <c r="M50" s="3"/>
      <c r="N50" s="4"/>
    </row>
    <row r="51" spans="1:14" ht="13" thickBot="1" x14ac:dyDescent="0.3">
      <c r="A51" s="16"/>
      <c r="B51" s="15" t="s">
        <v>38</v>
      </c>
      <c r="C51" s="15"/>
      <c r="D51" s="15"/>
      <c r="E51" s="14"/>
      <c r="F51" s="14">
        <f>F50-F49</f>
        <v>36000</v>
      </c>
      <c r="G51" s="14">
        <f t="shared" ref="G51:H51" si="15">G50-G49</f>
        <v>56113</v>
      </c>
      <c r="H51" s="14">
        <f t="shared" si="15"/>
        <v>58962.75</v>
      </c>
      <c r="M51" s="5"/>
      <c r="N51" s="4"/>
    </row>
    <row r="52" spans="1:14" ht="14.5" x14ac:dyDescent="0.35">
      <c r="E52" s="13"/>
      <c r="F52" s="13"/>
    </row>
    <row r="54" spans="1:14" ht="14.5" x14ac:dyDescent="0.35">
      <c r="E54" s="12"/>
      <c r="F54" s="11"/>
    </row>
    <row r="56" spans="1:14" ht="14.5" x14ac:dyDescent="0.35">
      <c r="D56" s="11"/>
      <c r="E56" s="11"/>
    </row>
    <row r="59" spans="1:14" x14ac:dyDescent="0.25">
      <c r="E59" s="10"/>
      <c r="F59" s="9"/>
    </row>
    <row r="60" spans="1:14" x14ac:dyDescent="0.25">
      <c r="F60" s="9"/>
    </row>
    <row r="61" spans="1:14" x14ac:dyDescent="0.25">
      <c r="F61" s="9"/>
    </row>
    <row r="64" spans="1:14" ht="13" x14ac:dyDescent="0.3">
      <c r="B64" s="8"/>
    </row>
    <row r="75" spans="4:4" ht="13" x14ac:dyDescent="0.3">
      <c r="D7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2B3F-B565-4833-87E7-D71EBE0BF4A8}">
  <dimension ref="A1:N71"/>
  <sheetViews>
    <sheetView topLeftCell="A3" workbookViewId="0">
      <selection activeCell="I18" sqref="I18"/>
    </sheetView>
  </sheetViews>
  <sheetFormatPr defaultRowHeight="12.5" x14ac:dyDescent="0.25"/>
  <cols>
    <col min="1" max="1" width="11.1796875" style="6" bestFit="1" customWidth="1"/>
    <col min="2" max="2" width="14.26953125" style="6" customWidth="1"/>
    <col min="3" max="3" width="11.81640625" style="6" customWidth="1"/>
    <col min="4" max="4" width="10.1796875" style="6" customWidth="1"/>
    <col min="5" max="5" width="19" style="6" customWidth="1"/>
    <col min="6" max="6" width="11.81640625" style="6" customWidth="1"/>
    <col min="7" max="7" width="11.54296875" style="6" bestFit="1" customWidth="1"/>
    <col min="8" max="8" width="13.26953125" style="6" customWidth="1"/>
    <col min="9" max="9" width="14.7265625" style="6" customWidth="1"/>
    <col min="10" max="11" width="9.1796875" style="6"/>
    <col min="12" max="12" width="21.54296875" style="6" customWidth="1"/>
    <col min="13" max="13" width="12.54296875" style="6" customWidth="1"/>
    <col min="14" max="14" width="11.7265625" style="6" customWidth="1"/>
    <col min="15" max="242" width="9.1796875" style="6"/>
    <col min="243" max="243" width="11.1796875" style="6" bestFit="1" customWidth="1"/>
    <col min="244" max="244" width="14.26953125" style="6" customWidth="1"/>
    <col min="245" max="245" width="11.81640625" style="6" customWidth="1"/>
    <col min="246" max="246" width="10.1796875" style="6" customWidth="1"/>
    <col min="247" max="247" width="19" style="6" customWidth="1"/>
    <col min="248" max="248" width="11.81640625" style="6" customWidth="1"/>
    <col min="249" max="249" width="13.81640625" style="6" customWidth="1"/>
    <col min="250" max="250" width="12.26953125" style="6" customWidth="1"/>
    <col min="251" max="251" width="12" style="6" customWidth="1"/>
    <col min="252" max="252" width="11.453125" style="6" customWidth="1"/>
    <col min="253" max="253" width="11.81640625" style="6" customWidth="1"/>
    <col min="254" max="254" width="10.81640625" style="6" customWidth="1"/>
    <col min="255" max="255" width="11.81640625" style="6" customWidth="1"/>
    <col min="256" max="256" width="11.26953125" style="6" customWidth="1"/>
    <col min="257" max="257" width="11.453125" style="6" customWidth="1"/>
    <col min="258" max="258" width="12.1796875" style="6" customWidth="1"/>
    <col min="259" max="259" width="10.81640625" style="6" bestFit="1" customWidth="1"/>
    <col min="260" max="260" width="12.453125" style="6" bestFit="1" customWidth="1"/>
    <col min="261" max="262" width="12.453125" style="6" customWidth="1"/>
    <col min="263" max="498" width="9.1796875" style="6"/>
    <col min="499" max="499" width="11.1796875" style="6" bestFit="1" customWidth="1"/>
    <col min="500" max="500" width="14.26953125" style="6" customWidth="1"/>
    <col min="501" max="501" width="11.81640625" style="6" customWidth="1"/>
    <col min="502" max="502" width="10.1796875" style="6" customWidth="1"/>
    <col min="503" max="503" width="19" style="6" customWidth="1"/>
    <col min="504" max="504" width="11.81640625" style="6" customWidth="1"/>
    <col min="505" max="505" width="13.81640625" style="6" customWidth="1"/>
    <col min="506" max="506" width="12.26953125" style="6" customWidth="1"/>
    <col min="507" max="507" width="12" style="6" customWidth="1"/>
    <col min="508" max="508" width="11.453125" style="6" customWidth="1"/>
    <col min="509" max="509" width="11.81640625" style="6" customWidth="1"/>
    <col min="510" max="510" width="10.81640625" style="6" customWidth="1"/>
    <col min="511" max="511" width="11.81640625" style="6" customWidth="1"/>
    <col min="512" max="512" width="11.26953125" style="6" customWidth="1"/>
    <col min="513" max="513" width="11.453125" style="6" customWidth="1"/>
    <col min="514" max="514" width="12.1796875" style="6" customWidth="1"/>
    <col min="515" max="515" width="10.81640625" style="6" bestFit="1" customWidth="1"/>
    <col min="516" max="516" width="12.453125" style="6" bestFit="1" customWidth="1"/>
    <col min="517" max="518" width="12.453125" style="6" customWidth="1"/>
    <col min="519" max="754" width="9.1796875" style="6"/>
    <col min="755" max="755" width="11.1796875" style="6" bestFit="1" customWidth="1"/>
    <col min="756" max="756" width="14.26953125" style="6" customWidth="1"/>
    <col min="757" max="757" width="11.81640625" style="6" customWidth="1"/>
    <col min="758" max="758" width="10.1796875" style="6" customWidth="1"/>
    <col min="759" max="759" width="19" style="6" customWidth="1"/>
    <col min="760" max="760" width="11.81640625" style="6" customWidth="1"/>
    <col min="761" max="761" width="13.81640625" style="6" customWidth="1"/>
    <col min="762" max="762" width="12.26953125" style="6" customWidth="1"/>
    <col min="763" max="763" width="12" style="6" customWidth="1"/>
    <col min="764" max="764" width="11.453125" style="6" customWidth="1"/>
    <col min="765" max="765" width="11.81640625" style="6" customWidth="1"/>
    <col min="766" max="766" width="10.81640625" style="6" customWidth="1"/>
    <col min="767" max="767" width="11.81640625" style="6" customWidth="1"/>
    <col min="768" max="768" width="11.26953125" style="6" customWidth="1"/>
    <col min="769" max="769" width="11.453125" style="6" customWidth="1"/>
    <col min="770" max="770" width="12.1796875" style="6" customWidth="1"/>
    <col min="771" max="771" width="10.81640625" style="6" bestFit="1" customWidth="1"/>
    <col min="772" max="772" width="12.453125" style="6" bestFit="1" customWidth="1"/>
    <col min="773" max="774" width="12.453125" style="6" customWidth="1"/>
    <col min="775" max="1010" width="9.1796875" style="6"/>
    <col min="1011" max="1011" width="11.1796875" style="6" bestFit="1" customWidth="1"/>
    <col min="1012" max="1012" width="14.26953125" style="6" customWidth="1"/>
    <col min="1013" max="1013" width="11.81640625" style="6" customWidth="1"/>
    <col min="1014" max="1014" width="10.1796875" style="6" customWidth="1"/>
    <col min="1015" max="1015" width="19" style="6" customWidth="1"/>
    <col min="1016" max="1016" width="11.81640625" style="6" customWidth="1"/>
    <col min="1017" max="1017" width="13.81640625" style="6" customWidth="1"/>
    <col min="1018" max="1018" width="12.26953125" style="6" customWidth="1"/>
    <col min="1019" max="1019" width="12" style="6" customWidth="1"/>
    <col min="1020" max="1020" width="11.453125" style="6" customWidth="1"/>
    <col min="1021" max="1021" width="11.81640625" style="6" customWidth="1"/>
    <col min="1022" max="1022" width="10.81640625" style="6" customWidth="1"/>
    <col min="1023" max="1023" width="11.81640625" style="6" customWidth="1"/>
    <col min="1024" max="1024" width="11.26953125" style="6" customWidth="1"/>
    <col min="1025" max="1025" width="11.453125" style="6" customWidth="1"/>
    <col min="1026" max="1026" width="12.1796875" style="6" customWidth="1"/>
    <col min="1027" max="1027" width="10.81640625" style="6" bestFit="1" customWidth="1"/>
    <col min="1028" max="1028" width="12.453125" style="6" bestFit="1" customWidth="1"/>
    <col min="1029" max="1030" width="12.453125" style="6" customWidth="1"/>
    <col min="1031" max="1266" width="9.1796875" style="6"/>
    <col min="1267" max="1267" width="11.1796875" style="6" bestFit="1" customWidth="1"/>
    <col min="1268" max="1268" width="14.26953125" style="6" customWidth="1"/>
    <col min="1269" max="1269" width="11.81640625" style="6" customWidth="1"/>
    <col min="1270" max="1270" width="10.1796875" style="6" customWidth="1"/>
    <col min="1271" max="1271" width="19" style="6" customWidth="1"/>
    <col min="1272" max="1272" width="11.81640625" style="6" customWidth="1"/>
    <col min="1273" max="1273" width="13.81640625" style="6" customWidth="1"/>
    <col min="1274" max="1274" width="12.26953125" style="6" customWidth="1"/>
    <col min="1275" max="1275" width="12" style="6" customWidth="1"/>
    <col min="1276" max="1276" width="11.453125" style="6" customWidth="1"/>
    <col min="1277" max="1277" width="11.81640625" style="6" customWidth="1"/>
    <col min="1278" max="1278" width="10.81640625" style="6" customWidth="1"/>
    <col min="1279" max="1279" width="11.81640625" style="6" customWidth="1"/>
    <col min="1280" max="1280" width="11.26953125" style="6" customWidth="1"/>
    <col min="1281" max="1281" width="11.453125" style="6" customWidth="1"/>
    <col min="1282" max="1282" width="12.1796875" style="6" customWidth="1"/>
    <col min="1283" max="1283" width="10.81640625" style="6" bestFit="1" customWidth="1"/>
    <col min="1284" max="1284" width="12.453125" style="6" bestFit="1" customWidth="1"/>
    <col min="1285" max="1286" width="12.453125" style="6" customWidth="1"/>
    <col min="1287" max="1522" width="9.1796875" style="6"/>
    <col min="1523" max="1523" width="11.1796875" style="6" bestFit="1" customWidth="1"/>
    <col min="1524" max="1524" width="14.26953125" style="6" customWidth="1"/>
    <col min="1525" max="1525" width="11.81640625" style="6" customWidth="1"/>
    <col min="1526" max="1526" width="10.1796875" style="6" customWidth="1"/>
    <col min="1527" max="1527" width="19" style="6" customWidth="1"/>
    <col min="1528" max="1528" width="11.81640625" style="6" customWidth="1"/>
    <col min="1529" max="1529" width="13.81640625" style="6" customWidth="1"/>
    <col min="1530" max="1530" width="12.26953125" style="6" customWidth="1"/>
    <col min="1531" max="1531" width="12" style="6" customWidth="1"/>
    <col min="1532" max="1532" width="11.453125" style="6" customWidth="1"/>
    <col min="1533" max="1533" width="11.81640625" style="6" customWidth="1"/>
    <col min="1534" max="1534" width="10.81640625" style="6" customWidth="1"/>
    <col min="1535" max="1535" width="11.81640625" style="6" customWidth="1"/>
    <col min="1536" max="1536" width="11.26953125" style="6" customWidth="1"/>
    <col min="1537" max="1537" width="11.453125" style="6" customWidth="1"/>
    <col min="1538" max="1538" width="12.1796875" style="6" customWidth="1"/>
    <col min="1539" max="1539" width="10.81640625" style="6" bestFit="1" customWidth="1"/>
    <col min="1540" max="1540" width="12.453125" style="6" bestFit="1" customWidth="1"/>
    <col min="1541" max="1542" width="12.453125" style="6" customWidth="1"/>
    <col min="1543" max="1778" width="9.1796875" style="6"/>
    <col min="1779" max="1779" width="11.1796875" style="6" bestFit="1" customWidth="1"/>
    <col min="1780" max="1780" width="14.26953125" style="6" customWidth="1"/>
    <col min="1781" max="1781" width="11.81640625" style="6" customWidth="1"/>
    <col min="1782" max="1782" width="10.1796875" style="6" customWidth="1"/>
    <col min="1783" max="1783" width="19" style="6" customWidth="1"/>
    <col min="1784" max="1784" width="11.81640625" style="6" customWidth="1"/>
    <col min="1785" max="1785" width="13.81640625" style="6" customWidth="1"/>
    <col min="1786" max="1786" width="12.26953125" style="6" customWidth="1"/>
    <col min="1787" max="1787" width="12" style="6" customWidth="1"/>
    <col min="1788" max="1788" width="11.453125" style="6" customWidth="1"/>
    <col min="1789" max="1789" width="11.81640625" style="6" customWidth="1"/>
    <col min="1790" max="1790" width="10.81640625" style="6" customWidth="1"/>
    <col min="1791" max="1791" width="11.81640625" style="6" customWidth="1"/>
    <col min="1792" max="1792" width="11.26953125" style="6" customWidth="1"/>
    <col min="1793" max="1793" width="11.453125" style="6" customWidth="1"/>
    <col min="1794" max="1794" width="12.1796875" style="6" customWidth="1"/>
    <col min="1795" max="1795" width="10.81640625" style="6" bestFit="1" customWidth="1"/>
    <col min="1796" max="1796" width="12.453125" style="6" bestFit="1" customWidth="1"/>
    <col min="1797" max="1798" width="12.453125" style="6" customWidth="1"/>
    <col min="1799" max="2034" width="9.1796875" style="6"/>
    <col min="2035" max="2035" width="11.1796875" style="6" bestFit="1" customWidth="1"/>
    <col min="2036" max="2036" width="14.26953125" style="6" customWidth="1"/>
    <col min="2037" max="2037" width="11.81640625" style="6" customWidth="1"/>
    <col min="2038" max="2038" width="10.1796875" style="6" customWidth="1"/>
    <col min="2039" max="2039" width="19" style="6" customWidth="1"/>
    <col min="2040" max="2040" width="11.81640625" style="6" customWidth="1"/>
    <col min="2041" max="2041" width="13.81640625" style="6" customWidth="1"/>
    <col min="2042" max="2042" width="12.26953125" style="6" customWidth="1"/>
    <col min="2043" max="2043" width="12" style="6" customWidth="1"/>
    <col min="2044" max="2044" width="11.453125" style="6" customWidth="1"/>
    <col min="2045" max="2045" width="11.81640625" style="6" customWidth="1"/>
    <col min="2046" max="2046" width="10.81640625" style="6" customWidth="1"/>
    <col min="2047" max="2047" width="11.81640625" style="6" customWidth="1"/>
    <col min="2048" max="2048" width="11.26953125" style="6" customWidth="1"/>
    <col min="2049" max="2049" width="11.453125" style="6" customWidth="1"/>
    <col min="2050" max="2050" width="12.1796875" style="6" customWidth="1"/>
    <col min="2051" max="2051" width="10.81640625" style="6" bestFit="1" customWidth="1"/>
    <col min="2052" max="2052" width="12.453125" style="6" bestFit="1" customWidth="1"/>
    <col min="2053" max="2054" width="12.453125" style="6" customWidth="1"/>
    <col min="2055" max="2290" width="9.1796875" style="6"/>
    <col min="2291" max="2291" width="11.1796875" style="6" bestFit="1" customWidth="1"/>
    <col min="2292" max="2292" width="14.26953125" style="6" customWidth="1"/>
    <col min="2293" max="2293" width="11.81640625" style="6" customWidth="1"/>
    <col min="2294" max="2294" width="10.1796875" style="6" customWidth="1"/>
    <col min="2295" max="2295" width="19" style="6" customWidth="1"/>
    <col min="2296" max="2296" width="11.81640625" style="6" customWidth="1"/>
    <col min="2297" max="2297" width="13.81640625" style="6" customWidth="1"/>
    <col min="2298" max="2298" width="12.26953125" style="6" customWidth="1"/>
    <col min="2299" max="2299" width="12" style="6" customWidth="1"/>
    <col min="2300" max="2300" width="11.453125" style="6" customWidth="1"/>
    <col min="2301" max="2301" width="11.81640625" style="6" customWidth="1"/>
    <col min="2302" max="2302" width="10.81640625" style="6" customWidth="1"/>
    <col min="2303" max="2303" width="11.81640625" style="6" customWidth="1"/>
    <col min="2304" max="2304" width="11.26953125" style="6" customWidth="1"/>
    <col min="2305" max="2305" width="11.453125" style="6" customWidth="1"/>
    <col min="2306" max="2306" width="12.1796875" style="6" customWidth="1"/>
    <col min="2307" max="2307" width="10.81640625" style="6" bestFit="1" customWidth="1"/>
    <col min="2308" max="2308" width="12.453125" style="6" bestFit="1" customWidth="1"/>
    <col min="2309" max="2310" width="12.453125" style="6" customWidth="1"/>
    <col min="2311" max="2546" width="9.1796875" style="6"/>
    <col min="2547" max="2547" width="11.1796875" style="6" bestFit="1" customWidth="1"/>
    <col min="2548" max="2548" width="14.26953125" style="6" customWidth="1"/>
    <col min="2549" max="2549" width="11.81640625" style="6" customWidth="1"/>
    <col min="2550" max="2550" width="10.1796875" style="6" customWidth="1"/>
    <col min="2551" max="2551" width="19" style="6" customWidth="1"/>
    <col min="2552" max="2552" width="11.81640625" style="6" customWidth="1"/>
    <col min="2553" max="2553" width="13.81640625" style="6" customWidth="1"/>
    <col min="2554" max="2554" width="12.26953125" style="6" customWidth="1"/>
    <col min="2555" max="2555" width="12" style="6" customWidth="1"/>
    <col min="2556" max="2556" width="11.453125" style="6" customWidth="1"/>
    <col min="2557" max="2557" width="11.81640625" style="6" customWidth="1"/>
    <col min="2558" max="2558" width="10.81640625" style="6" customWidth="1"/>
    <col min="2559" max="2559" width="11.81640625" style="6" customWidth="1"/>
    <col min="2560" max="2560" width="11.26953125" style="6" customWidth="1"/>
    <col min="2561" max="2561" width="11.453125" style="6" customWidth="1"/>
    <col min="2562" max="2562" width="12.1796875" style="6" customWidth="1"/>
    <col min="2563" max="2563" width="10.81640625" style="6" bestFit="1" customWidth="1"/>
    <col min="2564" max="2564" width="12.453125" style="6" bestFit="1" customWidth="1"/>
    <col min="2565" max="2566" width="12.453125" style="6" customWidth="1"/>
    <col min="2567" max="2802" width="9.1796875" style="6"/>
    <col min="2803" max="2803" width="11.1796875" style="6" bestFit="1" customWidth="1"/>
    <col min="2804" max="2804" width="14.26953125" style="6" customWidth="1"/>
    <col min="2805" max="2805" width="11.81640625" style="6" customWidth="1"/>
    <col min="2806" max="2806" width="10.1796875" style="6" customWidth="1"/>
    <col min="2807" max="2807" width="19" style="6" customWidth="1"/>
    <col min="2808" max="2808" width="11.81640625" style="6" customWidth="1"/>
    <col min="2809" max="2809" width="13.81640625" style="6" customWidth="1"/>
    <col min="2810" max="2810" width="12.26953125" style="6" customWidth="1"/>
    <col min="2811" max="2811" width="12" style="6" customWidth="1"/>
    <col min="2812" max="2812" width="11.453125" style="6" customWidth="1"/>
    <col min="2813" max="2813" width="11.81640625" style="6" customWidth="1"/>
    <col min="2814" max="2814" width="10.81640625" style="6" customWidth="1"/>
    <col min="2815" max="2815" width="11.81640625" style="6" customWidth="1"/>
    <col min="2816" max="2816" width="11.26953125" style="6" customWidth="1"/>
    <col min="2817" max="2817" width="11.453125" style="6" customWidth="1"/>
    <col min="2818" max="2818" width="12.1796875" style="6" customWidth="1"/>
    <col min="2819" max="2819" width="10.81640625" style="6" bestFit="1" customWidth="1"/>
    <col min="2820" max="2820" width="12.453125" style="6" bestFit="1" customWidth="1"/>
    <col min="2821" max="2822" width="12.453125" style="6" customWidth="1"/>
    <col min="2823" max="3058" width="9.1796875" style="6"/>
    <col min="3059" max="3059" width="11.1796875" style="6" bestFit="1" customWidth="1"/>
    <col min="3060" max="3060" width="14.26953125" style="6" customWidth="1"/>
    <col min="3061" max="3061" width="11.81640625" style="6" customWidth="1"/>
    <col min="3062" max="3062" width="10.1796875" style="6" customWidth="1"/>
    <col min="3063" max="3063" width="19" style="6" customWidth="1"/>
    <col min="3064" max="3064" width="11.81640625" style="6" customWidth="1"/>
    <col min="3065" max="3065" width="13.81640625" style="6" customWidth="1"/>
    <col min="3066" max="3066" width="12.26953125" style="6" customWidth="1"/>
    <col min="3067" max="3067" width="12" style="6" customWidth="1"/>
    <col min="3068" max="3068" width="11.453125" style="6" customWidth="1"/>
    <col min="3069" max="3069" width="11.81640625" style="6" customWidth="1"/>
    <col min="3070" max="3070" width="10.81640625" style="6" customWidth="1"/>
    <col min="3071" max="3071" width="11.81640625" style="6" customWidth="1"/>
    <col min="3072" max="3072" width="11.26953125" style="6" customWidth="1"/>
    <col min="3073" max="3073" width="11.453125" style="6" customWidth="1"/>
    <col min="3074" max="3074" width="12.1796875" style="6" customWidth="1"/>
    <col min="3075" max="3075" width="10.81640625" style="6" bestFit="1" customWidth="1"/>
    <col min="3076" max="3076" width="12.453125" style="6" bestFit="1" customWidth="1"/>
    <col min="3077" max="3078" width="12.453125" style="6" customWidth="1"/>
    <col min="3079" max="3314" width="9.1796875" style="6"/>
    <col min="3315" max="3315" width="11.1796875" style="6" bestFit="1" customWidth="1"/>
    <col min="3316" max="3316" width="14.26953125" style="6" customWidth="1"/>
    <col min="3317" max="3317" width="11.81640625" style="6" customWidth="1"/>
    <col min="3318" max="3318" width="10.1796875" style="6" customWidth="1"/>
    <col min="3319" max="3319" width="19" style="6" customWidth="1"/>
    <col min="3320" max="3320" width="11.81640625" style="6" customWidth="1"/>
    <col min="3321" max="3321" width="13.81640625" style="6" customWidth="1"/>
    <col min="3322" max="3322" width="12.26953125" style="6" customWidth="1"/>
    <col min="3323" max="3323" width="12" style="6" customWidth="1"/>
    <col min="3324" max="3324" width="11.453125" style="6" customWidth="1"/>
    <col min="3325" max="3325" width="11.81640625" style="6" customWidth="1"/>
    <col min="3326" max="3326" width="10.81640625" style="6" customWidth="1"/>
    <col min="3327" max="3327" width="11.81640625" style="6" customWidth="1"/>
    <col min="3328" max="3328" width="11.26953125" style="6" customWidth="1"/>
    <col min="3329" max="3329" width="11.453125" style="6" customWidth="1"/>
    <col min="3330" max="3330" width="12.1796875" style="6" customWidth="1"/>
    <col min="3331" max="3331" width="10.81640625" style="6" bestFit="1" customWidth="1"/>
    <col min="3332" max="3332" width="12.453125" style="6" bestFit="1" customWidth="1"/>
    <col min="3333" max="3334" width="12.453125" style="6" customWidth="1"/>
    <col min="3335" max="3570" width="9.1796875" style="6"/>
    <col min="3571" max="3571" width="11.1796875" style="6" bestFit="1" customWidth="1"/>
    <col min="3572" max="3572" width="14.26953125" style="6" customWidth="1"/>
    <col min="3573" max="3573" width="11.81640625" style="6" customWidth="1"/>
    <col min="3574" max="3574" width="10.1796875" style="6" customWidth="1"/>
    <col min="3575" max="3575" width="19" style="6" customWidth="1"/>
    <col min="3576" max="3576" width="11.81640625" style="6" customWidth="1"/>
    <col min="3577" max="3577" width="13.81640625" style="6" customWidth="1"/>
    <col min="3578" max="3578" width="12.26953125" style="6" customWidth="1"/>
    <col min="3579" max="3579" width="12" style="6" customWidth="1"/>
    <col min="3580" max="3580" width="11.453125" style="6" customWidth="1"/>
    <col min="3581" max="3581" width="11.81640625" style="6" customWidth="1"/>
    <col min="3582" max="3582" width="10.81640625" style="6" customWidth="1"/>
    <col min="3583" max="3583" width="11.81640625" style="6" customWidth="1"/>
    <col min="3584" max="3584" width="11.26953125" style="6" customWidth="1"/>
    <col min="3585" max="3585" width="11.453125" style="6" customWidth="1"/>
    <col min="3586" max="3586" width="12.1796875" style="6" customWidth="1"/>
    <col min="3587" max="3587" width="10.81640625" style="6" bestFit="1" customWidth="1"/>
    <col min="3588" max="3588" width="12.453125" style="6" bestFit="1" customWidth="1"/>
    <col min="3589" max="3590" width="12.453125" style="6" customWidth="1"/>
    <col min="3591" max="3826" width="9.1796875" style="6"/>
    <col min="3827" max="3827" width="11.1796875" style="6" bestFit="1" customWidth="1"/>
    <col min="3828" max="3828" width="14.26953125" style="6" customWidth="1"/>
    <col min="3829" max="3829" width="11.81640625" style="6" customWidth="1"/>
    <col min="3830" max="3830" width="10.1796875" style="6" customWidth="1"/>
    <col min="3831" max="3831" width="19" style="6" customWidth="1"/>
    <col min="3832" max="3832" width="11.81640625" style="6" customWidth="1"/>
    <col min="3833" max="3833" width="13.81640625" style="6" customWidth="1"/>
    <col min="3834" max="3834" width="12.26953125" style="6" customWidth="1"/>
    <col min="3835" max="3835" width="12" style="6" customWidth="1"/>
    <col min="3836" max="3836" width="11.453125" style="6" customWidth="1"/>
    <col min="3837" max="3837" width="11.81640625" style="6" customWidth="1"/>
    <col min="3838" max="3838" width="10.81640625" style="6" customWidth="1"/>
    <col min="3839" max="3839" width="11.81640625" style="6" customWidth="1"/>
    <col min="3840" max="3840" width="11.26953125" style="6" customWidth="1"/>
    <col min="3841" max="3841" width="11.453125" style="6" customWidth="1"/>
    <col min="3842" max="3842" width="12.1796875" style="6" customWidth="1"/>
    <col min="3843" max="3843" width="10.81640625" style="6" bestFit="1" customWidth="1"/>
    <col min="3844" max="3844" width="12.453125" style="6" bestFit="1" customWidth="1"/>
    <col min="3845" max="3846" width="12.453125" style="6" customWidth="1"/>
    <col min="3847" max="4082" width="9.1796875" style="6"/>
    <col min="4083" max="4083" width="11.1796875" style="6" bestFit="1" customWidth="1"/>
    <col min="4084" max="4084" width="14.26953125" style="6" customWidth="1"/>
    <col min="4085" max="4085" width="11.81640625" style="6" customWidth="1"/>
    <col min="4086" max="4086" width="10.1796875" style="6" customWidth="1"/>
    <col min="4087" max="4087" width="19" style="6" customWidth="1"/>
    <col min="4088" max="4088" width="11.81640625" style="6" customWidth="1"/>
    <col min="4089" max="4089" width="13.81640625" style="6" customWidth="1"/>
    <col min="4090" max="4090" width="12.26953125" style="6" customWidth="1"/>
    <col min="4091" max="4091" width="12" style="6" customWidth="1"/>
    <col min="4092" max="4092" width="11.453125" style="6" customWidth="1"/>
    <col min="4093" max="4093" width="11.81640625" style="6" customWidth="1"/>
    <col min="4094" max="4094" width="10.81640625" style="6" customWidth="1"/>
    <col min="4095" max="4095" width="11.81640625" style="6" customWidth="1"/>
    <col min="4096" max="4096" width="11.26953125" style="6" customWidth="1"/>
    <col min="4097" max="4097" width="11.453125" style="6" customWidth="1"/>
    <col min="4098" max="4098" width="12.1796875" style="6" customWidth="1"/>
    <col min="4099" max="4099" width="10.81640625" style="6" bestFit="1" customWidth="1"/>
    <col min="4100" max="4100" width="12.453125" style="6" bestFit="1" customWidth="1"/>
    <col min="4101" max="4102" width="12.453125" style="6" customWidth="1"/>
    <col min="4103" max="4338" width="9.1796875" style="6"/>
    <col min="4339" max="4339" width="11.1796875" style="6" bestFit="1" customWidth="1"/>
    <col min="4340" max="4340" width="14.26953125" style="6" customWidth="1"/>
    <col min="4341" max="4341" width="11.81640625" style="6" customWidth="1"/>
    <col min="4342" max="4342" width="10.1796875" style="6" customWidth="1"/>
    <col min="4343" max="4343" width="19" style="6" customWidth="1"/>
    <col min="4344" max="4344" width="11.81640625" style="6" customWidth="1"/>
    <col min="4345" max="4345" width="13.81640625" style="6" customWidth="1"/>
    <col min="4346" max="4346" width="12.26953125" style="6" customWidth="1"/>
    <col min="4347" max="4347" width="12" style="6" customWidth="1"/>
    <col min="4348" max="4348" width="11.453125" style="6" customWidth="1"/>
    <col min="4349" max="4349" width="11.81640625" style="6" customWidth="1"/>
    <col min="4350" max="4350" width="10.81640625" style="6" customWidth="1"/>
    <col min="4351" max="4351" width="11.81640625" style="6" customWidth="1"/>
    <col min="4352" max="4352" width="11.26953125" style="6" customWidth="1"/>
    <col min="4353" max="4353" width="11.453125" style="6" customWidth="1"/>
    <col min="4354" max="4354" width="12.1796875" style="6" customWidth="1"/>
    <col min="4355" max="4355" width="10.81640625" style="6" bestFit="1" customWidth="1"/>
    <col min="4356" max="4356" width="12.453125" style="6" bestFit="1" customWidth="1"/>
    <col min="4357" max="4358" width="12.453125" style="6" customWidth="1"/>
    <col min="4359" max="4594" width="9.1796875" style="6"/>
    <col min="4595" max="4595" width="11.1796875" style="6" bestFit="1" customWidth="1"/>
    <col min="4596" max="4596" width="14.26953125" style="6" customWidth="1"/>
    <col min="4597" max="4597" width="11.81640625" style="6" customWidth="1"/>
    <col min="4598" max="4598" width="10.1796875" style="6" customWidth="1"/>
    <col min="4599" max="4599" width="19" style="6" customWidth="1"/>
    <col min="4600" max="4600" width="11.81640625" style="6" customWidth="1"/>
    <col min="4601" max="4601" width="13.81640625" style="6" customWidth="1"/>
    <col min="4602" max="4602" width="12.26953125" style="6" customWidth="1"/>
    <col min="4603" max="4603" width="12" style="6" customWidth="1"/>
    <col min="4604" max="4604" width="11.453125" style="6" customWidth="1"/>
    <col min="4605" max="4605" width="11.81640625" style="6" customWidth="1"/>
    <col min="4606" max="4606" width="10.81640625" style="6" customWidth="1"/>
    <col min="4607" max="4607" width="11.81640625" style="6" customWidth="1"/>
    <col min="4608" max="4608" width="11.26953125" style="6" customWidth="1"/>
    <col min="4609" max="4609" width="11.453125" style="6" customWidth="1"/>
    <col min="4610" max="4610" width="12.1796875" style="6" customWidth="1"/>
    <col min="4611" max="4611" width="10.81640625" style="6" bestFit="1" customWidth="1"/>
    <col min="4612" max="4612" width="12.453125" style="6" bestFit="1" customWidth="1"/>
    <col min="4613" max="4614" width="12.453125" style="6" customWidth="1"/>
    <col min="4615" max="4850" width="9.1796875" style="6"/>
    <col min="4851" max="4851" width="11.1796875" style="6" bestFit="1" customWidth="1"/>
    <col min="4852" max="4852" width="14.26953125" style="6" customWidth="1"/>
    <col min="4853" max="4853" width="11.81640625" style="6" customWidth="1"/>
    <col min="4854" max="4854" width="10.1796875" style="6" customWidth="1"/>
    <col min="4855" max="4855" width="19" style="6" customWidth="1"/>
    <col min="4856" max="4856" width="11.81640625" style="6" customWidth="1"/>
    <col min="4857" max="4857" width="13.81640625" style="6" customWidth="1"/>
    <col min="4858" max="4858" width="12.26953125" style="6" customWidth="1"/>
    <col min="4859" max="4859" width="12" style="6" customWidth="1"/>
    <col min="4860" max="4860" width="11.453125" style="6" customWidth="1"/>
    <col min="4861" max="4861" width="11.81640625" style="6" customWidth="1"/>
    <col min="4862" max="4862" width="10.81640625" style="6" customWidth="1"/>
    <col min="4863" max="4863" width="11.81640625" style="6" customWidth="1"/>
    <col min="4864" max="4864" width="11.26953125" style="6" customWidth="1"/>
    <col min="4865" max="4865" width="11.453125" style="6" customWidth="1"/>
    <col min="4866" max="4866" width="12.1796875" style="6" customWidth="1"/>
    <col min="4867" max="4867" width="10.81640625" style="6" bestFit="1" customWidth="1"/>
    <col min="4868" max="4868" width="12.453125" style="6" bestFit="1" customWidth="1"/>
    <col min="4869" max="4870" width="12.453125" style="6" customWidth="1"/>
    <col min="4871" max="5106" width="9.1796875" style="6"/>
    <col min="5107" max="5107" width="11.1796875" style="6" bestFit="1" customWidth="1"/>
    <col min="5108" max="5108" width="14.26953125" style="6" customWidth="1"/>
    <col min="5109" max="5109" width="11.81640625" style="6" customWidth="1"/>
    <col min="5110" max="5110" width="10.1796875" style="6" customWidth="1"/>
    <col min="5111" max="5111" width="19" style="6" customWidth="1"/>
    <col min="5112" max="5112" width="11.81640625" style="6" customWidth="1"/>
    <col min="5113" max="5113" width="13.81640625" style="6" customWidth="1"/>
    <col min="5114" max="5114" width="12.26953125" style="6" customWidth="1"/>
    <col min="5115" max="5115" width="12" style="6" customWidth="1"/>
    <col min="5116" max="5116" width="11.453125" style="6" customWidth="1"/>
    <col min="5117" max="5117" width="11.81640625" style="6" customWidth="1"/>
    <col min="5118" max="5118" width="10.81640625" style="6" customWidth="1"/>
    <col min="5119" max="5119" width="11.81640625" style="6" customWidth="1"/>
    <col min="5120" max="5120" width="11.26953125" style="6" customWidth="1"/>
    <col min="5121" max="5121" width="11.453125" style="6" customWidth="1"/>
    <col min="5122" max="5122" width="12.1796875" style="6" customWidth="1"/>
    <col min="5123" max="5123" width="10.81640625" style="6" bestFit="1" customWidth="1"/>
    <col min="5124" max="5124" width="12.453125" style="6" bestFit="1" customWidth="1"/>
    <col min="5125" max="5126" width="12.453125" style="6" customWidth="1"/>
    <col min="5127" max="5362" width="9.1796875" style="6"/>
    <col min="5363" max="5363" width="11.1796875" style="6" bestFit="1" customWidth="1"/>
    <col min="5364" max="5364" width="14.26953125" style="6" customWidth="1"/>
    <col min="5365" max="5365" width="11.81640625" style="6" customWidth="1"/>
    <col min="5366" max="5366" width="10.1796875" style="6" customWidth="1"/>
    <col min="5367" max="5367" width="19" style="6" customWidth="1"/>
    <col min="5368" max="5368" width="11.81640625" style="6" customWidth="1"/>
    <col min="5369" max="5369" width="13.81640625" style="6" customWidth="1"/>
    <col min="5370" max="5370" width="12.26953125" style="6" customWidth="1"/>
    <col min="5371" max="5371" width="12" style="6" customWidth="1"/>
    <col min="5372" max="5372" width="11.453125" style="6" customWidth="1"/>
    <col min="5373" max="5373" width="11.81640625" style="6" customWidth="1"/>
    <col min="5374" max="5374" width="10.81640625" style="6" customWidth="1"/>
    <col min="5375" max="5375" width="11.81640625" style="6" customWidth="1"/>
    <col min="5376" max="5376" width="11.26953125" style="6" customWidth="1"/>
    <col min="5377" max="5377" width="11.453125" style="6" customWidth="1"/>
    <col min="5378" max="5378" width="12.1796875" style="6" customWidth="1"/>
    <col min="5379" max="5379" width="10.81640625" style="6" bestFit="1" customWidth="1"/>
    <col min="5380" max="5380" width="12.453125" style="6" bestFit="1" customWidth="1"/>
    <col min="5381" max="5382" width="12.453125" style="6" customWidth="1"/>
    <col min="5383" max="5618" width="9.1796875" style="6"/>
    <col min="5619" max="5619" width="11.1796875" style="6" bestFit="1" customWidth="1"/>
    <col min="5620" max="5620" width="14.26953125" style="6" customWidth="1"/>
    <col min="5621" max="5621" width="11.81640625" style="6" customWidth="1"/>
    <col min="5622" max="5622" width="10.1796875" style="6" customWidth="1"/>
    <col min="5623" max="5623" width="19" style="6" customWidth="1"/>
    <col min="5624" max="5624" width="11.81640625" style="6" customWidth="1"/>
    <col min="5625" max="5625" width="13.81640625" style="6" customWidth="1"/>
    <col min="5626" max="5626" width="12.26953125" style="6" customWidth="1"/>
    <col min="5627" max="5627" width="12" style="6" customWidth="1"/>
    <col min="5628" max="5628" width="11.453125" style="6" customWidth="1"/>
    <col min="5629" max="5629" width="11.81640625" style="6" customWidth="1"/>
    <col min="5630" max="5630" width="10.81640625" style="6" customWidth="1"/>
    <col min="5631" max="5631" width="11.81640625" style="6" customWidth="1"/>
    <col min="5632" max="5632" width="11.26953125" style="6" customWidth="1"/>
    <col min="5633" max="5633" width="11.453125" style="6" customWidth="1"/>
    <col min="5634" max="5634" width="12.1796875" style="6" customWidth="1"/>
    <col min="5635" max="5635" width="10.81640625" style="6" bestFit="1" customWidth="1"/>
    <col min="5636" max="5636" width="12.453125" style="6" bestFit="1" customWidth="1"/>
    <col min="5637" max="5638" width="12.453125" style="6" customWidth="1"/>
    <col min="5639" max="5874" width="9.1796875" style="6"/>
    <col min="5875" max="5875" width="11.1796875" style="6" bestFit="1" customWidth="1"/>
    <col min="5876" max="5876" width="14.26953125" style="6" customWidth="1"/>
    <col min="5877" max="5877" width="11.81640625" style="6" customWidth="1"/>
    <col min="5878" max="5878" width="10.1796875" style="6" customWidth="1"/>
    <col min="5879" max="5879" width="19" style="6" customWidth="1"/>
    <col min="5880" max="5880" width="11.81640625" style="6" customWidth="1"/>
    <col min="5881" max="5881" width="13.81640625" style="6" customWidth="1"/>
    <col min="5882" max="5882" width="12.26953125" style="6" customWidth="1"/>
    <col min="5883" max="5883" width="12" style="6" customWidth="1"/>
    <col min="5884" max="5884" width="11.453125" style="6" customWidth="1"/>
    <col min="5885" max="5885" width="11.81640625" style="6" customWidth="1"/>
    <col min="5886" max="5886" width="10.81640625" style="6" customWidth="1"/>
    <col min="5887" max="5887" width="11.81640625" style="6" customWidth="1"/>
    <col min="5888" max="5888" width="11.26953125" style="6" customWidth="1"/>
    <col min="5889" max="5889" width="11.453125" style="6" customWidth="1"/>
    <col min="5890" max="5890" width="12.1796875" style="6" customWidth="1"/>
    <col min="5891" max="5891" width="10.81640625" style="6" bestFit="1" customWidth="1"/>
    <col min="5892" max="5892" width="12.453125" style="6" bestFit="1" customWidth="1"/>
    <col min="5893" max="5894" width="12.453125" style="6" customWidth="1"/>
    <col min="5895" max="6130" width="9.1796875" style="6"/>
    <col min="6131" max="6131" width="11.1796875" style="6" bestFit="1" customWidth="1"/>
    <col min="6132" max="6132" width="14.26953125" style="6" customWidth="1"/>
    <col min="6133" max="6133" width="11.81640625" style="6" customWidth="1"/>
    <col min="6134" max="6134" width="10.1796875" style="6" customWidth="1"/>
    <col min="6135" max="6135" width="19" style="6" customWidth="1"/>
    <col min="6136" max="6136" width="11.81640625" style="6" customWidth="1"/>
    <col min="6137" max="6137" width="13.81640625" style="6" customWidth="1"/>
    <col min="6138" max="6138" width="12.26953125" style="6" customWidth="1"/>
    <col min="6139" max="6139" width="12" style="6" customWidth="1"/>
    <col min="6140" max="6140" width="11.453125" style="6" customWidth="1"/>
    <col min="6141" max="6141" width="11.81640625" style="6" customWidth="1"/>
    <col min="6142" max="6142" width="10.81640625" style="6" customWidth="1"/>
    <col min="6143" max="6143" width="11.81640625" style="6" customWidth="1"/>
    <col min="6144" max="6144" width="11.26953125" style="6" customWidth="1"/>
    <col min="6145" max="6145" width="11.453125" style="6" customWidth="1"/>
    <col min="6146" max="6146" width="12.1796875" style="6" customWidth="1"/>
    <col min="6147" max="6147" width="10.81640625" style="6" bestFit="1" customWidth="1"/>
    <col min="6148" max="6148" width="12.453125" style="6" bestFit="1" customWidth="1"/>
    <col min="6149" max="6150" width="12.453125" style="6" customWidth="1"/>
    <col min="6151" max="6386" width="9.1796875" style="6"/>
    <col min="6387" max="6387" width="11.1796875" style="6" bestFit="1" customWidth="1"/>
    <col min="6388" max="6388" width="14.26953125" style="6" customWidth="1"/>
    <col min="6389" max="6389" width="11.81640625" style="6" customWidth="1"/>
    <col min="6390" max="6390" width="10.1796875" style="6" customWidth="1"/>
    <col min="6391" max="6391" width="19" style="6" customWidth="1"/>
    <col min="6392" max="6392" width="11.81640625" style="6" customWidth="1"/>
    <col min="6393" max="6393" width="13.81640625" style="6" customWidth="1"/>
    <col min="6394" max="6394" width="12.26953125" style="6" customWidth="1"/>
    <col min="6395" max="6395" width="12" style="6" customWidth="1"/>
    <col min="6396" max="6396" width="11.453125" style="6" customWidth="1"/>
    <col min="6397" max="6397" width="11.81640625" style="6" customWidth="1"/>
    <col min="6398" max="6398" width="10.81640625" style="6" customWidth="1"/>
    <col min="6399" max="6399" width="11.81640625" style="6" customWidth="1"/>
    <col min="6400" max="6400" width="11.26953125" style="6" customWidth="1"/>
    <col min="6401" max="6401" width="11.453125" style="6" customWidth="1"/>
    <col min="6402" max="6402" width="12.1796875" style="6" customWidth="1"/>
    <col min="6403" max="6403" width="10.81640625" style="6" bestFit="1" customWidth="1"/>
    <col min="6404" max="6404" width="12.453125" style="6" bestFit="1" customWidth="1"/>
    <col min="6405" max="6406" width="12.453125" style="6" customWidth="1"/>
    <col min="6407" max="6642" width="9.1796875" style="6"/>
    <col min="6643" max="6643" width="11.1796875" style="6" bestFit="1" customWidth="1"/>
    <col min="6644" max="6644" width="14.26953125" style="6" customWidth="1"/>
    <col min="6645" max="6645" width="11.81640625" style="6" customWidth="1"/>
    <col min="6646" max="6646" width="10.1796875" style="6" customWidth="1"/>
    <col min="6647" max="6647" width="19" style="6" customWidth="1"/>
    <col min="6648" max="6648" width="11.81640625" style="6" customWidth="1"/>
    <col min="6649" max="6649" width="13.81640625" style="6" customWidth="1"/>
    <col min="6650" max="6650" width="12.26953125" style="6" customWidth="1"/>
    <col min="6651" max="6651" width="12" style="6" customWidth="1"/>
    <col min="6652" max="6652" width="11.453125" style="6" customWidth="1"/>
    <col min="6653" max="6653" width="11.81640625" style="6" customWidth="1"/>
    <col min="6654" max="6654" width="10.81640625" style="6" customWidth="1"/>
    <col min="6655" max="6655" width="11.81640625" style="6" customWidth="1"/>
    <col min="6656" max="6656" width="11.26953125" style="6" customWidth="1"/>
    <col min="6657" max="6657" width="11.453125" style="6" customWidth="1"/>
    <col min="6658" max="6658" width="12.1796875" style="6" customWidth="1"/>
    <col min="6659" max="6659" width="10.81640625" style="6" bestFit="1" customWidth="1"/>
    <col min="6660" max="6660" width="12.453125" style="6" bestFit="1" customWidth="1"/>
    <col min="6661" max="6662" width="12.453125" style="6" customWidth="1"/>
    <col min="6663" max="6898" width="9.1796875" style="6"/>
    <col min="6899" max="6899" width="11.1796875" style="6" bestFit="1" customWidth="1"/>
    <col min="6900" max="6900" width="14.26953125" style="6" customWidth="1"/>
    <col min="6901" max="6901" width="11.81640625" style="6" customWidth="1"/>
    <col min="6902" max="6902" width="10.1796875" style="6" customWidth="1"/>
    <col min="6903" max="6903" width="19" style="6" customWidth="1"/>
    <col min="6904" max="6904" width="11.81640625" style="6" customWidth="1"/>
    <col min="6905" max="6905" width="13.81640625" style="6" customWidth="1"/>
    <col min="6906" max="6906" width="12.26953125" style="6" customWidth="1"/>
    <col min="6907" max="6907" width="12" style="6" customWidth="1"/>
    <col min="6908" max="6908" width="11.453125" style="6" customWidth="1"/>
    <col min="6909" max="6909" width="11.81640625" style="6" customWidth="1"/>
    <col min="6910" max="6910" width="10.81640625" style="6" customWidth="1"/>
    <col min="6911" max="6911" width="11.81640625" style="6" customWidth="1"/>
    <col min="6912" max="6912" width="11.26953125" style="6" customWidth="1"/>
    <col min="6913" max="6913" width="11.453125" style="6" customWidth="1"/>
    <col min="6914" max="6914" width="12.1796875" style="6" customWidth="1"/>
    <col min="6915" max="6915" width="10.81640625" style="6" bestFit="1" customWidth="1"/>
    <col min="6916" max="6916" width="12.453125" style="6" bestFit="1" customWidth="1"/>
    <col min="6917" max="6918" width="12.453125" style="6" customWidth="1"/>
    <col min="6919" max="7154" width="9.1796875" style="6"/>
    <col min="7155" max="7155" width="11.1796875" style="6" bestFit="1" customWidth="1"/>
    <col min="7156" max="7156" width="14.26953125" style="6" customWidth="1"/>
    <col min="7157" max="7157" width="11.81640625" style="6" customWidth="1"/>
    <col min="7158" max="7158" width="10.1796875" style="6" customWidth="1"/>
    <col min="7159" max="7159" width="19" style="6" customWidth="1"/>
    <col min="7160" max="7160" width="11.81640625" style="6" customWidth="1"/>
    <col min="7161" max="7161" width="13.81640625" style="6" customWidth="1"/>
    <col min="7162" max="7162" width="12.26953125" style="6" customWidth="1"/>
    <col min="7163" max="7163" width="12" style="6" customWidth="1"/>
    <col min="7164" max="7164" width="11.453125" style="6" customWidth="1"/>
    <col min="7165" max="7165" width="11.81640625" style="6" customWidth="1"/>
    <col min="7166" max="7166" width="10.81640625" style="6" customWidth="1"/>
    <col min="7167" max="7167" width="11.81640625" style="6" customWidth="1"/>
    <col min="7168" max="7168" width="11.26953125" style="6" customWidth="1"/>
    <col min="7169" max="7169" width="11.453125" style="6" customWidth="1"/>
    <col min="7170" max="7170" width="12.1796875" style="6" customWidth="1"/>
    <col min="7171" max="7171" width="10.81640625" style="6" bestFit="1" customWidth="1"/>
    <col min="7172" max="7172" width="12.453125" style="6" bestFit="1" customWidth="1"/>
    <col min="7173" max="7174" width="12.453125" style="6" customWidth="1"/>
    <col min="7175" max="7410" width="9.1796875" style="6"/>
    <col min="7411" max="7411" width="11.1796875" style="6" bestFit="1" customWidth="1"/>
    <col min="7412" max="7412" width="14.26953125" style="6" customWidth="1"/>
    <col min="7413" max="7413" width="11.81640625" style="6" customWidth="1"/>
    <col min="7414" max="7414" width="10.1796875" style="6" customWidth="1"/>
    <col min="7415" max="7415" width="19" style="6" customWidth="1"/>
    <col min="7416" max="7416" width="11.81640625" style="6" customWidth="1"/>
    <col min="7417" max="7417" width="13.81640625" style="6" customWidth="1"/>
    <col min="7418" max="7418" width="12.26953125" style="6" customWidth="1"/>
    <col min="7419" max="7419" width="12" style="6" customWidth="1"/>
    <col min="7420" max="7420" width="11.453125" style="6" customWidth="1"/>
    <col min="7421" max="7421" width="11.81640625" style="6" customWidth="1"/>
    <col min="7422" max="7422" width="10.81640625" style="6" customWidth="1"/>
    <col min="7423" max="7423" width="11.81640625" style="6" customWidth="1"/>
    <col min="7424" max="7424" width="11.26953125" style="6" customWidth="1"/>
    <col min="7425" max="7425" width="11.453125" style="6" customWidth="1"/>
    <col min="7426" max="7426" width="12.1796875" style="6" customWidth="1"/>
    <col min="7427" max="7427" width="10.81640625" style="6" bestFit="1" customWidth="1"/>
    <col min="7428" max="7428" width="12.453125" style="6" bestFit="1" customWidth="1"/>
    <col min="7429" max="7430" width="12.453125" style="6" customWidth="1"/>
    <col min="7431" max="7666" width="9.1796875" style="6"/>
    <col min="7667" max="7667" width="11.1796875" style="6" bestFit="1" customWidth="1"/>
    <col min="7668" max="7668" width="14.26953125" style="6" customWidth="1"/>
    <col min="7669" max="7669" width="11.81640625" style="6" customWidth="1"/>
    <col min="7670" max="7670" width="10.1796875" style="6" customWidth="1"/>
    <col min="7671" max="7671" width="19" style="6" customWidth="1"/>
    <col min="7672" max="7672" width="11.81640625" style="6" customWidth="1"/>
    <col min="7673" max="7673" width="13.81640625" style="6" customWidth="1"/>
    <col min="7674" max="7674" width="12.26953125" style="6" customWidth="1"/>
    <col min="7675" max="7675" width="12" style="6" customWidth="1"/>
    <col min="7676" max="7676" width="11.453125" style="6" customWidth="1"/>
    <col min="7677" max="7677" width="11.81640625" style="6" customWidth="1"/>
    <col min="7678" max="7678" width="10.81640625" style="6" customWidth="1"/>
    <col min="7679" max="7679" width="11.81640625" style="6" customWidth="1"/>
    <col min="7680" max="7680" width="11.26953125" style="6" customWidth="1"/>
    <col min="7681" max="7681" width="11.453125" style="6" customWidth="1"/>
    <col min="7682" max="7682" width="12.1796875" style="6" customWidth="1"/>
    <col min="7683" max="7683" width="10.81640625" style="6" bestFit="1" customWidth="1"/>
    <col min="7684" max="7684" width="12.453125" style="6" bestFit="1" customWidth="1"/>
    <col min="7685" max="7686" width="12.453125" style="6" customWidth="1"/>
    <col min="7687" max="7922" width="9.1796875" style="6"/>
    <col min="7923" max="7923" width="11.1796875" style="6" bestFit="1" customWidth="1"/>
    <col min="7924" max="7924" width="14.26953125" style="6" customWidth="1"/>
    <col min="7925" max="7925" width="11.81640625" style="6" customWidth="1"/>
    <col min="7926" max="7926" width="10.1796875" style="6" customWidth="1"/>
    <col min="7927" max="7927" width="19" style="6" customWidth="1"/>
    <col min="7928" max="7928" width="11.81640625" style="6" customWidth="1"/>
    <col min="7929" max="7929" width="13.81640625" style="6" customWidth="1"/>
    <col min="7930" max="7930" width="12.26953125" style="6" customWidth="1"/>
    <col min="7931" max="7931" width="12" style="6" customWidth="1"/>
    <col min="7932" max="7932" width="11.453125" style="6" customWidth="1"/>
    <col min="7933" max="7933" width="11.81640625" style="6" customWidth="1"/>
    <col min="7934" max="7934" width="10.81640625" style="6" customWidth="1"/>
    <col min="7935" max="7935" width="11.81640625" style="6" customWidth="1"/>
    <col min="7936" max="7936" width="11.26953125" style="6" customWidth="1"/>
    <col min="7937" max="7937" width="11.453125" style="6" customWidth="1"/>
    <col min="7938" max="7938" width="12.1796875" style="6" customWidth="1"/>
    <col min="7939" max="7939" width="10.81640625" style="6" bestFit="1" customWidth="1"/>
    <col min="7940" max="7940" width="12.453125" style="6" bestFit="1" customWidth="1"/>
    <col min="7941" max="7942" width="12.453125" style="6" customWidth="1"/>
    <col min="7943" max="8178" width="9.1796875" style="6"/>
    <col min="8179" max="8179" width="11.1796875" style="6" bestFit="1" customWidth="1"/>
    <col min="8180" max="8180" width="14.26953125" style="6" customWidth="1"/>
    <col min="8181" max="8181" width="11.81640625" style="6" customWidth="1"/>
    <col min="8182" max="8182" width="10.1796875" style="6" customWidth="1"/>
    <col min="8183" max="8183" width="19" style="6" customWidth="1"/>
    <col min="8184" max="8184" width="11.81640625" style="6" customWidth="1"/>
    <col min="8185" max="8185" width="13.81640625" style="6" customWidth="1"/>
    <col min="8186" max="8186" width="12.26953125" style="6" customWidth="1"/>
    <col min="8187" max="8187" width="12" style="6" customWidth="1"/>
    <col min="8188" max="8188" width="11.453125" style="6" customWidth="1"/>
    <col min="8189" max="8189" width="11.81640625" style="6" customWidth="1"/>
    <col min="8190" max="8190" width="10.81640625" style="6" customWidth="1"/>
    <col min="8191" max="8191" width="11.81640625" style="6" customWidth="1"/>
    <col min="8192" max="8192" width="11.26953125" style="6" customWidth="1"/>
    <col min="8193" max="8193" width="11.453125" style="6" customWidth="1"/>
    <col min="8194" max="8194" width="12.1796875" style="6" customWidth="1"/>
    <col min="8195" max="8195" width="10.81640625" style="6" bestFit="1" customWidth="1"/>
    <col min="8196" max="8196" width="12.453125" style="6" bestFit="1" customWidth="1"/>
    <col min="8197" max="8198" width="12.453125" style="6" customWidth="1"/>
    <col min="8199" max="8434" width="9.1796875" style="6"/>
    <col min="8435" max="8435" width="11.1796875" style="6" bestFit="1" customWidth="1"/>
    <col min="8436" max="8436" width="14.26953125" style="6" customWidth="1"/>
    <col min="8437" max="8437" width="11.81640625" style="6" customWidth="1"/>
    <col min="8438" max="8438" width="10.1796875" style="6" customWidth="1"/>
    <col min="8439" max="8439" width="19" style="6" customWidth="1"/>
    <col min="8440" max="8440" width="11.81640625" style="6" customWidth="1"/>
    <col min="8441" max="8441" width="13.81640625" style="6" customWidth="1"/>
    <col min="8442" max="8442" width="12.26953125" style="6" customWidth="1"/>
    <col min="8443" max="8443" width="12" style="6" customWidth="1"/>
    <col min="8444" max="8444" width="11.453125" style="6" customWidth="1"/>
    <col min="8445" max="8445" width="11.81640625" style="6" customWidth="1"/>
    <col min="8446" max="8446" width="10.81640625" style="6" customWidth="1"/>
    <col min="8447" max="8447" width="11.81640625" style="6" customWidth="1"/>
    <col min="8448" max="8448" width="11.26953125" style="6" customWidth="1"/>
    <col min="8449" max="8449" width="11.453125" style="6" customWidth="1"/>
    <col min="8450" max="8450" width="12.1796875" style="6" customWidth="1"/>
    <col min="8451" max="8451" width="10.81640625" style="6" bestFit="1" customWidth="1"/>
    <col min="8452" max="8452" width="12.453125" style="6" bestFit="1" customWidth="1"/>
    <col min="8453" max="8454" width="12.453125" style="6" customWidth="1"/>
    <col min="8455" max="8690" width="9.1796875" style="6"/>
    <col min="8691" max="8691" width="11.1796875" style="6" bestFit="1" customWidth="1"/>
    <col min="8692" max="8692" width="14.26953125" style="6" customWidth="1"/>
    <col min="8693" max="8693" width="11.81640625" style="6" customWidth="1"/>
    <col min="8694" max="8694" width="10.1796875" style="6" customWidth="1"/>
    <col min="8695" max="8695" width="19" style="6" customWidth="1"/>
    <col min="8696" max="8696" width="11.81640625" style="6" customWidth="1"/>
    <col min="8697" max="8697" width="13.81640625" style="6" customWidth="1"/>
    <col min="8698" max="8698" width="12.26953125" style="6" customWidth="1"/>
    <col min="8699" max="8699" width="12" style="6" customWidth="1"/>
    <col min="8700" max="8700" width="11.453125" style="6" customWidth="1"/>
    <col min="8701" max="8701" width="11.81640625" style="6" customWidth="1"/>
    <col min="8702" max="8702" width="10.81640625" style="6" customWidth="1"/>
    <col min="8703" max="8703" width="11.81640625" style="6" customWidth="1"/>
    <col min="8704" max="8704" width="11.26953125" style="6" customWidth="1"/>
    <col min="8705" max="8705" width="11.453125" style="6" customWidth="1"/>
    <col min="8706" max="8706" width="12.1796875" style="6" customWidth="1"/>
    <col min="8707" max="8707" width="10.81640625" style="6" bestFit="1" customWidth="1"/>
    <col min="8708" max="8708" width="12.453125" style="6" bestFit="1" customWidth="1"/>
    <col min="8709" max="8710" width="12.453125" style="6" customWidth="1"/>
    <col min="8711" max="8946" width="9.1796875" style="6"/>
    <col min="8947" max="8947" width="11.1796875" style="6" bestFit="1" customWidth="1"/>
    <col min="8948" max="8948" width="14.26953125" style="6" customWidth="1"/>
    <col min="8949" max="8949" width="11.81640625" style="6" customWidth="1"/>
    <col min="8950" max="8950" width="10.1796875" style="6" customWidth="1"/>
    <col min="8951" max="8951" width="19" style="6" customWidth="1"/>
    <col min="8952" max="8952" width="11.81640625" style="6" customWidth="1"/>
    <col min="8953" max="8953" width="13.81640625" style="6" customWidth="1"/>
    <col min="8954" max="8954" width="12.26953125" style="6" customWidth="1"/>
    <col min="8955" max="8955" width="12" style="6" customWidth="1"/>
    <col min="8956" max="8956" width="11.453125" style="6" customWidth="1"/>
    <col min="8957" max="8957" width="11.81640625" style="6" customWidth="1"/>
    <col min="8958" max="8958" width="10.81640625" style="6" customWidth="1"/>
    <col min="8959" max="8959" width="11.81640625" style="6" customWidth="1"/>
    <col min="8960" max="8960" width="11.26953125" style="6" customWidth="1"/>
    <col min="8961" max="8961" width="11.453125" style="6" customWidth="1"/>
    <col min="8962" max="8962" width="12.1796875" style="6" customWidth="1"/>
    <col min="8963" max="8963" width="10.81640625" style="6" bestFit="1" customWidth="1"/>
    <col min="8964" max="8964" width="12.453125" style="6" bestFit="1" customWidth="1"/>
    <col min="8965" max="8966" width="12.453125" style="6" customWidth="1"/>
    <col min="8967" max="9202" width="9.1796875" style="6"/>
    <col min="9203" max="9203" width="11.1796875" style="6" bestFit="1" customWidth="1"/>
    <col min="9204" max="9204" width="14.26953125" style="6" customWidth="1"/>
    <col min="9205" max="9205" width="11.81640625" style="6" customWidth="1"/>
    <col min="9206" max="9206" width="10.1796875" style="6" customWidth="1"/>
    <col min="9207" max="9207" width="19" style="6" customWidth="1"/>
    <col min="9208" max="9208" width="11.81640625" style="6" customWidth="1"/>
    <col min="9209" max="9209" width="13.81640625" style="6" customWidth="1"/>
    <col min="9210" max="9210" width="12.26953125" style="6" customWidth="1"/>
    <col min="9211" max="9211" width="12" style="6" customWidth="1"/>
    <col min="9212" max="9212" width="11.453125" style="6" customWidth="1"/>
    <col min="9213" max="9213" width="11.81640625" style="6" customWidth="1"/>
    <col min="9214" max="9214" width="10.81640625" style="6" customWidth="1"/>
    <col min="9215" max="9215" width="11.81640625" style="6" customWidth="1"/>
    <col min="9216" max="9216" width="11.26953125" style="6" customWidth="1"/>
    <col min="9217" max="9217" width="11.453125" style="6" customWidth="1"/>
    <col min="9218" max="9218" width="12.1796875" style="6" customWidth="1"/>
    <col min="9219" max="9219" width="10.81640625" style="6" bestFit="1" customWidth="1"/>
    <col min="9220" max="9220" width="12.453125" style="6" bestFit="1" customWidth="1"/>
    <col min="9221" max="9222" width="12.453125" style="6" customWidth="1"/>
    <col min="9223" max="9458" width="9.1796875" style="6"/>
    <col min="9459" max="9459" width="11.1796875" style="6" bestFit="1" customWidth="1"/>
    <col min="9460" max="9460" width="14.26953125" style="6" customWidth="1"/>
    <col min="9461" max="9461" width="11.81640625" style="6" customWidth="1"/>
    <col min="9462" max="9462" width="10.1796875" style="6" customWidth="1"/>
    <col min="9463" max="9463" width="19" style="6" customWidth="1"/>
    <col min="9464" max="9464" width="11.81640625" style="6" customWidth="1"/>
    <col min="9465" max="9465" width="13.81640625" style="6" customWidth="1"/>
    <col min="9466" max="9466" width="12.26953125" style="6" customWidth="1"/>
    <col min="9467" max="9467" width="12" style="6" customWidth="1"/>
    <col min="9468" max="9468" width="11.453125" style="6" customWidth="1"/>
    <col min="9469" max="9469" width="11.81640625" style="6" customWidth="1"/>
    <col min="9470" max="9470" width="10.81640625" style="6" customWidth="1"/>
    <col min="9471" max="9471" width="11.81640625" style="6" customWidth="1"/>
    <col min="9472" max="9472" width="11.26953125" style="6" customWidth="1"/>
    <col min="9473" max="9473" width="11.453125" style="6" customWidth="1"/>
    <col min="9474" max="9474" width="12.1796875" style="6" customWidth="1"/>
    <col min="9475" max="9475" width="10.81640625" style="6" bestFit="1" customWidth="1"/>
    <col min="9476" max="9476" width="12.453125" style="6" bestFit="1" customWidth="1"/>
    <col min="9477" max="9478" width="12.453125" style="6" customWidth="1"/>
    <col min="9479" max="9714" width="9.1796875" style="6"/>
    <col min="9715" max="9715" width="11.1796875" style="6" bestFit="1" customWidth="1"/>
    <col min="9716" max="9716" width="14.26953125" style="6" customWidth="1"/>
    <col min="9717" max="9717" width="11.81640625" style="6" customWidth="1"/>
    <col min="9718" max="9718" width="10.1796875" style="6" customWidth="1"/>
    <col min="9719" max="9719" width="19" style="6" customWidth="1"/>
    <col min="9720" max="9720" width="11.81640625" style="6" customWidth="1"/>
    <col min="9721" max="9721" width="13.81640625" style="6" customWidth="1"/>
    <col min="9722" max="9722" width="12.26953125" style="6" customWidth="1"/>
    <col min="9723" max="9723" width="12" style="6" customWidth="1"/>
    <col min="9724" max="9724" width="11.453125" style="6" customWidth="1"/>
    <col min="9725" max="9725" width="11.81640625" style="6" customWidth="1"/>
    <col min="9726" max="9726" width="10.81640625" style="6" customWidth="1"/>
    <col min="9727" max="9727" width="11.81640625" style="6" customWidth="1"/>
    <col min="9728" max="9728" width="11.26953125" style="6" customWidth="1"/>
    <col min="9729" max="9729" width="11.453125" style="6" customWidth="1"/>
    <col min="9730" max="9730" width="12.1796875" style="6" customWidth="1"/>
    <col min="9731" max="9731" width="10.81640625" style="6" bestFit="1" customWidth="1"/>
    <col min="9732" max="9732" width="12.453125" style="6" bestFit="1" customWidth="1"/>
    <col min="9733" max="9734" width="12.453125" style="6" customWidth="1"/>
    <col min="9735" max="9970" width="9.1796875" style="6"/>
    <col min="9971" max="9971" width="11.1796875" style="6" bestFit="1" customWidth="1"/>
    <col min="9972" max="9972" width="14.26953125" style="6" customWidth="1"/>
    <col min="9973" max="9973" width="11.81640625" style="6" customWidth="1"/>
    <col min="9974" max="9974" width="10.1796875" style="6" customWidth="1"/>
    <col min="9975" max="9975" width="19" style="6" customWidth="1"/>
    <col min="9976" max="9976" width="11.81640625" style="6" customWidth="1"/>
    <col min="9977" max="9977" width="13.81640625" style="6" customWidth="1"/>
    <col min="9978" max="9978" width="12.26953125" style="6" customWidth="1"/>
    <col min="9979" max="9979" width="12" style="6" customWidth="1"/>
    <col min="9980" max="9980" width="11.453125" style="6" customWidth="1"/>
    <col min="9981" max="9981" width="11.81640625" style="6" customWidth="1"/>
    <col min="9982" max="9982" width="10.81640625" style="6" customWidth="1"/>
    <col min="9983" max="9983" width="11.81640625" style="6" customWidth="1"/>
    <col min="9984" max="9984" width="11.26953125" style="6" customWidth="1"/>
    <col min="9985" max="9985" width="11.453125" style="6" customWidth="1"/>
    <col min="9986" max="9986" width="12.1796875" style="6" customWidth="1"/>
    <col min="9987" max="9987" width="10.81640625" style="6" bestFit="1" customWidth="1"/>
    <col min="9988" max="9988" width="12.453125" style="6" bestFit="1" customWidth="1"/>
    <col min="9989" max="9990" width="12.453125" style="6" customWidth="1"/>
    <col min="9991" max="10226" width="9.1796875" style="6"/>
    <col min="10227" max="10227" width="11.1796875" style="6" bestFit="1" customWidth="1"/>
    <col min="10228" max="10228" width="14.26953125" style="6" customWidth="1"/>
    <col min="10229" max="10229" width="11.81640625" style="6" customWidth="1"/>
    <col min="10230" max="10230" width="10.1796875" style="6" customWidth="1"/>
    <col min="10231" max="10231" width="19" style="6" customWidth="1"/>
    <col min="10232" max="10232" width="11.81640625" style="6" customWidth="1"/>
    <col min="10233" max="10233" width="13.81640625" style="6" customWidth="1"/>
    <col min="10234" max="10234" width="12.26953125" style="6" customWidth="1"/>
    <col min="10235" max="10235" width="12" style="6" customWidth="1"/>
    <col min="10236" max="10236" width="11.453125" style="6" customWidth="1"/>
    <col min="10237" max="10237" width="11.81640625" style="6" customWidth="1"/>
    <col min="10238" max="10238" width="10.81640625" style="6" customWidth="1"/>
    <col min="10239" max="10239" width="11.81640625" style="6" customWidth="1"/>
    <col min="10240" max="10240" width="11.26953125" style="6" customWidth="1"/>
    <col min="10241" max="10241" width="11.453125" style="6" customWidth="1"/>
    <col min="10242" max="10242" width="12.1796875" style="6" customWidth="1"/>
    <col min="10243" max="10243" width="10.81640625" style="6" bestFit="1" customWidth="1"/>
    <col min="10244" max="10244" width="12.453125" style="6" bestFit="1" customWidth="1"/>
    <col min="10245" max="10246" width="12.453125" style="6" customWidth="1"/>
    <col min="10247" max="10482" width="9.1796875" style="6"/>
    <col min="10483" max="10483" width="11.1796875" style="6" bestFit="1" customWidth="1"/>
    <col min="10484" max="10484" width="14.26953125" style="6" customWidth="1"/>
    <col min="10485" max="10485" width="11.81640625" style="6" customWidth="1"/>
    <col min="10486" max="10486" width="10.1796875" style="6" customWidth="1"/>
    <col min="10487" max="10487" width="19" style="6" customWidth="1"/>
    <col min="10488" max="10488" width="11.81640625" style="6" customWidth="1"/>
    <col min="10489" max="10489" width="13.81640625" style="6" customWidth="1"/>
    <col min="10490" max="10490" width="12.26953125" style="6" customWidth="1"/>
    <col min="10491" max="10491" width="12" style="6" customWidth="1"/>
    <col min="10492" max="10492" width="11.453125" style="6" customWidth="1"/>
    <col min="10493" max="10493" width="11.81640625" style="6" customWidth="1"/>
    <col min="10494" max="10494" width="10.81640625" style="6" customWidth="1"/>
    <col min="10495" max="10495" width="11.81640625" style="6" customWidth="1"/>
    <col min="10496" max="10496" width="11.26953125" style="6" customWidth="1"/>
    <col min="10497" max="10497" width="11.453125" style="6" customWidth="1"/>
    <col min="10498" max="10498" width="12.1796875" style="6" customWidth="1"/>
    <col min="10499" max="10499" width="10.81640625" style="6" bestFit="1" customWidth="1"/>
    <col min="10500" max="10500" width="12.453125" style="6" bestFit="1" customWidth="1"/>
    <col min="10501" max="10502" width="12.453125" style="6" customWidth="1"/>
    <col min="10503" max="10738" width="9.1796875" style="6"/>
    <col min="10739" max="10739" width="11.1796875" style="6" bestFit="1" customWidth="1"/>
    <col min="10740" max="10740" width="14.26953125" style="6" customWidth="1"/>
    <col min="10741" max="10741" width="11.81640625" style="6" customWidth="1"/>
    <col min="10742" max="10742" width="10.1796875" style="6" customWidth="1"/>
    <col min="10743" max="10743" width="19" style="6" customWidth="1"/>
    <col min="10744" max="10744" width="11.81640625" style="6" customWidth="1"/>
    <col min="10745" max="10745" width="13.81640625" style="6" customWidth="1"/>
    <col min="10746" max="10746" width="12.26953125" style="6" customWidth="1"/>
    <col min="10747" max="10747" width="12" style="6" customWidth="1"/>
    <col min="10748" max="10748" width="11.453125" style="6" customWidth="1"/>
    <col min="10749" max="10749" width="11.81640625" style="6" customWidth="1"/>
    <col min="10750" max="10750" width="10.81640625" style="6" customWidth="1"/>
    <col min="10751" max="10751" width="11.81640625" style="6" customWidth="1"/>
    <col min="10752" max="10752" width="11.26953125" style="6" customWidth="1"/>
    <col min="10753" max="10753" width="11.453125" style="6" customWidth="1"/>
    <col min="10754" max="10754" width="12.1796875" style="6" customWidth="1"/>
    <col min="10755" max="10755" width="10.81640625" style="6" bestFit="1" customWidth="1"/>
    <col min="10756" max="10756" width="12.453125" style="6" bestFit="1" customWidth="1"/>
    <col min="10757" max="10758" width="12.453125" style="6" customWidth="1"/>
    <col min="10759" max="10994" width="9.1796875" style="6"/>
    <col min="10995" max="10995" width="11.1796875" style="6" bestFit="1" customWidth="1"/>
    <col min="10996" max="10996" width="14.26953125" style="6" customWidth="1"/>
    <col min="10997" max="10997" width="11.81640625" style="6" customWidth="1"/>
    <col min="10998" max="10998" width="10.1796875" style="6" customWidth="1"/>
    <col min="10999" max="10999" width="19" style="6" customWidth="1"/>
    <col min="11000" max="11000" width="11.81640625" style="6" customWidth="1"/>
    <col min="11001" max="11001" width="13.81640625" style="6" customWidth="1"/>
    <col min="11002" max="11002" width="12.26953125" style="6" customWidth="1"/>
    <col min="11003" max="11003" width="12" style="6" customWidth="1"/>
    <col min="11004" max="11004" width="11.453125" style="6" customWidth="1"/>
    <col min="11005" max="11005" width="11.81640625" style="6" customWidth="1"/>
    <col min="11006" max="11006" width="10.81640625" style="6" customWidth="1"/>
    <col min="11007" max="11007" width="11.81640625" style="6" customWidth="1"/>
    <col min="11008" max="11008" width="11.26953125" style="6" customWidth="1"/>
    <col min="11009" max="11009" width="11.453125" style="6" customWidth="1"/>
    <col min="11010" max="11010" width="12.1796875" style="6" customWidth="1"/>
    <col min="11011" max="11011" width="10.81640625" style="6" bestFit="1" customWidth="1"/>
    <col min="11012" max="11012" width="12.453125" style="6" bestFit="1" customWidth="1"/>
    <col min="11013" max="11014" width="12.453125" style="6" customWidth="1"/>
    <col min="11015" max="11250" width="9.1796875" style="6"/>
    <col min="11251" max="11251" width="11.1796875" style="6" bestFit="1" customWidth="1"/>
    <col min="11252" max="11252" width="14.26953125" style="6" customWidth="1"/>
    <col min="11253" max="11253" width="11.81640625" style="6" customWidth="1"/>
    <col min="11254" max="11254" width="10.1796875" style="6" customWidth="1"/>
    <col min="11255" max="11255" width="19" style="6" customWidth="1"/>
    <col min="11256" max="11256" width="11.81640625" style="6" customWidth="1"/>
    <col min="11257" max="11257" width="13.81640625" style="6" customWidth="1"/>
    <col min="11258" max="11258" width="12.26953125" style="6" customWidth="1"/>
    <col min="11259" max="11259" width="12" style="6" customWidth="1"/>
    <col min="11260" max="11260" width="11.453125" style="6" customWidth="1"/>
    <col min="11261" max="11261" width="11.81640625" style="6" customWidth="1"/>
    <col min="11262" max="11262" width="10.81640625" style="6" customWidth="1"/>
    <col min="11263" max="11263" width="11.81640625" style="6" customWidth="1"/>
    <col min="11264" max="11264" width="11.26953125" style="6" customWidth="1"/>
    <col min="11265" max="11265" width="11.453125" style="6" customWidth="1"/>
    <col min="11266" max="11266" width="12.1796875" style="6" customWidth="1"/>
    <col min="11267" max="11267" width="10.81640625" style="6" bestFit="1" customWidth="1"/>
    <col min="11268" max="11268" width="12.453125" style="6" bestFit="1" customWidth="1"/>
    <col min="11269" max="11270" width="12.453125" style="6" customWidth="1"/>
    <col min="11271" max="11506" width="9.1796875" style="6"/>
    <col min="11507" max="11507" width="11.1796875" style="6" bestFit="1" customWidth="1"/>
    <col min="11508" max="11508" width="14.26953125" style="6" customWidth="1"/>
    <col min="11509" max="11509" width="11.81640625" style="6" customWidth="1"/>
    <col min="11510" max="11510" width="10.1796875" style="6" customWidth="1"/>
    <col min="11511" max="11511" width="19" style="6" customWidth="1"/>
    <col min="11512" max="11512" width="11.81640625" style="6" customWidth="1"/>
    <col min="11513" max="11513" width="13.81640625" style="6" customWidth="1"/>
    <col min="11514" max="11514" width="12.26953125" style="6" customWidth="1"/>
    <col min="11515" max="11515" width="12" style="6" customWidth="1"/>
    <col min="11516" max="11516" width="11.453125" style="6" customWidth="1"/>
    <col min="11517" max="11517" width="11.81640625" style="6" customWidth="1"/>
    <col min="11518" max="11518" width="10.81640625" style="6" customWidth="1"/>
    <col min="11519" max="11519" width="11.81640625" style="6" customWidth="1"/>
    <col min="11520" max="11520" width="11.26953125" style="6" customWidth="1"/>
    <col min="11521" max="11521" width="11.453125" style="6" customWidth="1"/>
    <col min="11522" max="11522" width="12.1796875" style="6" customWidth="1"/>
    <col min="11523" max="11523" width="10.81640625" style="6" bestFit="1" customWidth="1"/>
    <col min="11524" max="11524" width="12.453125" style="6" bestFit="1" customWidth="1"/>
    <col min="11525" max="11526" width="12.453125" style="6" customWidth="1"/>
    <col min="11527" max="11762" width="9.1796875" style="6"/>
    <col min="11763" max="11763" width="11.1796875" style="6" bestFit="1" customWidth="1"/>
    <col min="11764" max="11764" width="14.26953125" style="6" customWidth="1"/>
    <col min="11765" max="11765" width="11.81640625" style="6" customWidth="1"/>
    <col min="11766" max="11766" width="10.1796875" style="6" customWidth="1"/>
    <col min="11767" max="11767" width="19" style="6" customWidth="1"/>
    <col min="11768" max="11768" width="11.81640625" style="6" customWidth="1"/>
    <col min="11769" max="11769" width="13.81640625" style="6" customWidth="1"/>
    <col min="11770" max="11770" width="12.26953125" style="6" customWidth="1"/>
    <col min="11771" max="11771" width="12" style="6" customWidth="1"/>
    <col min="11772" max="11772" width="11.453125" style="6" customWidth="1"/>
    <col min="11773" max="11773" width="11.81640625" style="6" customWidth="1"/>
    <col min="11774" max="11774" width="10.81640625" style="6" customWidth="1"/>
    <col min="11775" max="11775" width="11.81640625" style="6" customWidth="1"/>
    <col min="11776" max="11776" width="11.26953125" style="6" customWidth="1"/>
    <col min="11777" max="11777" width="11.453125" style="6" customWidth="1"/>
    <col min="11778" max="11778" width="12.1796875" style="6" customWidth="1"/>
    <col min="11779" max="11779" width="10.81640625" style="6" bestFit="1" customWidth="1"/>
    <col min="11780" max="11780" width="12.453125" style="6" bestFit="1" customWidth="1"/>
    <col min="11781" max="11782" width="12.453125" style="6" customWidth="1"/>
    <col min="11783" max="12018" width="9.1796875" style="6"/>
    <col min="12019" max="12019" width="11.1796875" style="6" bestFit="1" customWidth="1"/>
    <col min="12020" max="12020" width="14.26953125" style="6" customWidth="1"/>
    <col min="12021" max="12021" width="11.81640625" style="6" customWidth="1"/>
    <col min="12022" max="12022" width="10.1796875" style="6" customWidth="1"/>
    <col min="12023" max="12023" width="19" style="6" customWidth="1"/>
    <col min="12024" max="12024" width="11.81640625" style="6" customWidth="1"/>
    <col min="12025" max="12025" width="13.81640625" style="6" customWidth="1"/>
    <col min="12026" max="12026" width="12.26953125" style="6" customWidth="1"/>
    <col min="12027" max="12027" width="12" style="6" customWidth="1"/>
    <col min="12028" max="12028" width="11.453125" style="6" customWidth="1"/>
    <col min="12029" max="12029" width="11.81640625" style="6" customWidth="1"/>
    <col min="12030" max="12030" width="10.81640625" style="6" customWidth="1"/>
    <col min="12031" max="12031" width="11.81640625" style="6" customWidth="1"/>
    <col min="12032" max="12032" width="11.26953125" style="6" customWidth="1"/>
    <col min="12033" max="12033" width="11.453125" style="6" customWidth="1"/>
    <col min="12034" max="12034" width="12.1796875" style="6" customWidth="1"/>
    <col min="12035" max="12035" width="10.81640625" style="6" bestFit="1" customWidth="1"/>
    <col min="12036" max="12036" width="12.453125" style="6" bestFit="1" customWidth="1"/>
    <col min="12037" max="12038" width="12.453125" style="6" customWidth="1"/>
    <col min="12039" max="12274" width="9.1796875" style="6"/>
    <col min="12275" max="12275" width="11.1796875" style="6" bestFit="1" customWidth="1"/>
    <col min="12276" max="12276" width="14.26953125" style="6" customWidth="1"/>
    <col min="12277" max="12277" width="11.81640625" style="6" customWidth="1"/>
    <col min="12278" max="12278" width="10.1796875" style="6" customWidth="1"/>
    <col min="12279" max="12279" width="19" style="6" customWidth="1"/>
    <col min="12280" max="12280" width="11.81640625" style="6" customWidth="1"/>
    <col min="12281" max="12281" width="13.81640625" style="6" customWidth="1"/>
    <col min="12282" max="12282" width="12.26953125" style="6" customWidth="1"/>
    <col min="12283" max="12283" width="12" style="6" customWidth="1"/>
    <col min="12284" max="12284" width="11.453125" style="6" customWidth="1"/>
    <col min="12285" max="12285" width="11.81640625" style="6" customWidth="1"/>
    <col min="12286" max="12286" width="10.81640625" style="6" customWidth="1"/>
    <col min="12287" max="12287" width="11.81640625" style="6" customWidth="1"/>
    <col min="12288" max="12288" width="11.26953125" style="6" customWidth="1"/>
    <col min="12289" max="12289" width="11.453125" style="6" customWidth="1"/>
    <col min="12290" max="12290" width="12.1796875" style="6" customWidth="1"/>
    <col min="12291" max="12291" width="10.81640625" style="6" bestFit="1" customWidth="1"/>
    <col min="12292" max="12292" width="12.453125" style="6" bestFit="1" customWidth="1"/>
    <col min="12293" max="12294" width="12.453125" style="6" customWidth="1"/>
    <col min="12295" max="12530" width="9.1796875" style="6"/>
    <col min="12531" max="12531" width="11.1796875" style="6" bestFit="1" customWidth="1"/>
    <col min="12532" max="12532" width="14.26953125" style="6" customWidth="1"/>
    <col min="12533" max="12533" width="11.81640625" style="6" customWidth="1"/>
    <col min="12534" max="12534" width="10.1796875" style="6" customWidth="1"/>
    <col min="12535" max="12535" width="19" style="6" customWidth="1"/>
    <col min="12536" max="12536" width="11.81640625" style="6" customWidth="1"/>
    <col min="12537" max="12537" width="13.81640625" style="6" customWidth="1"/>
    <col min="12538" max="12538" width="12.26953125" style="6" customWidth="1"/>
    <col min="12539" max="12539" width="12" style="6" customWidth="1"/>
    <col min="12540" max="12540" width="11.453125" style="6" customWidth="1"/>
    <col min="12541" max="12541" width="11.81640625" style="6" customWidth="1"/>
    <col min="12542" max="12542" width="10.81640625" style="6" customWidth="1"/>
    <col min="12543" max="12543" width="11.81640625" style="6" customWidth="1"/>
    <col min="12544" max="12544" width="11.26953125" style="6" customWidth="1"/>
    <col min="12545" max="12545" width="11.453125" style="6" customWidth="1"/>
    <col min="12546" max="12546" width="12.1796875" style="6" customWidth="1"/>
    <col min="12547" max="12547" width="10.81640625" style="6" bestFit="1" customWidth="1"/>
    <col min="12548" max="12548" width="12.453125" style="6" bestFit="1" customWidth="1"/>
    <col min="12549" max="12550" width="12.453125" style="6" customWidth="1"/>
    <col min="12551" max="12786" width="9.1796875" style="6"/>
    <col min="12787" max="12787" width="11.1796875" style="6" bestFit="1" customWidth="1"/>
    <col min="12788" max="12788" width="14.26953125" style="6" customWidth="1"/>
    <col min="12789" max="12789" width="11.81640625" style="6" customWidth="1"/>
    <col min="12790" max="12790" width="10.1796875" style="6" customWidth="1"/>
    <col min="12791" max="12791" width="19" style="6" customWidth="1"/>
    <col min="12792" max="12792" width="11.81640625" style="6" customWidth="1"/>
    <col min="12793" max="12793" width="13.81640625" style="6" customWidth="1"/>
    <col min="12794" max="12794" width="12.26953125" style="6" customWidth="1"/>
    <col min="12795" max="12795" width="12" style="6" customWidth="1"/>
    <col min="12796" max="12796" width="11.453125" style="6" customWidth="1"/>
    <col min="12797" max="12797" width="11.81640625" style="6" customWidth="1"/>
    <col min="12798" max="12798" width="10.81640625" style="6" customWidth="1"/>
    <col min="12799" max="12799" width="11.81640625" style="6" customWidth="1"/>
    <col min="12800" max="12800" width="11.26953125" style="6" customWidth="1"/>
    <col min="12801" max="12801" width="11.453125" style="6" customWidth="1"/>
    <col min="12802" max="12802" width="12.1796875" style="6" customWidth="1"/>
    <col min="12803" max="12803" width="10.81640625" style="6" bestFit="1" customWidth="1"/>
    <col min="12804" max="12804" width="12.453125" style="6" bestFit="1" customWidth="1"/>
    <col min="12805" max="12806" width="12.453125" style="6" customWidth="1"/>
    <col min="12807" max="13042" width="9.1796875" style="6"/>
    <col min="13043" max="13043" width="11.1796875" style="6" bestFit="1" customWidth="1"/>
    <col min="13044" max="13044" width="14.26953125" style="6" customWidth="1"/>
    <col min="13045" max="13045" width="11.81640625" style="6" customWidth="1"/>
    <col min="13046" max="13046" width="10.1796875" style="6" customWidth="1"/>
    <col min="13047" max="13047" width="19" style="6" customWidth="1"/>
    <col min="13048" max="13048" width="11.81640625" style="6" customWidth="1"/>
    <col min="13049" max="13049" width="13.81640625" style="6" customWidth="1"/>
    <col min="13050" max="13050" width="12.26953125" style="6" customWidth="1"/>
    <col min="13051" max="13051" width="12" style="6" customWidth="1"/>
    <col min="13052" max="13052" width="11.453125" style="6" customWidth="1"/>
    <col min="13053" max="13053" width="11.81640625" style="6" customWidth="1"/>
    <col min="13054" max="13054" width="10.81640625" style="6" customWidth="1"/>
    <col min="13055" max="13055" width="11.81640625" style="6" customWidth="1"/>
    <col min="13056" max="13056" width="11.26953125" style="6" customWidth="1"/>
    <col min="13057" max="13057" width="11.453125" style="6" customWidth="1"/>
    <col min="13058" max="13058" width="12.1796875" style="6" customWidth="1"/>
    <col min="13059" max="13059" width="10.81640625" style="6" bestFit="1" customWidth="1"/>
    <col min="13060" max="13060" width="12.453125" style="6" bestFit="1" customWidth="1"/>
    <col min="13061" max="13062" width="12.453125" style="6" customWidth="1"/>
    <col min="13063" max="13298" width="9.1796875" style="6"/>
    <col min="13299" max="13299" width="11.1796875" style="6" bestFit="1" customWidth="1"/>
    <col min="13300" max="13300" width="14.26953125" style="6" customWidth="1"/>
    <col min="13301" max="13301" width="11.81640625" style="6" customWidth="1"/>
    <col min="13302" max="13302" width="10.1796875" style="6" customWidth="1"/>
    <col min="13303" max="13303" width="19" style="6" customWidth="1"/>
    <col min="13304" max="13304" width="11.81640625" style="6" customWidth="1"/>
    <col min="13305" max="13305" width="13.81640625" style="6" customWidth="1"/>
    <col min="13306" max="13306" width="12.26953125" style="6" customWidth="1"/>
    <col min="13307" max="13307" width="12" style="6" customWidth="1"/>
    <col min="13308" max="13308" width="11.453125" style="6" customWidth="1"/>
    <col min="13309" max="13309" width="11.81640625" style="6" customWidth="1"/>
    <col min="13310" max="13310" width="10.81640625" style="6" customWidth="1"/>
    <col min="13311" max="13311" width="11.81640625" style="6" customWidth="1"/>
    <col min="13312" max="13312" width="11.26953125" style="6" customWidth="1"/>
    <col min="13313" max="13313" width="11.453125" style="6" customWidth="1"/>
    <col min="13314" max="13314" width="12.1796875" style="6" customWidth="1"/>
    <col min="13315" max="13315" width="10.81640625" style="6" bestFit="1" customWidth="1"/>
    <col min="13316" max="13316" width="12.453125" style="6" bestFit="1" customWidth="1"/>
    <col min="13317" max="13318" width="12.453125" style="6" customWidth="1"/>
    <col min="13319" max="13554" width="9.1796875" style="6"/>
    <col min="13555" max="13555" width="11.1796875" style="6" bestFit="1" customWidth="1"/>
    <col min="13556" max="13556" width="14.26953125" style="6" customWidth="1"/>
    <col min="13557" max="13557" width="11.81640625" style="6" customWidth="1"/>
    <col min="13558" max="13558" width="10.1796875" style="6" customWidth="1"/>
    <col min="13559" max="13559" width="19" style="6" customWidth="1"/>
    <col min="13560" max="13560" width="11.81640625" style="6" customWidth="1"/>
    <col min="13561" max="13561" width="13.81640625" style="6" customWidth="1"/>
    <col min="13562" max="13562" width="12.26953125" style="6" customWidth="1"/>
    <col min="13563" max="13563" width="12" style="6" customWidth="1"/>
    <col min="13564" max="13564" width="11.453125" style="6" customWidth="1"/>
    <col min="13565" max="13565" width="11.81640625" style="6" customWidth="1"/>
    <col min="13566" max="13566" width="10.81640625" style="6" customWidth="1"/>
    <col min="13567" max="13567" width="11.81640625" style="6" customWidth="1"/>
    <col min="13568" max="13568" width="11.26953125" style="6" customWidth="1"/>
    <col min="13569" max="13569" width="11.453125" style="6" customWidth="1"/>
    <col min="13570" max="13570" width="12.1796875" style="6" customWidth="1"/>
    <col min="13571" max="13571" width="10.81640625" style="6" bestFit="1" customWidth="1"/>
    <col min="13572" max="13572" width="12.453125" style="6" bestFit="1" customWidth="1"/>
    <col min="13573" max="13574" width="12.453125" style="6" customWidth="1"/>
    <col min="13575" max="13810" width="9.1796875" style="6"/>
    <col min="13811" max="13811" width="11.1796875" style="6" bestFit="1" customWidth="1"/>
    <col min="13812" max="13812" width="14.26953125" style="6" customWidth="1"/>
    <col min="13813" max="13813" width="11.81640625" style="6" customWidth="1"/>
    <col min="13814" max="13814" width="10.1796875" style="6" customWidth="1"/>
    <col min="13815" max="13815" width="19" style="6" customWidth="1"/>
    <col min="13816" max="13816" width="11.81640625" style="6" customWidth="1"/>
    <col min="13817" max="13817" width="13.81640625" style="6" customWidth="1"/>
    <col min="13818" max="13818" width="12.26953125" style="6" customWidth="1"/>
    <col min="13819" max="13819" width="12" style="6" customWidth="1"/>
    <col min="13820" max="13820" width="11.453125" style="6" customWidth="1"/>
    <col min="13821" max="13821" width="11.81640625" style="6" customWidth="1"/>
    <col min="13822" max="13822" width="10.81640625" style="6" customWidth="1"/>
    <col min="13823" max="13823" width="11.81640625" style="6" customWidth="1"/>
    <col min="13824" max="13824" width="11.26953125" style="6" customWidth="1"/>
    <col min="13825" max="13825" width="11.453125" style="6" customWidth="1"/>
    <col min="13826" max="13826" width="12.1796875" style="6" customWidth="1"/>
    <col min="13827" max="13827" width="10.81640625" style="6" bestFit="1" customWidth="1"/>
    <col min="13828" max="13828" width="12.453125" style="6" bestFit="1" customWidth="1"/>
    <col min="13829" max="13830" width="12.453125" style="6" customWidth="1"/>
    <col min="13831" max="14066" width="9.1796875" style="6"/>
    <col min="14067" max="14067" width="11.1796875" style="6" bestFit="1" customWidth="1"/>
    <col min="14068" max="14068" width="14.26953125" style="6" customWidth="1"/>
    <col min="14069" max="14069" width="11.81640625" style="6" customWidth="1"/>
    <col min="14070" max="14070" width="10.1796875" style="6" customWidth="1"/>
    <col min="14071" max="14071" width="19" style="6" customWidth="1"/>
    <col min="14072" max="14072" width="11.81640625" style="6" customWidth="1"/>
    <col min="14073" max="14073" width="13.81640625" style="6" customWidth="1"/>
    <col min="14074" max="14074" width="12.26953125" style="6" customWidth="1"/>
    <col min="14075" max="14075" width="12" style="6" customWidth="1"/>
    <col min="14076" max="14076" width="11.453125" style="6" customWidth="1"/>
    <col min="14077" max="14077" width="11.81640625" style="6" customWidth="1"/>
    <col min="14078" max="14078" width="10.81640625" style="6" customWidth="1"/>
    <col min="14079" max="14079" width="11.81640625" style="6" customWidth="1"/>
    <col min="14080" max="14080" width="11.26953125" style="6" customWidth="1"/>
    <col min="14081" max="14081" width="11.453125" style="6" customWidth="1"/>
    <col min="14082" max="14082" width="12.1796875" style="6" customWidth="1"/>
    <col min="14083" max="14083" width="10.81640625" style="6" bestFit="1" customWidth="1"/>
    <col min="14084" max="14084" width="12.453125" style="6" bestFit="1" customWidth="1"/>
    <col min="14085" max="14086" width="12.453125" style="6" customWidth="1"/>
    <col min="14087" max="14322" width="9.1796875" style="6"/>
    <col min="14323" max="14323" width="11.1796875" style="6" bestFit="1" customWidth="1"/>
    <col min="14324" max="14324" width="14.26953125" style="6" customWidth="1"/>
    <col min="14325" max="14325" width="11.81640625" style="6" customWidth="1"/>
    <col min="14326" max="14326" width="10.1796875" style="6" customWidth="1"/>
    <col min="14327" max="14327" width="19" style="6" customWidth="1"/>
    <col min="14328" max="14328" width="11.81640625" style="6" customWidth="1"/>
    <col min="14329" max="14329" width="13.81640625" style="6" customWidth="1"/>
    <col min="14330" max="14330" width="12.26953125" style="6" customWidth="1"/>
    <col min="14331" max="14331" width="12" style="6" customWidth="1"/>
    <col min="14332" max="14332" width="11.453125" style="6" customWidth="1"/>
    <col min="14333" max="14333" width="11.81640625" style="6" customWidth="1"/>
    <col min="14334" max="14334" width="10.81640625" style="6" customWidth="1"/>
    <col min="14335" max="14335" width="11.81640625" style="6" customWidth="1"/>
    <col min="14336" max="14336" width="11.26953125" style="6" customWidth="1"/>
    <col min="14337" max="14337" width="11.453125" style="6" customWidth="1"/>
    <col min="14338" max="14338" width="12.1796875" style="6" customWidth="1"/>
    <col min="14339" max="14339" width="10.81640625" style="6" bestFit="1" customWidth="1"/>
    <col min="14340" max="14340" width="12.453125" style="6" bestFit="1" customWidth="1"/>
    <col min="14341" max="14342" width="12.453125" style="6" customWidth="1"/>
    <col min="14343" max="14578" width="9.1796875" style="6"/>
    <col min="14579" max="14579" width="11.1796875" style="6" bestFit="1" customWidth="1"/>
    <col min="14580" max="14580" width="14.26953125" style="6" customWidth="1"/>
    <col min="14581" max="14581" width="11.81640625" style="6" customWidth="1"/>
    <col min="14582" max="14582" width="10.1796875" style="6" customWidth="1"/>
    <col min="14583" max="14583" width="19" style="6" customWidth="1"/>
    <col min="14584" max="14584" width="11.81640625" style="6" customWidth="1"/>
    <col min="14585" max="14585" width="13.81640625" style="6" customWidth="1"/>
    <col min="14586" max="14586" width="12.26953125" style="6" customWidth="1"/>
    <col min="14587" max="14587" width="12" style="6" customWidth="1"/>
    <col min="14588" max="14588" width="11.453125" style="6" customWidth="1"/>
    <col min="14589" max="14589" width="11.81640625" style="6" customWidth="1"/>
    <col min="14590" max="14590" width="10.81640625" style="6" customWidth="1"/>
    <col min="14591" max="14591" width="11.81640625" style="6" customWidth="1"/>
    <col min="14592" max="14592" width="11.26953125" style="6" customWidth="1"/>
    <col min="14593" max="14593" width="11.453125" style="6" customWidth="1"/>
    <col min="14594" max="14594" width="12.1796875" style="6" customWidth="1"/>
    <col min="14595" max="14595" width="10.81640625" style="6" bestFit="1" customWidth="1"/>
    <col min="14596" max="14596" width="12.453125" style="6" bestFit="1" customWidth="1"/>
    <col min="14597" max="14598" width="12.453125" style="6" customWidth="1"/>
    <col min="14599" max="14834" width="9.1796875" style="6"/>
    <col min="14835" max="14835" width="11.1796875" style="6" bestFit="1" customWidth="1"/>
    <col min="14836" max="14836" width="14.26953125" style="6" customWidth="1"/>
    <col min="14837" max="14837" width="11.81640625" style="6" customWidth="1"/>
    <col min="14838" max="14838" width="10.1796875" style="6" customWidth="1"/>
    <col min="14839" max="14839" width="19" style="6" customWidth="1"/>
    <col min="14840" max="14840" width="11.81640625" style="6" customWidth="1"/>
    <col min="14841" max="14841" width="13.81640625" style="6" customWidth="1"/>
    <col min="14842" max="14842" width="12.26953125" style="6" customWidth="1"/>
    <col min="14843" max="14843" width="12" style="6" customWidth="1"/>
    <col min="14844" max="14844" width="11.453125" style="6" customWidth="1"/>
    <col min="14845" max="14845" width="11.81640625" style="6" customWidth="1"/>
    <col min="14846" max="14846" width="10.81640625" style="6" customWidth="1"/>
    <col min="14847" max="14847" width="11.81640625" style="6" customWidth="1"/>
    <col min="14848" max="14848" width="11.26953125" style="6" customWidth="1"/>
    <col min="14849" max="14849" width="11.453125" style="6" customWidth="1"/>
    <col min="14850" max="14850" width="12.1796875" style="6" customWidth="1"/>
    <col min="14851" max="14851" width="10.81640625" style="6" bestFit="1" customWidth="1"/>
    <col min="14852" max="14852" width="12.453125" style="6" bestFit="1" customWidth="1"/>
    <col min="14853" max="14854" width="12.453125" style="6" customWidth="1"/>
    <col min="14855" max="15090" width="9.1796875" style="6"/>
    <col min="15091" max="15091" width="11.1796875" style="6" bestFit="1" customWidth="1"/>
    <col min="15092" max="15092" width="14.26953125" style="6" customWidth="1"/>
    <col min="15093" max="15093" width="11.81640625" style="6" customWidth="1"/>
    <col min="15094" max="15094" width="10.1796875" style="6" customWidth="1"/>
    <col min="15095" max="15095" width="19" style="6" customWidth="1"/>
    <col min="15096" max="15096" width="11.81640625" style="6" customWidth="1"/>
    <col min="15097" max="15097" width="13.81640625" style="6" customWidth="1"/>
    <col min="15098" max="15098" width="12.26953125" style="6" customWidth="1"/>
    <col min="15099" max="15099" width="12" style="6" customWidth="1"/>
    <col min="15100" max="15100" width="11.453125" style="6" customWidth="1"/>
    <col min="15101" max="15101" width="11.81640625" style="6" customWidth="1"/>
    <col min="15102" max="15102" width="10.81640625" style="6" customWidth="1"/>
    <col min="15103" max="15103" width="11.81640625" style="6" customWidth="1"/>
    <col min="15104" max="15104" width="11.26953125" style="6" customWidth="1"/>
    <col min="15105" max="15105" width="11.453125" style="6" customWidth="1"/>
    <col min="15106" max="15106" width="12.1796875" style="6" customWidth="1"/>
    <col min="15107" max="15107" width="10.81640625" style="6" bestFit="1" customWidth="1"/>
    <col min="15108" max="15108" width="12.453125" style="6" bestFit="1" customWidth="1"/>
    <col min="15109" max="15110" width="12.453125" style="6" customWidth="1"/>
    <col min="15111" max="15346" width="9.1796875" style="6"/>
    <col min="15347" max="15347" width="11.1796875" style="6" bestFit="1" customWidth="1"/>
    <col min="15348" max="15348" width="14.26953125" style="6" customWidth="1"/>
    <col min="15349" max="15349" width="11.81640625" style="6" customWidth="1"/>
    <col min="15350" max="15350" width="10.1796875" style="6" customWidth="1"/>
    <col min="15351" max="15351" width="19" style="6" customWidth="1"/>
    <col min="15352" max="15352" width="11.81640625" style="6" customWidth="1"/>
    <col min="15353" max="15353" width="13.81640625" style="6" customWidth="1"/>
    <col min="15354" max="15354" width="12.26953125" style="6" customWidth="1"/>
    <col min="15355" max="15355" width="12" style="6" customWidth="1"/>
    <col min="15356" max="15356" width="11.453125" style="6" customWidth="1"/>
    <col min="15357" max="15357" width="11.81640625" style="6" customWidth="1"/>
    <col min="15358" max="15358" width="10.81640625" style="6" customWidth="1"/>
    <col min="15359" max="15359" width="11.81640625" style="6" customWidth="1"/>
    <col min="15360" max="15360" width="11.26953125" style="6" customWidth="1"/>
    <col min="15361" max="15361" width="11.453125" style="6" customWidth="1"/>
    <col min="15362" max="15362" width="12.1796875" style="6" customWidth="1"/>
    <col min="15363" max="15363" width="10.81640625" style="6" bestFit="1" customWidth="1"/>
    <col min="15364" max="15364" width="12.453125" style="6" bestFit="1" customWidth="1"/>
    <col min="15365" max="15366" width="12.453125" style="6" customWidth="1"/>
    <col min="15367" max="15602" width="9.1796875" style="6"/>
    <col min="15603" max="15603" width="11.1796875" style="6" bestFit="1" customWidth="1"/>
    <col min="15604" max="15604" width="14.26953125" style="6" customWidth="1"/>
    <col min="15605" max="15605" width="11.81640625" style="6" customWidth="1"/>
    <col min="15606" max="15606" width="10.1796875" style="6" customWidth="1"/>
    <col min="15607" max="15607" width="19" style="6" customWidth="1"/>
    <col min="15608" max="15608" width="11.81640625" style="6" customWidth="1"/>
    <col min="15609" max="15609" width="13.81640625" style="6" customWidth="1"/>
    <col min="15610" max="15610" width="12.26953125" style="6" customWidth="1"/>
    <col min="15611" max="15611" width="12" style="6" customWidth="1"/>
    <col min="15612" max="15612" width="11.453125" style="6" customWidth="1"/>
    <col min="15613" max="15613" width="11.81640625" style="6" customWidth="1"/>
    <col min="15614" max="15614" width="10.81640625" style="6" customWidth="1"/>
    <col min="15615" max="15615" width="11.81640625" style="6" customWidth="1"/>
    <col min="15616" max="15616" width="11.26953125" style="6" customWidth="1"/>
    <col min="15617" max="15617" width="11.453125" style="6" customWidth="1"/>
    <col min="15618" max="15618" width="12.1796875" style="6" customWidth="1"/>
    <col min="15619" max="15619" width="10.81640625" style="6" bestFit="1" customWidth="1"/>
    <col min="15620" max="15620" width="12.453125" style="6" bestFit="1" customWidth="1"/>
    <col min="15621" max="15622" width="12.453125" style="6" customWidth="1"/>
    <col min="15623" max="15858" width="9.1796875" style="6"/>
    <col min="15859" max="15859" width="11.1796875" style="6" bestFit="1" customWidth="1"/>
    <col min="15860" max="15860" width="14.26953125" style="6" customWidth="1"/>
    <col min="15861" max="15861" width="11.81640625" style="6" customWidth="1"/>
    <col min="15862" max="15862" width="10.1796875" style="6" customWidth="1"/>
    <col min="15863" max="15863" width="19" style="6" customWidth="1"/>
    <col min="15864" max="15864" width="11.81640625" style="6" customWidth="1"/>
    <col min="15865" max="15865" width="13.81640625" style="6" customWidth="1"/>
    <col min="15866" max="15866" width="12.26953125" style="6" customWidth="1"/>
    <col min="15867" max="15867" width="12" style="6" customWidth="1"/>
    <col min="15868" max="15868" width="11.453125" style="6" customWidth="1"/>
    <col min="15869" max="15869" width="11.81640625" style="6" customWidth="1"/>
    <col min="15870" max="15870" width="10.81640625" style="6" customWidth="1"/>
    <col min="15871" max="15871" width="11.81640625" style="6" customWidth="1"/>
    <col min="15872" max="15872" width="11.26953125" style="6" customWidth="1"/>
    <col min="15873" max="15873" width="11.453125" style="6" customWidth="1"/>
    <col min="15874" max="15874" width="12.1796875" style="6" customWidth="1"/>
    <col min="15875" max="15875" width="10.81640625" style="6" bestFit="1" customWidth="1"/>
    <col min="15876" max="15876" width="12.453125" style="6" bestFit="1" customWidth="1"/>
    <col min="15877" max="15878" width="12.453125" style="6" customWidth="1"/>
    <col min="15879" max="16114" width="9.1796875" style="6"/>
    <col min="16115" max="16115" width="11.1796875" style="6" bestFit="1" customWidth="1"/>
    <col min="16116" max="16116" width="14.26953125" style="6" customWidth="1"/>
    <col min="16117" max="16117" width="11.81640625" style="6" customWidth="1"/>
    <col min="16118" max="16118" width="10.1796875" style="6" customWidth="1"/>
    <col min="16119" max="16119" width="19" style="6" customWidth="1"/>
    <col min="16120" max="16120" width="11.81640625" style="6" customWidth="1"/>
    <col min="16121" max="16121" width="13.81640625" style="6" customWidth="1"/>
    <col min="16122" max="16122" width="12.26953125" style="6" customWidth="1"/>
    <col min="16123" max="16123" width="12" style="6" customWidth="1"/>
    <col min="16124" max="16124" width="11.453125" style="6" customWidth="1"/>
    <col min="16125" max="16125" width="11.81640625" style="6" customWidth="1"/>
    <col min="16126" max="16126" width="10.81640625" style="6" customWidth="1"/>
    <col min="16127" max="16127" width="11.81640625" style="6" customWidth="1"/>
    <col min="16128" max="16128" width="11.26953125" style="6" customWidth="1"/>
    <col min="16129" max="16129" width="11.453125" style="6" customWidth="1"/>
    <col min="16130" max="16130" width="12.1796875" style="6" customWidth="1"/>
    <col min="16131" max="16131" width="10.81640625" style="6" bestFit="1" customWidth="1"/>
    <col min="16132" max="16132" width="12.453125" style="6" bestFit="1" customWidth="1"/>
    <col min="16133" max="16134" width="12.453125" style="6" customWidth="1"/>
    <col min="16135" max="16384" width="9.1796875" style="6"/>
  </cols>
  <sheetData>
    <row r="1" spans="1:14" ht="14" x14ac:dyDescent="0.3">
      <c r="A1" s="52" t="s">
        <v>0</v>
      </c>
    </row>
    <row r="2" spans="1:14" ht="14" x14ac:dyDescent="0.3">
      <c r="A2" s="52" t="s">
        <v>1</v>
      </c>
      <c r="E2" s="7"/>
      <c r="F2" s="39"/>
    </row>
    <row r="3" spans="1:14" ht="14" x14ac:dyDescent="0.3">
      <c r="A3" s="52"/>
    </row>
    <row r="4" spans="1:14" ht="13" x14ac:dyDescent="0.3">
      <c r="A4" s="7"/>
    </row>
    <row r="5" spans="1:14" ht="13" x14ac:dyDescent="0.3">
      <c r="A5" s="7"/>
    </row>
    <row r="6" spans="1:14" ht="13" x14ac:dyDescent="0.3">
      <c r="A6" s="51" t="s">
        <v>2</v>
      </c>
      <c r="B6" s="49"/>
      <c r="C6" s="50" t="s">
        <v>39</v>
      </c>
      <c r="D6" s="49"/>
      <c r="E6" s="48"/>
      <c r="F6" s="41">
        <v>2026</v>
      </c>
      <c r="G6" s="41">
        <v>2026</v>
      </c>
      <c r="H6" s="41">
        <v>2026</v>
      </c>
    </row>
    <row r="7" spans="1:14" ht="13" x14ac:dyDescent="0.3">
      <c r="A7" s="47"/>
      <c r="B7" s="42"/>
      <c r="C7" s="46"/>
      <c r="D7" s="45"/>
      <c r="E7" s="44"/>
      <c r="F7" s="43"/>
      <c r="G7" s="43"/>
      <c r="H7" s="43"/>
    </row>
    <row r="8" spans="1:14" ht="13" x14ac:dyDescent="0.3">
      <c r="C8" s="7"/>
      <c r="D8" s="41"/>
    </row>
    <row r="9" spans="1:14" x14ac:dyDescent="0.25">
      <c r="A9" s="6" t="s">
        <v>4</v>
      </c>
    </row>
    <row r="10" spans="1:14" ht="14.5" x14ac:dyDescent="0.35">
      <c r="B10" s="29" t="s">
        <v>8</v>
      </c>
      <c r="F10" s="57">
        <v>13500</v>
      </c>
      <c r="G10" s="57">
        <v>13500</v>
      </c>
      <c r="H10" s="57">
        <v>13500</v>
      </c>
      <c r="I10" s="29" t="s">
        <v>40</v>
      </c>
    </row>
    <row r="11" spans="1:14" ht="14.5" x14ac:dyDescent="0.35">
      <c r="B11" s="29" t="s">
        <v>10</v>
      </c>
      <c r="F11" s="57" t="s">
        <v>6</v>
      </c>
      <c r="G11" s="57">
        <v>13500</v>
      </c>
      <c r="H11" s="57">
        <v>13500</v>
      </c>
    </row>
    <row r="12" spans="1:14" ht="14.5" x14ac:dyDescent="0.35">
      <c r="B12" s="29" t="s">
        <v>12</v>
      </c>
      <c r="F12" s="57">
        <v>10000</v>
      </c>
      <c r="G12" s="57">
        <v>10000</v>
      </c>
      <c r="H12" s="57">
        <v>10000</v>
      </c>
      <c r="L12" s="29" t="s">
        <v>21</v>
      </c>
    </row>
    <row r="13" spans="1:14" ht="14.5" x14ac:dyDescent="0.35">
      <c r="B13" s="29" t="s">
        <v>14</v>
      </c>
      <c r="F13" s="57" t="s">
        <v>6</v>
      </c>
      <c r="G13" s="57">
        <v>9688</v>
      </c>
      <c r="H13" s="57">
        <v>15855</v>
      </c>
      <c r="L13" s="6">
        <v>100</v>
      </c>
      <c r="M13" s="29" t="s">
        <v>11</v>
      </c>
    </row>
    <row r="14" spans="1:14" ht="14.5" x14ac:dyDescent="0.35">
      <c r="L14" s="28">
        <v>300</v>
      </c>
      <c r="M14" s="29" t="s">
        <v>13</v>
      </c>
      <c r="N14" s="29"/>
    </row>
    <row r="15" spans="1:14" ht="14.5" x14ac:dyDescent="0.35">
      <c r="B15" s="6" t="s">
        <v>17</v>
      </c>
      <c r="F15" s="40">
        <f>SUM(F10:F13)</f>
        <v>23500</v>
      </c>
      <c r="G15" s="40">
        <f>SUM(G10:G13)</f>
        <v>46688</v>
      </c>
      <c r="H15" s="40">
        <f>SUM(H10:H13)</f>
        <v>52855</v>
      </c>
      <c r="L15" s="26">
        <f>L13*L14</f>
        <v>30000</v>
      </c>
      <c r="M15" s="6" t="s">
        <v>15</v>
      </c>
    </row>
    <row r="16" spans="1:14" x14ac:dyDescent="0.25">
      <c r="A16" s="6" t="s">
        <v>18</v>
      </c>
      <c r="L16" s="29" t="s">
        <v>16</v>
      </c>
    </row>
    <row r="17" spans="1:14" x14ac:dyDescent="0.25">
      <c r="A17" s="35" t="s">
        <v>19</v>
      </c>
      <c r="L17" s="6">
        <v>100</v>
      </c>
      <c r="M17" s="29" t="s">
        <v>11</v>
      </c>
    </row>
    <row r="18" spans="1:14" ht="14.5" x14ac:dyDescent="0.35">
      <c r="A18" s="35"/>
      <c r="B18" s="31"/>
      <c r="C18" s="31"/>
      <c r="D18" s="38"/>
      <c r="E18" s="31"/>
      <c r="F18" s="33"/>
      <c r="G18" s="33"/>
      <c r="H18" s="33"/>
      <c r="L18" s="28">
        <v>125</v>
      </c>
      <c r="M18" s="29" t="s">
        <v>13</v>
      </c>
      <c r="N18" s="29"/>
    </row>
    <row r="19" spans="1:14" ht="14.5" x14ac:dyDescent="0.35">
      <c r="A19" s="35"/>
      <c r="L19" s="26">
        <f>L17*L18</f>
        <v>12500</v>
      </c>
      <c r="M19" s="6" t="s">
        <v>15</v>
      </c>
    </row>
    <row r="20" spans="1:14" ht="14.5" x14ac:dyDescent="0.35">
      <c r="B20" s="6" t="s">
        <v>20</v>
      </c>
      <c r="F20" s="13">
        <v>1000</v>
      </c>
      <c r="G20" s="13">
        <v>1000</v>
      </c>
      <c r="H20" s="13">
        <v>1000</v>
      </c>
      <c r="L20" s="24"/>
    </row>
    <row r="21" spans="1:14" ht="14.5" x14ac:dyDescent="0.35">
      <c r="B21" s="6" t="s">
        <v>22</v>
      </c>
      <c r="F21" s="13">
        <v>1000</v>
      </c>
      <c r="G21" s="57">
        <f t="shared" ref="G21:H21" si="0">F21*1.05</f>
        <v>1050</v>
      </c>
      <c r="H21" s="57">
        <f t="shared" si="0"/>
        <v>1102.5</v>
      </c>
    </row>
    <row r="22" spans="1:14" x14ac:dyDescent="0.25">
      <c r="B22" s="29" t="s">
        <v>23</v>
      </c>
      <c r="F22" s="29" t="s">
        <v>24</v>
      </c>
      <c r="G22" s="58">
        <v>7750</v>
      </c>
      <c r="H22" s="58">
        <v>12154</v>
      </c>
    </row>
    <row r="23" spans="1:14" x14ac:dyDescent="0.25">
      <c r="B23" s="6" t="s">
        <v>25</v>
      </c>
      <c r="C23" s="25"/>
      <c r="D23" s="25"/>
      <c r="F23" s="37">
        <f>SUM(F20:F22)</f>
        <v>2000</v>
      </c>
      <c r="G23" s="37">
        <f>SUM(G20:G22)</f>
        <v>9800</v>
      </c>
      <c r="H23" s="37">
        <f>SUM(H20:H22)</f>
        <v>14256.5</v>
      </c>
    </row>
    <row r="24" spans="1:14" x14ac:dyDescent="0.25">
      <c r="C24" s="25"/>
      <c r="D24" s="25"/>
      <c r="F24" s="9"/>
      <c r="G24" s="9"/>
      <c r="H24" s="9"/>
    </row>
    <row r="25" spans="1:14" ht="13" x14ac:dyDescent="0.3">
      <c r="B25" s="6" t="s">
        <v>26</v>
      </c>
      <c r="C25" s="25"/>
      <c r="D25" s="25"/>
      <c r="F25" s="9">
        <f>+F15-F23</f>
        <v>21500</v>
      </c>
      <c r="G25" s="9">
        <f>+G15-G23</f>
        <v>36888</v>
      </c>
      <c r="H25" s="9">
        <f>+H15-H23</f>
        <v>38598.5</v>
      </c>
      <c r="L25" s="2"/>
    </row>
    <row r="26" spans="1:14" x14ac:dyDescent="0.25">
      <c r="C26" s="25"/>
      <c r="D26" s="25"/>
      <c r="F26" s="9"/>
      <c r="G26" s="9"/>
      <c r="H26" s="9"/>
      <c r="L26" s="1"/>
    </row>
    <row r="27" spans="1:14" x14ac:dyDescent="0.25">
      <c r="C27" s="25"/>
      <c r="D27" s="25"/>
      <c r="F27" s="9"/>
      <c r="G27" s="9"/>
      <c r="H27" s="9"/>
      <c r="L27" s="1"/>
    </row>
    <row r="28" spans="1:14" ht="14.5" x14ac:dyDescent="0.35">
      <c r="B28" s="7" t="s">
        <v>27</v>
      </c>
      <c r="C28" s="36"/>
      <c r="L28" s="1"/>
    </row>
    <row r="29" spans="1:14" ht="14.5" x14ac:dyDescent="0.35">
      <c r="B29" s="34"/>
      <c r="C29" s="33"/>
      <c r="D29" s="32">
        <f>+E55</f>
        <v>0</v>
      </c>
      <c r="E29" s="31"/>
      <c r="F29" s="30">
        <f t="shared" ref="F29:H33" si="1">+$D29/5</f>
        <v>0</v>
      </c>
      <c r="G29" s="30">
        <f t="shared" si="1"/>
        <v>0</v>
      </c>
      <c r="H29" s="30">
        <f t="shared" si="1"/>
        <v>0</v>
      </c>
      <c r="L29" s="1"/>
    </row>
    <row r="30" spans="1:14" ht="14.5" x14ac:dyDescent="0.35">
      <c r="D30" s="53"/>
      <c r="F30" s="13">
        <f t="shared" si="1"/>
        <v>0</v>
      </c>
      <c r="G30" s="13">
        <f t="shared" si="1"/>
        <v>0</v>
      </c>
      <c r="H30" s="13">
        <f t="shared" si="1"/>
        <v>0</v>
      </c>
      <c r="L30" s="1"/>
    </row>
    <row r="31" spans="1:14" ht="14.5" x14ac:dyDescent="0.35">
      <c r="D31" s="53"/>
      <c r="F31" s="13">
        <f t="shared" si="1"/>
        <v>0</v>
      </c>
      <c r="G31" s="13">
        <f t="shared" si="1"/>
        <v>0</v>
      </c>
      <c r="H31" s="13">
        <f t="shared" si="1"/>
        <v>0</v>
      </c>
      <c r="L31" s="1"/>
    </row>
    <row r="32" spans="1:14" ht="14.5" x14ac:dyDescent="0.35">
      <c r="D32" s="53"/>
      <c r="F32" s="13">
        <f t="shared" si="1"/>
        <v>0</v>
      </c>
      <c r="G32" s="13">
        <f t="shared" si="1"/>
        <v>0</v>
      </c>
      <c r="H32" s="13">
        <f t="shared" si="1"/>
        <v>0</v>
      </c>
    </row>
    <row r="33" spans="1:14" ht="14.5" x14ac:dyDescent="0.35">
      <c r="D33" s="53"/>
      <c r="F33" s="13">
        <f t="shared" si="1"/>
        <v>0</v>
      </c>
      <c r="G33" s="13">
        <f t="shared" si="1"/>
        <v>0</v>
      </c>
      <c r="H33" s="13">
        <f t="shared" si="1"/>
        <v>0</v>
      </c>
    </row>
    <row r="34" spans="1:14" ht="13" x14ac:dyDescent="0.3">
      <c r="A34" s="35"/>
      <c r="B34" s="7" t="s">
        <v>28</v>
      </c>
      <c r="C34" s="25"/>
      <c r="D34" s="27">
        <f>SUM(D29:D33)</f>
        <v>0</v>
      </c>
      <c r="F34" s="10">
        <f>SUM(F29:F33)</f>
        <v>0</v>
      </c>
      <c r="G34" s="10">
        <f t="shared" ref="G34:H34" si="2">SUM(G29:G33)</f>
        <v>0</v>
      </c>
      <c r="H34" s="10">
        <f t="shared" si="2"/>
        <v>0</v>
      </c>
    </row>
    <row r="35" spans="1:14" ht="14.5" x14ac:dyDescent="0.35">
      <c r="A35" s="35"/>
      <c r="B35" s="25"/>
      <c r="C35" s="25"/>
      <c r="D35" s="10"/>
      <c r="F35" s="13"/>
      <c r="G35" s="13"/>
      <c r="H35" s="13"/>
    </row>
    <row r="36" spans="1:14" ht="14.5" x14ac:dyDescent="0.35">
      <c r="B36" s="25" t="s">
        <v>29</v>
      </c>
      <c r="C36" s="25"/>
      <c r="D36" s="10"/>
      <c r="F36" s="13">
        <f>+$D$34/5</f>
        <v>0</v>
      </c>
      <c r="G36" s="13">
        <f t="shared" ref="G36:H36" si="3">+$D$34/5</f>
        <v>0</v>
      </c>
      <c r="H36" s="13">
        <f t="shared" si="3"/>
        <v>0</v>
      </c>
    </row>
    <row r="39" spans="1:14" x14ac:dyDescent="0.25">
      <c r="A39" s="6" t="s">
        <v>30</v>
      </c>
      <c r="F39" s="23">
        <f>F25-F36</f>
        <v>21500</v>
      </c>
      <c r="G39" s="23">
        <f t="shared" ref="G39:H39" si="4">G25-G36</f>
        <v>36888</v>
      </c>
      <c r="H39" s="23">
        <f t="shared" si="4"/>
        <v>38598.5</v>
      </c>
    </row>
    <row r="40" spans="1:14" ht="14.5" x14ac:dyDescent="0.35">
      <c r="A40" s="22" t="s">
        <v>31</v>
      </c>
      <c r="F40" s="21">
        <f>SUM(F39/F15)</f>
        <v>0.91489361702127658</v>
      </c>
      <c r="G40" s="21">
        <f>SUM(G39/G15)</f>
        <v>0.79009595613433858</v>
      </c>
      <c r="H40" s="21">
        <f>SUM(H39/H15)</f>
        <v>0.73027149749314157</v>
      </c>
    </row>
    <row r="41" spans="1:14" ht="14.5" x14ac:dyDescent="0.35">
      <c r="A41" s="6" t="s">
        <v>32</v>
      </c>
      <c r="F41" s="21"/>
      <c r="G41" s="21"/>
      <c r="H41" s="21"/>
    </row>
    <row r="42" spans="1:14" ht="14.5" x14ac:dyDescent="0.35">
      <c r="B42" s="6" t="s">
        <v>33</v>
      </c>
      <c r="E42" s="13"/>
      <c r="F42" s="13">
        <f>$E$42*0.2</f>
        <v>0</v>
      </c>
      <c r="G42" s="13">
        <f t="shared" ref="G42:H42" si="5">$E$42*0.2</f>
        <v>0</v>
      </c>
      <c r="H42" s="13">
        <f t="shared" si="5"/>
        <v>0</v>
      </c>
    </row>
    <row r="43" spans="1:14" ht="14.5" x14ac:dyDescent="0.35">
      <c r="A43" s="6" t="s">
        <v>34</v>
      </c>
      <c r="E43" s="13"/>
      <c r="F43" s="13">
        <f>F42+F39</f>
        <v>21500</v>
      </c>
      <c r="G43" s="13">
        <f t="shared" ref="G43:H43" si="6">G42+G39</f>
        <v>36888</v>
      </c>
      <c r="H43" s="13">
        <f t="shared" si="6"/>
        <v>38598.5</v>
      </c>
    </row>
    <row r="44" spans="1:14" ht="15" thickBot="1" x14ac:dyDescent="0.4">
      <c r="E44" s="13"/>
      <c r="F44" s="13"/>
      <c r="G44" s="13"/>
      <c r="H44" s="13"/>
    </row>
    <row r="45" spans="1:14" x14ac:dyDescent="0.25">
      <c r="A45" s="20" t="s">
        <v>35</v>
      </c>
      <c r="B45" s="19" t="s">
        <v>36</v>
      </c>
      <c r="C45" s="19"/>
      <c r="D45" s="19"/>
      <c r="E45" s="54"/>
      <c r="F45" s="54">
        <f>D34+F23</f>
        <v>2000</v>
      </c>
      <c r="G45" s="54">
        <f t="shared" ref="G45:H45" si="7">E34+G23</f>
        <v>9800</v>
      </c>
      <c r="H45" s="54">
        <f t="shared" si="7"/>
        <v>14256.5</v>
      </c>
      <c r="M45" s="1"/>
      <c r="N45" s="1"/>
    </row>
    <row r="46" spans="1:14" x14ac:dyDescent="0.25">
      <c r="A46" s="18"/>
      <c r="B46" s="17" t="s">
        <v>37</v>
      </c>
      <c r="C46" s="17"/>
      <c r="D46" s="17"/>
      <c r="E46" s="55"/>
      <c r="F46" s="55">
        <f>F15</f>
        <v>23500</v>
      </c>
      <c r="G46" s="55">
        <f>G15</f>
        <v>46688</v>
      </c>
      <c r="H46" s="55">
        <f>H15</f>
        <v>52855</v>
      </c>
      <c r="M46" s="3"/>
      <c r="N46" s="4"/>
    </row>
    <row r="47" spans="1:14" ht="13" thickBot="1" x14ac:dyDescent="0.3">
      <c r="A47" s="16"/>
      <c r="B47" s="15" t="s">
        <v>38</v>
      </c>
      <c r="C47" s="15"/>
      <c r="D47" s="15"/>
      <c r="E47" s="14"/>
      <c r="F47" s="14">
        <f>F46-F45</f>
        <v>21500</v>
      </c>
      <c r="G47" s="14">
        <f t="shared" ref="G47:H47" si="8">G46-G45</f>
        <v>36888</v>
      </c>
      <c r="H47" s="14">
        <f t="shared" si="8"/>
        <v>38598.5</v>
      </c>
      <c r="M47" s="3"/>
      <c r="N47" s="4"/>
    </row>
    <row r="48" spans="1:14" ht="14.5" x14ac:dyDescent="0.35">
      <c r="E48" s="13"/>
      <c r="F48" s="13"/>
      <c r="M48" s="3"/>
      <c r="N48" s="4"/>
    </row>
    <row r="49" spans="2:14" x14ac:dyDescent="0.25">
      <c r="M49" s="3"/>
      <c r="N49" s="4"/>
    </row>
    <row r="50" spans="2:14" ht="14.5" x14ac:dyDescent="0.35">
      <c r="E50" s="12"/>
      <c r="F50" s="11"/>
      <c r="M50" s="3"/>
      <c r="N50" s="4"/>
    </row>
    <row r="51" spans="2:14" x14ac:dyDescent="0.25">
      <c r="M51" s="5"/>
      <c r="N51" s="4"/>
    </row>
    <row r="52" spans="2:14" ht="14.5" x14ac:dyDescent="0.35">
      <c r="D52" s="11"/>
      <c r="E52" s="11"/>
    </row>
    <row r="55" spans="2:14" x14ac:dyDescent="0.25">
      <c r="E55" s="10"/>
      <c r="F55" s="9"/>
    </row>
    <row r="56" spans="2:14" x14ac:dyDescent="0.25">
      <c r="F56" s="9"/>
    </row>
    <row r="57" spans="2:14" x14ac:dyDescent="0.25">
      <c r="F57" s="9"/>
    </row>
    <row r="60" spans="2:14" ht="13" x14ac:dyDescent="0.3">
      <c r="B60" s="8"/>
    </row>
    <row r="71" spans="4:4" ht="13" x14ac:dyDescent="0.3">
      <c r="D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CD22-00E2-479B-A811-1CA93C862AA0}">
  <dimension ref="A1:H10"/>
  <sheetViews>
    <sheetView workbookViewId="0">
      <selection activeCell="E19" sqref="E19"/>
    </sheetView>
  </sheetViews>
  <sheetFormatPr defaultRowHeight="14.5" x14ac:dyDescent="0.35"/>
  <cols>
    <col min="2" max="2" width="9.81640625" bestFit="1" customWidth="1"/>
    <col min="3" max="3" width="11.81640625" bestFit="1" customWidth="1"/>
    <col min="4" max="4" width="21.453125" bestFit="1" customWidth="1"/>
    <col min="5" max="5" width="22.54296875" bestFit="1" customWidth="1"/>
    <col min="6" max="6" width="14" bestFit="1" customWidth="1"/>
    <col min="7" max="7" width="27" bestFit="1" customWidth="1"/>
    <col min="8" max="8" width="30.54296875" bestFit="1" customWidth="1"/>
  </cols>
  <sheetData>
    <row r="1" spans="1:8" ht="15.5" x14ac:dyDescent="0.35">
      <c r="A1" s="60"/>
      <c r="B1" s="61" t="s">
        <v>41</v>
      </c>
      <c r="C1" s="61" t="s">
        <v>42</v>
      </c>
      <c r="D1" s="61" t="s">
        <v>43</v>
      </c>
      <c r="E1" s="62" t="s">
        <v>44</v>
      </c>
      <c r="F1" s="61" t="s">
        <v>45</v>
      </c>
      <c r="G1" s="61" t="s">
        <v>46</v>
      </c>
      <c r="H1" s="63" t="s">
        <v>47</v>
      </c>
    </row>
    <row r="2" spans="1:8" ht="15.5" x14ac:dyDescent="0.35">
      <c r="A2" s="64" t="s">
        <v>48</v>
      </c>
      <c r="B2" s="65" t="s">
        <v>49</v>
      </c>
      <c r="C2" s="66">
        <v>1750</v>
      </c>
      <c r="D2" s="66">
        <v>1750</v>
      </c>
      <c r="E2" s="66">
        <v>2188</v>
      </c>
      <c r="F2" s="66">
        <v>6000</v>
      </c>
      <c r="G2" s="66">
        <v>7750</v>
      </c>
      <c r="H2" s="67">
        <v>9688</v>
      </c>
    </row>
    <row r="3" spans="1:8" ht="15.5" x14ac:dyDescent="0.35">
      <c r="A3" s="64" t="s">
        <v>50</v>
      </c>
      <c r="B3" s="66">
        <v>4936</v>
      </c>
      <c r="C3" s="66">
        <v>1750</v>
      </c>
      <c r="D3" s="66">
        <v>6686</v>
      </c>
      <c r="E3" s="66">
        <v>8358</v>
      </c>
      <c r="F3" s="66">
        <v>6000</v>
      </c>
      <c r="G3" s="66">
        <v>12686</v>
      </c>
      <c r="H3" s="67">
        <v>15858</v>
      </c>
    </row>
    <row r="4" spans="1:8" ht="15.5" x14ac:dyDescent="0.35">
      <c r="A4" s="64" t="s">
        <v>51</v>
      </c>
      <c r="B4" s="66">
        <v>4936</v>
      </c>
      <c r="C4" s="66">
        <v>1750</v>
      </c>
      <c r="D4" s="66">
        <v>6686</v>
      </c>
      <c r="E4" s="66">
        <v>8358</v>
      </c>
      <c r="F4" s="66">
        <v>6000</v>
      </c>
      <c r="G4" s="66">
        <v>12686</v>
      </c>
      <c r="H4" s="67">
        <v>15858</v>
      </c>
    </row>
    <row r="5" spans="1:8" ht="15.5" x14ac:dyDescent="0.35">
      <c r="A5" s="64" t="s">
        <v>52</v>
      </c>
      <c r="B5" s="66">
        <v>9869</v>
      </c>
      <c r="C5" s="66">
        <v>1750</v>
      </c>
      <c r="D5" s="66">
        <v>11619</v>
      </c>
      <c r="E5" s="66">
        <v>14524</v>
      </c>
      <c r="F5" s="66">
        <v>9000</v>
      </c>
      <c r="G5" s="66">
        <v>20619</v>
      </c>
      <c r="H5" s="67">
        <v>25774</v>
      </c>
    </row>
    <row r="6" spans="1:8" ht="15.5" x14ac:dyDescent="0.35">
      <c r="A6" s="64" t="s">
        <v>53</v>
      </c>
      <c r="B6" s="66">
        <v>9869</v>
      </c>
      <c r="C6" s="66">
        <v>1750</v>
      </c>
      <c r="D6" s="66">
        <v>11619</v>
      </c>
      <c r="E6" s="66">
        <v>14524</v>
      </c>
      <c r="F6" s="66">
        <v>9000</v>
      </c>
      <c r="G6" s="66">
        <v>20619</v>
      </c>
      <c r="H6" s="67">
        <v>25774</v>
      </c>
    </row>
    <row r="7" spans="1:8" ht="15.5" x14ac:dyDescent="0.35">
      <c r="A7" s="64" t="s">
        <v>54</v>
      </c>
      <c r="B7" s="66">
        <v>9869</v>
      </c>
      <c r="C7" s="66">
        <v>1750</v>
      </c>
      <c r="D7" s="66">
        <v>11619</v>
      </c>
      <c r="E7" s="66">
        <v>14524</v>
      </c>
      <c r="F7" s="66">
        <v>9000</v>
      </c>
      <c r="G7" s="66">
        <v>20619</v>
      </c>
      <c r="H7" s="67">
        <v>25774</v>
      </c>
    </row>
    <row r="8" spans="1:8" ht="15.5" x14ac:dyDescent="0.35">
      <c r="A8" s="64" t="s">
        <v>55</v>
      </c>
      <c r="B8" s="66">
        <v>9869</v>
      </c>
      <c r="C8" s="66">
        <v>1750</v>
      </c>
      <c r="D8" s="66">
        <v>11619</v>
      </c>
      <c r="E8" s="66">
        <v>14524</v>
      </c>
      <c r="F8" s="66">
        <v>9000</v>
      </c>
      <c r="G8" s="66">
        <v>20619</v>
      </c>
      <c r="H8" s="67">
        <v>25774</v>
      </c>
    </row>
    <row r="9" spans="1:8" ht="16" thickBot="1" x14ac:dyDescent="0.4">
      <c r="A9" s="68" t="s">
        <v>56</v>
      </c>
      <c r="B9" s="66">
        <v>24668</v>
      </c>
      <c r="C9" s="66">
        <v>1750</v>
      </c>
      <c r="D9" s="69">
        <v>26418</v>
      </c>
      <c r="E9" s="69">
        <v>33023</v>
      </c>
      <c r="F9" s="66">
        <v>9000</v>
      </c>
      <c r="G9" s="69">
        <v>35418</v>
      </c>
      <c r="H9" s="70">
        <v>44273</v>
      </c>
    </row>
    <row r="10" spans="1:8" ht="16" thickBot="1" x14ac:dyDescent="0.4">
      <c r="A10" s="59"/>
      <c r="B10" s="59"/>
      <c r="C10" s="59"/>
      <c r="D10" s="71">
        <v>88016</v>
      </c>
      <c r="E10" s="72">
        <v>110020</v>
      </c>
      <c r="F10" s="59"/>
      <c r="G10" s="71">
        <v>151016</v>
      </c>
      <c r="H10" s="72">
        <v>188770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BB0804A3A9D4D91D5569A7D5A1F39" ma:contentTypeVersion="10" ma:contentTypeDescription="Create a new document." ma:contentTypeScope="" ma:versionID="f91f19ab8e6180d168d8cd924006b8fe">
  <xsd:schema xmlns:xsd="http://www.w3.org/2001/XMLSchema" xmlns:xs="http://www.w3.org/2001/XMLSchema" xmlns:p="http://schemas.microsoft.com/office/2006/metadata/properties" xmlns:ns1="http://schemas.microsoft.com/sharepoint/v3" xmlns:ns2="e4701e84-4feb-43f3-8ea3-9fc36ceef80d" xmlns:ns3="17c5d3e2-e31c-4977-a240-0d78704119b0" targetNamespace="http://schemas.microsoft.com/office/2006/metadata/properties" ma:root="true" ma:fieldsID="baebd886836b708e4e6bab19c5eb580d" ns1:_="" ns2:_="" ns3:_="">
    <xsd:import namespace="http://schemas.microsoft.com/sharepoint/v3"/>
    <xsd:import namespace="e4701e84-4feb-43f3-8ea3-9fc36ceef80d"/>
    <xsd:import namespace="17c5d3e2-e31c-4977-a240-0d78704119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01e84-4feb-43f3-8ea3-9fc36ceef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5d3e2-e31c-4977-a240-0d7870411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6993F-CF2D-4AEE-882D-02331FF692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0BD71-B05E-4422-B62E-D7A11701A4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465D002-48B2-4667-AE48-2556EF3C4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4701e84-4feb-43f3-8ea3-9fc36ceef80d"/>
    <ds:schemaRef ds:uri="17c5d3e2-e31c-4977-a240-0d7870411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 1</vt:lpstr>
      <vt:lpstr>Option 2</vt:lpstr>
      <vt:lpstr>Parts Warranty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 Brace</dc:creator>
  <cp:keywords/>
  <dc:description/>
  <cp:lastModifiedBy>Alexis Ventarola</cp:lastModifiedBy>
  <cp:revision/>
  <dcterms:created xsi:type="dcterms:W3CDTF">2017-11-30T19:58:41Z</dcterms:created>
  <dcterms:modified xsi:type="dcterms:W3CDTF">2026-01-13T20:38:09Z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0x010100761BB0804A3A9D4D91D5569A7D5A1F39</vt:lpwstr>
  </property>
</Properties>
</file>