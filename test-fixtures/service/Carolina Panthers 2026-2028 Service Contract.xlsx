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cny-my.sharepoint.com/personal/alexis_ventarola_anc_com/Documents/Services/Enterprise Solutions/Sales/Cost Sheets/"/>
    </mc:Choice>
  </mc:AlternateContent>
  <xr:revisionPtr revIDLastSave="0" documentId="8_{71656CA3-664C-45FA-989A-598F97DCE665}" xr6:coauthVersionLast="47" xr6:coauthVersionMax="47" xr10:uidLastSave="{00000000-0000-0000-0000-000000000000}"/>
  <bookViews>
    <workbookView xWindow="810" yWindow="2715" windowWidth="21600" windowHeight="11235" xr2:uid="{4A3ECB9E-EA69-4094-ABFE-CCF836912094}"/>
  </bookViews>
  <sheets>
    <sheet name="26-28 w Break fix" sheetId="12" r:id="rId1"/>
    <sheet name="old" sheetId="1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jack">'[1]LH Pricing'!$Z$26:$AA$28</definedName>
    <definedName name="_Order1" hidden="1">255</definedName>
    <definedName name="ANC">OFFSET([2]!ProductNameList,0,0,COUNTA([2]!ProductNameList),1)</definedName>
    <definedName name="CABINET_MODIFIERS">'[3]Data Lists'!$B$19:$B$20</definedName>
    <definedName name="CashOut_Timing_by_ProjectType">'[3]Project Cash Out Table'!$A$4:$O$161</definedName>
    <definedName name="CashOut_Values">'[3]Project Cash Out Table'!$A$4:$A$161</definedName>
    <definedName name="CONTROLLER_MODIFIERS">'[3]Data Lists'!$B$25:$B$27</definedName>
    <definedName name="CONTROLLER_PRICE_MODEL_MASTER">'[3]Price List'!$I$24:$I$31</definedName>
    <definedName name="CONTROLLER_PRICING">'[3]Price List'!$I$24:$K$31</definedName>
    <definedName name="ControlRoom">[4]OES1!$A$1:$J$80</definedName>
    <definedName name="_xlnm.Criteria">#REF!</definedName>
    <definedName name="_xlnm.Database">#REF!</definedName>
    <definedName name="DEFAULT_LEDBOM_GP">'[3]LED BOM'!$K$3</definedName>
    <definedName name="_xlnm.Extract">#REF!</definedName>
    <definedName name="hjhs">[5]OES1!$A$1:$J$80</definedName>
    <definedName name="indoor_models">#REF!</definedName>
    <definedName name="indoor_spec">[6]Indoor!$B$4:$L$49</definedName>
    <definedName name="indoor_specs">'[7]LH Indoor'!$B$4:$O$49</definedName>
    <definedName name="IndoorOutdoor">[7]!Table2[#Headers]</definedName>
    <definedName name="jn">'[1]LH Outdoor'!$B$4:$Q$49</definedName>
    <definedName name="MANUFACTURER">'[3]Data Lists'!$B$3:$B$5</definedName>
    <definedName name="MASTER_MODEL_LIST">'[3]Data Lists'!$F$20:$F$180</definedName>
    <definedName name="METHOD">'[3]Data Lists'!$C$3:$C$4</definedName>
    <definedName name="MODEL_LOOKUP_REF_TABLE">'[3]Data Lists'!$F$20:$K$180</definedName>
    <definedName name="MODEL_XREF_INDEX" comment="Index (Manu Model) for MODEL_XREF_TABLE">'[3]Model Cross Reference'!$D$4:$D$127</definedName>
    <definedName name="MODEL_XREF_TABLE" comment="Model cross reference from manufacture model name to PESNA model number">'[3]Model Cross Reference'!$D$4:$E$127</definedName>
    <definedName name="MSG">#REF!</definedName>
    <definedName name="newproductname">OFFSET(ProductNameList,0,0,COUNTA(ProductNameList),1)</definedName>
    <definedName name="OSC">[8]OES1!$A$1:$J$80</definedName>
    <definedName name="outdoor_models">#REF!</definedName>
    <definedName name="outdoor_specs">'[7]LH Outdoor'!$B$4:$Q$49</definedName>
    <definedName name="outdoor_specs2">[9]Outdoor!$B$4:$I$48</definedName>
    <definedName name="Pn4B_FA">#REF!</definedName>
    <definedName name="PRICE_MASTER_MODEL_LIST" comment="Price column index into PRICE_LIST">'[3]Price List'!$C$3:$C$161</definedName>
    <definedName name="PRICE_MASTER_TABLE">'[3]Price List'!$C$3:$G$161</definedName>
    <definedName name="pricing_indoor">#REF!</definedName>
    <definedName name="pricing_outdoor">#REF!</definedName>
    <definedName name="_xlnm.Print_Area">#REF!</definedName>
    <definedName name="PRINT_AREA_MI">#REF!</definedName>
    <definedName name="PRINT_AREA_MI2">[4]OES1!$A$1:$J$80</definedName>
    <definedName name="Print_Area2">[4]OES1!$A$1:$J$80</definedName>
    <definedName name="processors">'[7]LH Pricing'!$K$26:$L$28</definedName>
    <definedName name="product_name_outdoor">#REF!</definedName>
    <definedName name="ProductName">OFFSET(ProductNameList,0,0,COUNTA(ProductNameList),1)</definedName>
    <definedName name="ProductNameList">INDEX([7]!Table2[#Data],0,MATCH('[7]LH Sizing'!A1048574,[7]!Table2[#Headers],0))</definedName>
    <definedName name="Project_Types">'[3]Schedule of Values Lookups'!$E$4:$E$15</definedName>
    <definedName name="RFP">[8]OES1!$A$1:$J$80</definedName>
    <definedName name="Sales_Reps">'[3]Schedule of Values Lookups'!$E$18:$E$23</definedName>
    <definedName name="SDmargin" hidden="1">{#N/A,#N/A,FALSE,"Screening";#N/A,#N/A,FALSE,"Multi-Purpose";#N/A,#N/A,FALSE,"Summary"}</definedName>
    <definedName name="SIZING_METHOD">'[3]Data Lists'!$B$10:$B$12</definedName>
    <definedName name="somerthimgh">#REF!</definedName>
    <definedName name="SPEC_PARAMETER_INDEX" comment="Index on PARAMETER field in SPEC_PARAMETER_TABLE">'[3]Data Lists'!$M$20:$M$66</definedName>
    <definedName name="SPEC_PARAMETER_TABLE" comment="Table that contains the specification paramters (fields from SPEC_TABLE) and the row number in SPEC_TABLE for that parameter.">'[3]Data Lists'!$M$20:$N$66</definedName>
    <definedName name="SPEC_TABLE" comment="Table that holds the specifications for all models">[3]Specifications!$D$6:$FE$52</definedName>
    <definedName name="SPEC_TABLE_MODEL_ROW" comment="Row in SPEC_TABLE that contains the models">[3]Specifications!$D$1:$FE$1</definedName>
    <definedName name="SPEC_TABLE_PARAMETER_NAME_LIST">[3]Specifications!$B$6:$B$52</definedName>
    <definedName name="spyder">'[7]LH Pricing'!$K$32:$L$33</definedName>
    <definedName name="Start_Month">'[3]Schedule of Values Lookups'!$B$4:$B$75</definedName>
    <definedName name="TYPE">'[3]Data Lists'!$D$3:$D$4</definedName>
    <definedName name="VR">[4]OES1!$A$1:$J$80</definedName>
    <definedName name="wrn.DWA._.Budget." hidden="1">{#N/A,#N/A,FALSE,"Screening";#N/A,#N/A,FALSE,"Multi-Purpose";#N/A,#N/A,FALSE,"Summary"}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2" l="1"/>
  <c r="G13" i="12"/>
  <c r="G45" i="12"/>
  <c r="F45" i="12"/>
  <c r="G36" i="12"/>
  <c r="F36" i="12"/>
  <c r="G35" i="12"/>
  <c r="F35" i="12"/>
  <c r="G34" i="12"/>
  <c r="F34" i="12"/>
  <c r="G33" i="12"/>
  <c r="F33" i="12"/>
  <c r="D32" i="12"/>
  <c r="L30" i="12"/>
  <c r="L26" i="12"/>
  <c r="R25" i="12"/>
  <c r="G23" i="12"/>
  <c r="F23" i="12"/>
  <c r="Q22" i="12"/>
  <c r="R22" i="12" s="1"/>
  <c r="L22" i="12"/>
  <c r="G22" i="12"/>
  <c r="F22" i="12"/>
  <c r="G21" i="12"/>
  <c r="F21" i="12"/>
  <c r="L17" i="12"/>
  <c r="L13" i="12"/>
  <c r="G11" i="12" s="1"/>
  <c r="G12" i="12"/>
  <c r="F12" i="12"/>
  <c r="F11" i="12"/>
  <c r="L9" i="12"/>
  <c r="G32" i="11"/>
  <c r="G33" i="11"/>
  <c r="G34" i="11"/>
  <c r="G35" i="11"/>
  <c r="G44" i="11"/>
  <c r="L29" i="11"/>
  <c r="L25" i="11"/>
  <c r="L21" i="11"/>
  <c r="L17" i="11"/>
  <c r="G12" i="11" s="1"/>
  <c r="L13" i="11"/>
  <c r="L9" i="11"/>
  <c r="F44" i="11"/>
  <c r="F35" i="11"/>
  <c r="F34" i="11"/>
  <c r="F33" i="11"/>
  <c r="F32" i="11"/>
  <c r="D31" i="11"/>
  <c r="D36" i="11" s="1"/>
  <c r="D37" i="12" l="1"/>
  <c r="G32" i="12"/>
  <c r="G37" i="12" s="1"/>
  <c r="F32" i="12"/>
  <c r="F37" i="12" s="1"/>
  <c r="G24" i="12"/>
  <c r="F24" i="12"/>
  <c r="F10" i="12"/>
  <c r="G10" i="12"/>
  <c r="G22" i="11"/>
  <c r="F22" i="11"/>
  <c r="G20" i="11"/>
  <c r="F20" i="11"/>
  <c r="G21" i="11"/>
  <c r="G11" i="11"/>
  <c r="G10" i="11"/>
  <c r="G13" i="11" s="1"/>
  <c r="G31" i="11"/>
  <c r="G36" i="11" s="1"/>
  <c r="G38" i="11"/>
  <c r="F21" i="11"/>
  <c r="F10" i="11"/>
  <c r="F12" i="11"/>
  <c r="F11" i="11"/>
  <c r="F38" i="11"/>
  <c r="F31" i="11"/>
  <c r="F36" i="11" s="1"/>
  <c r="G25" i="12" l="1"/>
  <c r="G48" i="12" s="1"/>
  <c r="F25" i="12"/>
  <c r="F48" i="12" s="1"/>
  <c r="F39" i="12"/>
  <c r="G39" i="12"/>
  <c r="F13" i="11"/>
  <c r="F24" i="11"/>
  <c r="G24" i="11"/>
  <c r="G15" i="12" l="1"/>
  <c r="F15" i="12"/>
  <c r="G27" i="12" l="1"/>
  <c r="G42" i="12" s="1"/>
  <c r="G49" i="12"/>
  <c r="G50" i="12" s="1"/>
  <c r="F27" i="12"/>
  <c r="F42" i="12" s="1"/>
  <c r="F49" i="12"/>
  <c r="F50" i="12" s="1"/>
  <c r="G43" i="12" l="1"/>
  <c r="G46" i="12"/>
  <c r="F43" i="12"/>
  <c r="F46" i="12"/>
  <c r="F48" i="11" l="1"/>
  <c r="G48" i="11"/>
  <c r="F47" i="11" l="1"/>
  <c r="F49" i="11"/>
  <c r="F26" i="11"/>
  <c r="F41" i="11" s="1"/>
  <c r="G47" i="11"/>
  <c r="G49" i="11" s="1"/>
  <c r="G26" i="11"/>
  <c r="G41" i="11" s="1"/>
  <c r="F45" i="11" l="1"/>
  <c r="F42" i="11"/>
  <c r="G42" i="11"/>
  <c r="G45" i="11"/>
</calcChain>
</file>

<file path=xl/sharedStrings.xml><?xml version="1.0" encoding="utf-8"?>
<sst xmlns="http://schemas.openxmlformats.org/spreadsheetml/2006/main" count="130" uniqueCount="40">
  <si>
    <t>ANC Sports Enterprises, LLC</t>
  </si>
  <si>
    <t xml:space="preserve">Property/Event Budget Overview </t>
  </si>
  <si>
    <t>Team:</t>
  </si>
  <si>
    <t>26/27</t>
  </si>
  <si>
    <t>27/28</t>
  </si>
  <si>
    <t>Pre Event Support</t>
  </si>
  <si>
    <t>Days</t>
  </si>
  <si>
    <t>Techs</t>
  </si>
  <si>
    <t>Day Rate</t>
  </si>
  <si>
    <t>Total</t>
  </si>
  <si>
    <t>Income:</t>
  </si>
  <si>
    <t>Pre Event Hardware Support</t>
  </si>
  <si>
    <t>MLS Event Hardware Support</t>
  </si>
  <si>
    <t>MLS Event Support</t>
  </si>
  <si>
    <t>Panthers Event Hardware Support</t>
  </si>
  <si>
    <t>Break/Fix Hardware Maintenance</t>
  </si>
  <si>
    <t>TOTAL INCOME</t>
  </si>
  <si>
    <t>Panthers Event Support</t>
  </si>
  <si>
    <t>*20% Bundle Discount Added</t>
  </si>
  <si>
    <t>Expenses:</t>
  </si>
  <si>
    <t>Cash Expense:</t>
  </si>
  <si>
    <t>Maintenace</t>
  </si>
  <si>
    <t>Break fix Labor</t>
  </si>
  <si>
    <t>Hour Rate</t>
  </si>
  <si>
    <t>Hours</t>
  </si>
  <si>
    <t>OPERATING EXPENSES</t>
  </si>
  <si>
    <t>EBITDA</t>
  </si>
  <si>
    <t>Add on:</t>
  </si>
  <si>
    <t>CAPITAL EXPENDITURES</t>
  </si>
  <si>
    <t>TOTAL CAPEX</t>
  </si>
  <si>
    <t>ANNUAL DEPRECIATION</t>
  </si>
  <si>
    <t>Net Profit/Loss</t>
  </si>
  <si>
    <t>% return</t>
  </si>
  <si>
    <t>Add Marketing:</t>
  </si>
  <si>
    <t>Additional Marketing Revenue Opport.</t>
  </si>
  <si>
    <t>Total Profit</t>
  </si>
  <si>
    <t>Cash</t>
  </si>
  <si>
    <t>Expense</t>
  </si>
  <si>
    <t>Revenue</t>
  </si>
  <si>
    <t xml:space="preserve">Cume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</si>
</sst>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_(* #,##0_);_(* \(#,##0\);_(* &quot;-&quot;?_);_(@_)"/>
    <numFmt numFmtId="168" formatCode="_(&quot;$&quot;* #,##0.0_);_(&quot;$&quot;* \(#,##0.0\);_(&quot;$&quot;* &quot;-&quot;?_);_(@_)"/>
    <numFmt numFmtId="169" formatCode="_(&quot;$&quot;* #,##0_);_(&quot;$&quot;* \(#,##0\);_(&quot;$&quot;* &quot;-&quot;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2"/>
      <color theme="1"/>
      <name val="Calibri"/>
      <family val="2"/>
      <scheme val="minor"/>
    </font>
    <font>
      <u/>
      <sz val="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44" fontId="6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9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2"/>
    <xf numFmtId="44" fontId="1" fillId="0" borderId="0" xfId="1" applyFont="1" applyBorder="1"/>
    <xf numFmtId="1" fontId="1" fillId="0" borderId="0" xfId="1" applyNumberFormat="1" applyFont="1" applyBorder="1"/>
    <xf numFmtId="0" fontId="10" fillId="0" borderId="0" xfId="14"/>
    <xf numFmtId="0" fontId="3" fillId="0" borderId="0" xfId="14" applyFont="1"/>
    <xf numFmtId="0" fontId="5" fillId="0" borderId="0" xfId="14" applyFont="1"/>
    <xf numFmtId="164" fontId="10" fillId="0" borderId="0" xfId="14" applyNumberFormat="1"/>
    <xf numFmtId="166" fontId="10" fillId="0" borderId="0" xfId="14" applyNumberFormat="1"/>
    <xf numFmtId="164" fontId="0" fillId="0" borderId="0" xfId="15" applyNumberFormat="1" applyFont="1" applyFill="1" applyBorder="1"/>
    <xf numFmtId="166" fontId="0" fillId="0" borderId="0" xfId="16" applyNumberFormat="1" applyFont="1" applyFill="1" applyBorder="1"/>
    <xf numFmtId="164" fontId="0" fillId="0" borderId="0" xfId="15" applyNumberFormat="1" applyFont="1"/>
    <xf numFmtId="164" fontId="1" fillId="3" borderId="6" xfId="15" applyNumberFormat="1" applyFont="1" applyFill="1" applyBorder="1"/>
    <xf numFmtId="0" fontId="10" fillId="3" borderId="6" xfId="14" applyFill="1" applyBorder="1"/>
    <xf numFmtId="0" fontId="10" fillId="3" borderId="5" xfId="14" applyFill="1" applyBorder="1"/>
    <xf numFmtId="0" fontId="10" fillId="3" borderId="7" xfId="14" applyFill="1" applyBorder="1"/>
    <xf numFmtId="0" fontId="10" fillId="3" borderId="4" xfId="14" applyFill="1" applyBorder="1"/>
    <xf numFmtId="0" fontId="10" fillId="3" borderId="2" xfId="14" applyFill="1" applyBorder="1"/>
    <xf numFmtId="0" fontId="10" fillId="3" borderId="3" xfId="14" applyFill="1" applyBorder="1"/>
    <xf numFmtId="9" fontId="0" fillId="0" borderId="0" xfId="17" applyFont="1"/>
    <xf numFmtId="0" fontId="10" fillId="0" borderId="0" xfId="14" quotePrefix="1"/>
    <xf numFmtId="167" fontId="10" fillId="0" borderId="0" xfId="14" applyNumberFormat="1"/>
    <xf numFmtId="0" fontId="8" fillId="0" borderId="0" xfId="14" applyFont="1"/>
    <xf numFmtId="166" fontId="3" fillId="0" borderId="0" xfId="14" applyNumberFormat="1" applyFont="1"/>
    <xf numFmtId="0" fontId="1" fillId="0" borderId="0" xfId="14" applyFont="1"/>
    <xf numFmtId="164" fontId="0" fillId="2" borderId="0" xfId="15" applyNumberFormat="1" applyFont="1" applyFill="1"/>
    <xf numFmtId="0" fontId="10" fillId="2" borderId="0" xfId="14" applyFill="1"/>
    <xf numFmtId="166" fontId="10" fillId="2" borderId="0" xfId="14" applyNumberFormat="1" applyFill="1"/>
    <xf numFmtId="166" fontId="0" fillId="2" borderId="0" xfId="16" applyNumberFormat="1" applyFont="1" applyFill="1"/>
    <xf numFmtId="0" fontId="3" fillId="2" borderId="0" xfId="14" applyFont="1" applyFill="1"/>
    <xf numFmtId="0" fontId="7" fillId="0" borderId="0" xfId="14" applyFont="1"/>
    <xf numFmtId="166" fontId="0" fillId="0" borderId="0" xfId="16" applyNumberFormat="1" applyFont="1"/>
    <xf numFmtId="164" fontId="10" fillId="0" borderId="1" xfId="14" applyNumberFormat="1" applyBorder="1"/>
    <xf numFmtId="165" fontId="0" fillId="2" borderId="0" xfId="17" applyNumberFormat="1" applyFont="1" applyFill="1" applyAlignment="1">
      <alignment horizontal="center"/>
    </xf>
    <xf numFmtId="164" fontId="3" fillId="0" borderId="0" xfId="14" applyNumberFormat="1" applyFont="1"/>
    <xf numFmtId="164" fontId="3" fillId="0" borderId="0" xfId="15" applyNumberFormat="1" applyFont="1"/>
    <xf numFmtId="0" fontId="3" fillId="0" borderId="0" xfId="14" applyFont="1" applyAlignment="1">
      <alignment horizontal="center"/>
    </xf>
    <xf numFmtId="0" fontId="10" fillId="0" borderId="7" xfId="14" applyBorder="1"/>
    <xf numFmtId="0" fontId="1" fillId="0" borderId="7" xfId="14" applyFont="1" applyBorder="1" applyAlignment="1">
      <alignment horizontal="center"/>
    </xf>
    <xf numFmtId="0" fontId="10" fillId="0" borderId="7" xfId="14" applyBorder="1" applyAlignment="1">
      <alignment horizontal="center"/>
    </xf>
    <xf numFmtId="0" fontId="3" fillId="0" borderId="7" xfId="14" applyFont="1" applyBorder="1" applyAlignment="1">
      <alignment horizontal="center"/>
    </xf>
    <xf numFmtId="0" fontId="3" fillId="0" borderId="7" xfId="14" applyFont="1" applyBorder="1"/>
    <xf numFmtId="0" fontId="4" fillId="0" borderId="7" xfId="14" applyFont="1" applyBorder="1"/>
    <xf numFmtId="0" fontId="10" fillId="3" borderId="0" xfId="14" applyFill="1" applyAlignment="1">
      <alignment horizontal="center"/>
    </xf>
    <xf numFmtId="0" fontId="10" fillId="3" borderId="0" xfId="14" applyFill="1"/>
    <xf numFmtId="0" fontId="4" fillId="0" borderId="0" xfId="14" applyFont="1"/>
    <xf numFmtId="0" fontId="2" fillId="0" borderId="0" xfId="14" applyFont="1"/>
    <xf numFmtId="166" fontId="1" fillId="0" borderId="0" xfId="16" applyNumberFormat="1" applyFont="1"/>
    <xf numFmtId="164" fontId="1" fillId="3" borderId="2" xfId="15" applyNumberFormat="1" applyFont="1" applyFill="1" applyBorder="1"/>
    <xf numFmtId="164" fontId="1" fillId="3" borderId="7" xfId="15" applyNumberFormat="1" applyFont="1" applyFill="1" applyBorder="1"/>
    <xf numFmtId="6" fontId="0" fillId="0" borderId="0" xfId="15" applyNumberFormat="1" applyFont="1"/>
    <xf numFmtId="6" fontId="10" fillId="0" borderId="0" xfId="14" applyNumberFormat="1"/>
    <xf numFmtId="0" fontId="1" fillId="0" borderId="0" xfId="13"/>
    <xf numFmtId="0" fontId="3" fillId="0" borderId="0" xfId="13" applyFont="1"/>
    <xf numFmtId="6" fontId="1" fillId="0" borderId="0" xfId="13" applyNumberFormat="1"/>
    <xf numFmtId="6" fontId="3" fillId="0" borderId="0" xfId="13" applyNumberFormat="1" applyFont="1"/>
    <xf numFmtId="168" fontId="10" fillId="0" borderId="0" xfId="14" applyNumberFormat="1"/>
    <xf numFmtId="164" fontId="1" fillId="4" borderId="0" xfId="1" applyNumberFormat="1" applyFont="1" applyFill="1" applyBorder="1"/>
    <xf numFmtId="44" fontId="1" fillId="4" borderId="0" xfId="1" applyFont="1" applyFill="1" applyBorder="1"/>
    <xf numFmtId="0" fontId="10" fillId="4" borderId="0" xfId="14" applyFill="1"/>
    <xf numFmtId="0" fontId="10" fillId="4" borderId="6" xfId="14" applyFill="1" applyBorder="1"/>
    <xf numFmtId="164" fontId="1" fillId="4" borderId="6" xfId="1" applyNumberFormat="1" applyFont="1" applyFill="1" applyBorder="1"/>
    <xf numFmtId="44" fontId="1" fillId="4" borderId="6" xfId="1" applyFont="1" applyFill="1" applyBorder="1"/>
    <xf numFmtId="0" fontId="10" fillId="0" borderId="6" xfId="14" applyBorder="1"/>
    <xf numFmtId="164" fontId="1" fillId="0" borderId="6" xfId="1" applyNumberFormat="1" applyFont="1" applyBorder="1"/>
    <xf numFmtId="44" fontId="1" fillId="0" borderId="6" xfId="1" applyFont="1" applyBorder="1"/>
    <xf numFmtId="0" fontId="1" fillId="3" borderId="0" xfId="14" applyFont="1" applyFill="1"/>
    <xf numFmtId="169" fontId="10" fillId="0" borderId="0" xfId="14" applyNumberFormat="1"/>
    <xf numFmtId="169" fontId="12" fillId="0" borderId="0" xfId="14" applyNumberFormat="1" applyFont="1"/>
  </cellXfs>
  <cellStyles count="18">
    <cellStyle name="Comma 2" xfId="9" xr:uid="{F52D1132-0F27-4F49-98FB-EABA0334C2B1}"/>
    <cellStyle name="Comma 26" xfId="5" xr:uid="{F76D9B22-08AF-40C4-813E-7E0F5A99507E}"/>
    <cellStyle name="Comma 3" xfId="16" xr:uid="{6B02CCA2-6885-419F-A3C7-E1155D5622C2}"/>
    <cellStyle name="Currency" xfId="1" builtinId="4"/>
    <cellStyle name="Currency 2" xfId="10" xr:uid="{55CC3A4F-A818-4BC2-B41A-E9BE80372E1D}"/>
    <cellStyle name="Currency 2 10 2" xfId="11" xr:uid="{8ECB51E5-AC12-4613-9A01-D89D0F354CA0}"/>
    <cellStyle name="Currency 3" xfId="15" xr:uid="{9136C1B6-CB27-4A0B-BE2D-AB2B480E6288}"/>
    <cellStyle name="Currency 39" xfId="3" xr:uid="{AA0A6F20-3707-4CC6-A6FA-246D0E08FC51}"/>
    <cellStyle name="Normal" xfId="0" builtinId="0"/>
    <cellStyle name="Normal 149" xfId="2" xr:uid="{7852669F-E6B2-4979-A8FC-E4B2122B6A7E}"/>
    <cellStyle name="Normal 2" xfId="6" xr:uid="{ABBA9604-C4D8-40DD-97B0-BA7E6CB85D07}"/>
    <cellStyle name="Normal 3" xfId="8" xr:uid="{CA087797-39F3-435F-9597-789F2E93F49D}"/>
    <cellStyle name="Normal 4" xfId="14" xr:uid="{BABF891E-172E-4099-8F92-75C4D2D989C0}"/>
    <cellStyle name="Normal 4 10" xfId="13" xr:uid="{618360DF-2FCD-46F3-81C2-F4FB2D317AF2}"/>
    <cellStyle name="Normal 4 2" xfId="12" xr:uid="{7925DBAE-D7F4-46B6-BB16-4BD5A7004D85}"/>
    <cellStyle name="Percent 14" xfId="4" xr:uid="{52378061-418C-4AA8-8EB8-15C9C389E514}"/>
    <cellStyle name="Percent 2" xfId="7" xr:uid="{4226A826-9B89-4F26-B3BC-125A74E90D0F}"/>
    <cellStyle name="Percent 3" xfId="17" xr:uid="{411272B0-6770-4F40-B50A-D0A1A84C5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Volumes/Sales/F/Fort%20Worth%20Multi-Purpose%20Arena/Cost%20Analysis/server8/Sales/U/U%20of%20New%20Hamsphire/AJP%20Cost%20Sheets/UNH%20Cost%20Analysis%20062415%20BAFO.xlsm" TargetMode="External"/><Relationship Id="rId1" Type="http://schemas.openxmlformats.org/officeDocument/2006/relationships/externalLinkPath" Target="/Volumes/Sales/F/Fort%20Worth%20Multi-Purpose%20Arena/Cost%20Analysis/server8/Sales/U/U%20of%20New%20Hamsphire/AJP%20Cost%20Sheets/UNH%20Cost%20Analysis%20062415%20BAFO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KirstenSavage/Desktop/MetLife_5%20Year%20Services.xlsx" TargetMode="External"/><Relationship Id="rId2" Type="http://schemas.openxmlformats.org/officeDocument/2006/relationships/externalLinkPath" Target="file:///C:\Users\KirstenSavage\Desktop\MetLife_5%20Year%20Services.xlsx" TargetMode="External"/><Relationship Id="rId1" Type="http://schemas.openxmlformats.org/officeDocument/2006/relationships/externalLinkPath" Target="/Users/KirstenSavage/Desktop/MetLife_5%20Year%20Servic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Volumes\Sales\F\Fort%20Worth%20Multi-Purpose%20Arena\Cost%20Analysis\server8\Sales\Users\CJM\Dropbox%20(Personal)\Bids%20Sync\Scottrade%20Center%20(Blues)\C:\Users\Jsparks\AppData\Local\Temp\50%20-%20IMG%20Academy%20Pricing%20051613R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ROWSY\AppData\Local\Microsoft\Windows\Temporary%20Internet%20Files\Content.Outlook\RA4I7G2E\Documents%20and%20Settings\Owner\Local%20Settings\Temporary%20Internet%20Files\OLK15\ASU%20Cost%20Analysis%20020909%20-%20BAFO%20AL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Users\CJM\Dropbox%20(Personal)\Bids%20Sync\Notre%20Dame\Football%20Stadium\North%20Side%20Projects\192.168.1.26\sales\Documents%20and%20Settings\Owner\Local%20Settings\Temporary%20Internet%20Files\OLK15\ASU%20Cost%20Analysis%20020909%20-%20BAFO%20ALT.xls?34379304" TargetMode="External"/><Relationship Id="rId1" Type="http://schemas.openxmlformats.org/officeDocument/2006/relationships/externalLinkPath" Target="file:///\\34379304\ASU%20Cost%20Analysis%20020909%20-%20BAFO%20AL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Volumes\Sales\F\Fort%20Worth%20Multi-Purpose%20Arena\Cost%20Analysis\C:\Users\CJM\Dropbox%20(Personal)\Bids%20Sync\Scottrade%20Center%20(Blues)\server8\Sales\Users\ahardimon\Dropbox\ANC%20Sports\Butler\Butler%20Cost%20Analysis%20-%20080913AH.xlsx?6481A383" TargetMode="External"/><Relationship Id="rId1" Type="http://schemas.openxmlformats.org/officeDocument/2006/relationships/externalLinkPath" Target="file:///\\6481A383\Butler%20Cost%20Analysis%20-%20080913AH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\Boise%20State\2015%20Basketball%20Arena\Cost%20Sheet\Boise%20State%20Cost%20Sheet_FINAL%20COST%20SHEET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Volumes/Sales/F/Fort%20Worth%20Multi-Purpose%20Arena/Cost%20Analysis/server8/Sales/Users/CJM/Dropbox%20(Personal)/Bids%20Sync/Chicago%20Cubs/ASU%20Cost%20Analysis%20020909%20-%20BAFO%20BASE.xls" TargetMode="External"/><Relationship Id="rId1" Type="http://schemas.openxmlformats.org/officeDocument/2006/relationships/externalLinkPath" Target="/Volumes/Sales/F/Fort%20Worth%20Multi-Purpose%20Arena/Cost%20Analysis/server8/Sales/Users/CJM/Dropbox%20(Personal)/Bids%20Sync/Chicago%20Cubs/ASU%20Cost%20Analysis%20020909%20-%20BAFO%20BASE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Volumes\Sales\F\Fort%20Worth%20Multi-Purpose%20Arena\Cost%20Analysis\C:\Users\CJM\Dropbox%20(Personal)\Bids%20Sync\Scottrade%20Center%20(Blues)\server8\Sales\Users\dwatroba\Dropbox\Bids\University%20of%20Houston\Tampa%20RFP\Tampa%20RJS%20Cost%20Sheet%20010813%20-%20MAK.xlsx?AD87F927" TargetMode="External"/><Relationship Id="rId1" Type="http://schemas.openxmlformats.org/officeDocument/2006/relationships/externalLinkPath" Target="file:///\\AD87F927\Tampa%20RJS%20Cost%20Sheet%20010813%20-%20M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H Pricing"/>
      <sheetName val="LH Outdoor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rvice Overview"/>
      <sheetName val="Service Cost Sheet"/>
      <sheetName val="Sheet2"/>
      <sheetName val="MetLife_5 Year Services"/>
    </sheetNames>
    <definedNames>
      <definedName name="ProductNameList" refersTo="#REF!"/>
    </defined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ists"/>
      <sheetName val="Project Cash Out Table"/>
      <sheetName val="Price List"/>
      <sheetName val="LED BOM"/>
      <sheetName val="Model Cross Reference"/>
      <sheetName val="Schedule of Values Lookups"/>
      <sheetName val="Specif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 A.1.1"/>
      <sheetName val="S A.1.2"/>
      <sheetName val="S B.2.1"/>
      <sheetName val="S B.2.2"/>
      <sheetName val="ADD No. 1"/>
      <sheetName val="ADD No. 1 Courtside LED"/>
      <sheetName val="Cost Sheet SACO"/>
      <sheetName val="VSV"/>
      <sheetName val="SACO Install"/>
      <sheetName val="OES1"/>
      <sheetName val="OES2"/>
      <sheetName val="OES3"/>
      <sheetName val="OES4"/>
      <sheetName val="OE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S1"/>
      <sheetName val="S A.1.1"/>
      <sheetName val="S A.1.2"/>
      <sheetName val="S B.2.1"/>
      <sheetName val="S B.2.2"/>
      <sheetName val="ADD No. 1"/>
      <sheetName val="ADD No. 1 Courtside LED"/>
      <sheetName val="Cost Sheet SACO"/>
      <sheetName val="VSV"/>
      <sheetName val="SACO Install"/>
      <sheetName val="OES2"/>
      <sheetName val="OES3"/>
      <sheetName val="OES4"/>
      <sheetName val="OES5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or"/>
      <sheetName val="VIDEO REPLAY "/>
      <sheetName val="Cost Sheet"/>
      <sheetName val="MARGIN ANALYSIS"/>
      <sheetName val="LED VIDEO DISPLAY"/>
      <sheetName val="LH Sizing"/>
      <sheetName val="LH Pricing"/>
      <sheetName val="Outdoor"/>
      <sheetName val="VSXL "/>
      <sheetName val="ANC - Install"/>
      <sheetName val="Travel (ANC)"/>
      <sheetName val="Cables and Panels (ANC)"/>
      <sheetName val="Evertz Rackmount Fib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C Breakout"/>
      <sheetName val="MARGIN ANALYSIS"/>
      <sheetName val="Gomez 10mm"/>
      <sheetName val="Translux Quote"/>
      <sheetName val="ANC - Install "/>
      <sheetName val="AJP Matrix"/>
      <sheetName val="Cost Sheet"/>
      <sheetName val="LH Sizing"/>
      <sheetName val="LH Pricing"/>
      <sheetName val="LH Indoor"/>
      <sheetName val="LH Outdoor"/>
      <sheetName val="T-L Sizes"/>
      <sheetName val="VSV Summary"/>
      <sheetName val="OES Scoring"/>
      <sheetName val="Travel (ANC)"/>
      <sheetName val="Cables and Panels (ANC)"/>
      <sheetName val="ANC Resource Tracking"/>
      <sheetName val="Evertz Rackmount Fiber"/>
      <sheetName val="Broadcast Items"/>
      <sheetName val="Boise State Cost Sheet_FINAL CO"/>
      <sheetName val="Boise%20State%20Cost%20Sheet_F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ES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or"/>
      <sheetName val="Tampa RJS Cost Sheet 010813 - M"/>
      <sheetName val="Outdoor"/>
      <sheetName val="LH Pricing"/>
      <sheetName val="LH Sizing"/>
      <sheetName val="Tampa%20RJS%20Cost%20Sheet%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766D-A22A-4360-9B1F-4815B9F22FF1}">
  <dimension ref="A1:U74"/>
  <sheetViews>
    <sheetView tabSelected="1" workbookViewId="0">
      <selection activeCell="F13" sqref="F13"/>
    </sheetView>
  </sheetViews>
  <sheetFormatPr defaultRowHeight="12.75"/>
  <cols>
    <col min="1" max="1" width="11.140625" style="4" bestFit="1" customWidth="1"/>
    <col min="2" max="2" width="14.28515625" style="4" customWidth="1"/>
    <col min="3" max="3" width="11.85546875" style="4" customWidth="1"/>
    <col min="4" max="4" width="10.140625" style="4" customWidth="1"/>
    <col min="5" max="5" width="19" style="4" customWidth="1"/>
    <col min="6" max="6" width="11.85546875" style="4" customWidth="1"/>
    <col min="7" max="7" width="12.42578125" style="4" customWidth="1"/>
    <col min="8" max="8" width="21.5703125" style="4" customWidth="1"/>
    <col min="9" max="9" width="15.140625" style="4" bestFit="1" customWidth="1"/>
    <col min="10" max="10" width="17.140625" style="4" bestFit="1" customWidth="1"/>
    <col min="11" max="11" width="14.28515625" style="4" bestFit="1" customWidth="1"/>
    <col min="12" max="238" width="9.140625" style="4"/>
    <col min="239" max="239" width="11.140625" style="4" bestFit="1" customWidth="1"/>
    <col min="240" max="240" width="14.28515625" style="4" customWidth="1"/>
    <col min="241" max="241" width="11.85546875" style="4" customWidth="1"/>
    <col min="242" max="242" width="10.140625" style="4" customWidth="1"/>
    <col min="243" max="243" width="19" style="4" customWidth="1"/>
    <col min="244" max="244" width="11.85546875" style="4" customWidth="1"/>
    <col min="245" max="245" width="13.85546875" style="4" customWidth="1"/>
    <col min="246" max="246" width="12.28515625" style="4" customWidth="1"/>
    <col min="247" max="247" width="12" style="4" customWidth="1"/>
    <col min="248" max="248" width="11.42578125" style="4" customWidth="1"/>
    <col min="249" max="249" width="11.85546875" style="4" customWidth="1"/>
    <col min="250" max="250" width="10.85546875" style="4" customWidth="1"/>
    <col min="251" max="251" width="11.85546875" style="4" customWidth="1"/>
    <col min="252" max="252" width="11.28515625" style="4" customWidth="1"/>
    <col min="253" max="253" width="11.42578125" style="4" customWidth="1"/>
    <col min="254" max="254" width="12.140625" style="4" customWidth="1"/>
    <col min="255" max="255" width="10.85546875" style="4" bestFit="1" customWidth="1"/>
    <col min="256" max="256" width="12.42578125" style="4" bestFit="1" customWidth="1"/>
    <col min="257" max="258" width="12.42578125" style="4" customWidth="1"/>
    <col min="259" max="494" width="9.140625" style="4"/>
    <col min="495" max="495" width="11.140625" style="4" bestFit="1" customWidth="1"/>
    <col min="496" max="496" width="14.28515625" style="4" customWidth="1"/>
    <col min="497" max="497" width="11.85546875" style="4" customWidth="1"/>
    <col min="498" max="498" width="10.140625" style="4" customWidth="1"/>
    <col min="499" max="499" width="19" style="4" customWidth="1"/>
    <col min="500" max="500" width="11.85546875" style="4" customWidth="1"/>
    <col min="501" max="501" width="13.85546875" style="4" customWidth="1"/>
    <col min="502" max="502" width="12.28515625" style="4" customWidth="1"/>
    <col min="503" max="503" width="12" style="4" customWidth="1"/>
    <col min="504" max="504" width="11.42578125" style="4" customWidth="1"/>
    <col min="505" max="505" width="11.85546875" style="4" customWidth="1"/>
    <col min="506" max="506" width="10.85546875" style="4" customWidth="1"/>
    <col min="507" max="507" width="11.85546875" style="4" customWidth="1"/>
    <col min="508" max="508" width="11.28515625" style="4" customWidth="1"/>
    <col min="509" max="509" width="11.42578125" style="4" customWidth="1"/>
    <col min="510" max="510" width="12.140625" style="4" customWidth="1"/>
    <col min="511" max="511" width="10.85546875" style="4" bestFit="1" customWidth="1"/>
    <col min="512" max="512" width="12.42578125" style="4" bestFit="1" customWidth="1"/>
    <col min="513" max="514" width="12.42578125" style="4" customWidth="1"/>
    <col min="515" max="750" width="9.140625" style="4"/>
    <col min="751" max="751" width="11.140625" style="4" bestFit="1" customWidth="1"/>
    <col min="752" max="752" width="14.28515625" style="4" customWidth="1"/>
    <col min="753" max="753" width="11.85546875" style="4" customWidth="1"/>
    <col min="754" max="754" width="10.140625" style="4" customWidth="1"/>
    <col min="755" max="755" width="19" style="4" customWidth="1"/>
    <col min="756" max="756" width="11.85546875" style="4" customWidth="1"/>
    <col min="757" max="757" width="13.85546875" style="4" customWidth="1"/>
    <col min="758" max="758" width="12.28515625" style="4" customWidth="1"/>
    <col min="759" max="759" width="12" style="4" customWidth="1"/>
    <col min="760" max="760" width="11.42578125" style="4" customWidth="1"/>
    <col min="761" max="761" width="11.85546875" style="4" customWidth="1"/>
    <col min="762" max="762" width="10.85546875" style="4" customWidth="1"/>
    <col min="763" max="763" width="11.85546875" style="4" customWidth="1"/>
    <col min="764" max="764" width="11.28515625" style="4" customWidth="1"/>
    <col min="765" max="765" width="11.42578125" style="4" customWidth="1"/>
    <col min="766" max="766" width="12.140625" style="4" customWidth="1"/>
    <col min="767" max="767" width="10.85546875" style="4" bestFit="1" customWidth="1"/>
    <col min="768" max="768" width="12.42578125" style="4" bestFit="1" customWidth="1"/>
    <col min="769" max="770" width="12.42578125" style="4" customWidth="1"/>
    <col min="771" max="1006" width="9.140625" style="4"/>
    <col min="1007" max="1007" width="11.140625" style="4" bestFit="1" customWidth="1"/>
    <col min="1008" max="1008" width="14.28515625" style="4" customWidth="1"/>
    <col min="1009" max="1009" width="11.85546875" style="4" customWidth="1"/>
    <col min="1010" max="1010" width="10.140625" style="4" customWidth="1"/>
    <col min="1011" max="1011" width="19" style="4" customWidth="1"/>
    <col min="1012" max="1012" width="11.85546875" style="4" customWidth="1"/>
    <col min="1013" max="1013" width="13.85546875" style="4" customWidth="1"/>
    <col min="1014" max="1014" width="12.28515625" style="4" customWidth="1"/>
    <col min="1015" max="1015" width="12" style="4" customWidth="1"/>
    <col min="1016" max="1016" width="11.42578125" style="4" customWidth="1"/>
    <col min="1017" max="1017" width="11.85546875" style="4" customWidth="1"/>
    <col min="1018" max="1018" width="10.85546875" style="4" customWidth="1"/>
    <col min="1019" max="1019" width="11.85546875" style="4" customWidth="1"/>
    <col min="1020" max="1020" width="11.28515625" style="4" customWidth="1"/>
    <col min="1021" max="1021" width="11.42578125" style="4" customWidth="1"/>
    <col min="1022" max="1022" width="12.140625" style="4" customWidth="1"/>
    <col min="1023" max="1023" width="10.85546875" style="4" bestFit="1" customWidth="1"/>
    <col min="1024" max="1024" width="12.42578125" style="4" bestFit="1" customWidth="1"/>
    <col min="1025" max="1026" width="12.42578125" style="4" customWidth="1"/>
    <col min="1027" max="1262" width="9.140625" style="4"/>
    <col min="1263" max="1263" width="11.140625" style="4" bestFit="1" customWidth="1"/>
    <col min="1264" max="1264" width="14.28515625" style="4" customWidth="1"/>
    <col min="1265" max="1265" width="11.85546875" style="4" customWidth="1"/>
    <col min="1266" max="1266" width="10.140625" style="4" customWidth="1"/>
    <col min="1267" max="1267" width="19" style="4" customWidth="1"/>
    <col min="1268" max="1268" width="11.85546875" style="4" customWidth="1"/>
    <col min="1269" max="1269" width="13.85546875" style="4" customWidth="1"/>
    <col min="1270" max="1270" width="12.28515625" style="4" customWidth="1"/>
    <col min="1271" max="1271" width="12" style="4" customWidth="1"/>
    <col min="1272" max="1272" width="11.42578125" style="4" customWidth="1"/>
    <col min="1273" max="1273" width="11.85546875" style="4" customWidth="1"/>
    <col min="1274" max="1274" width="10.85546875" style="4" customWidth="1"/>
    <col min="1275" max="1275" width="11.85546875" style="4" customWidth="1"/>
    <col min="1276" max="1276" width="11.28515625" style="4" customWidth="1"/>
    <col min="1277" max="1277" width="11.42578125" style="4" customWidth="1"/>
    <col min="1278" max="1278" width="12.140625" style="4" customWidth="1"/>
    <col min="1279" max="1279" width="10.85546875" style="4" bestFit="1" customWidth="1"/>
    <col min="1280" max="1280" width="12.42578125" style="4" bestFit="1" customWidth="1"/>
    <col min="1281" max="1282" width="12.42578125" style="4" customWidth="1"/>
    <col min="1283" max="1518" width="9.140625" style="4"/>
    <col min="1519" max="1519" width="11.140625" style="4" bestFit="1" customWidth="1"/>
    <col min="1520" max="1520" width="14.28515625" style="4" customWidth="1"/>
    <col min="1521" max="1521" width="11.85546875" style="4" customWidth="1"/>
    <col min="1522" max="1522" width="10.140625" style="4" customWidth="1"/>
    <col min="1523" max="1523" width="19" style="4" customWidth="1"/>
    <col min="1524" max="1524" width="11.85546875" style="4" customWidth="1"/>
    <col min="1525" max="1525" width="13.85546875" style="4" customWidth="1"/>
    <col min="1526" max="1526" width="12.28515625" style="4" customWidth="1"/>
    <col min="1527" max="1527" width="12" style="4" customWidth="1"/>
    <col min="1528" max="1528" width="11.42578125" style="4" customWidth="1"/>
    <col min="1529" max="1529" width="11.85546875" style="4" customWidth="1"/>
    <col min="1530" max="1530" width="10.85546875" style="4" customWidth="1"/>
    <col min="1531" max="1531" width="11.85546875" style="4" customWidth="1"/>
    <col min="1532" max="1532" width="11.28515625" style="4" customWidth="1"/>
    <col min="1533" max="1533" width="11.42578125" style="4" customWidth="1"/>
    <col min="1534" max="1534" width="12.140625" style="4" customWidth="1"/>
    <col min="1535" max="1535" width="10.85546875" style="4" bestFit="1" customWidth="1"/>
    <col min="1536" max="1536" width="12.42578125" style="4" bestFit="1" customWidth="1"/>
    <col min="1537" max="1538" width="12.42578125" style="4" customWidth="1"/>
    <col min="1539" max="1774" width="9.140625" style="4"/>
    <col min="1775" max="1775" width="11.140625" style="4" bestFit="1" customWidth="1"/>
    <col min="1776" max="1776" width="14.28515625" style="4" customWidth="1"/>
    <col min="1777" max="1777" width="11.85546875" style="4" customWidth="1"/>
    <col min="1778" max="1778" width="10.140625" style="4" customWidth="1"/>
    <col min="1779" max="1779" width="19" style="4" customWidth="1"/>
    <col min="1780" max="1780" width="11.85546875" style="4" customWidth="1"/>
    <col min="1781" max="1781" width="13.85546875" style="4" customWidth="1"/>
    <col min="1782" max="1782" width="12.28515625" style="4" customWidth="1"/>
    <col min="1783" max="1783" width="12" style="4" customWidth="1"/>
    <col min="1784" max="1784" width="11.42578125" style="4" customWidth="1"/>
    <col min="1785" max="1785" width="11.85546875" style="4" customWidth="1"/>
    <col min="1786" max="1786" width="10.85546875" style="4" customWidth="1"/>
    <col min="1787" max="1787" width="11.85546875" style="4" customWidth="1"/>
    <col min="1788" max="1788" width="11.28515625" style="4" customWidth="1"/>
    <col min="1789" max="1789" width="11.42578125" style="4" customWidth="1"/>
    <col min="1790" max="1790" width="12.140625" style="4" customWidth="1"/>
    <col min="1791" max="1791" width="10.85546875" style="4" bestFit="1" customWidth="1"/>
    <col min="1792" max="1792" width="12.42578125" style="4" bestFit="1" customWidth="1"/>
    <col min="1793" max="1794" width="12.42578125" style="4" customWidth="1"/>
    <col min="1795" max="2030" width="9.140625" style="4"/>
    <col min="2031" max="2031" width="11.140625" style="4" bestFit="1" customWidth="1"/>
    <col min="2032" max="2032" width="14.28515625" style="4" customWidth="1"/>
    <col min="2033" max="2033" width="11.85546875" style="4" customWidth="1"/>
    <col min="2034" max="2034" width="10.140625" style="4" customWidth="1"/>
    <col min="2035" max="2035" width="19" style="4" customWidth="1"/>
    <col min="2036" max="2036" width="11.85546875" style="4" customWidth="1"/>
    <col min="2037" max="2037" width="13.85546875" style="4" customWidth="1"/>
    <col min="2038" max="2038" width="12.28515625" style="4" customWidth="1"/>
    <col min="2039" max="2039" width="12" style="4" customWidth="1"/>
    <col min="2040" max="2040" width="11.42578125" style="4" customWidth="1"/>
    <col min="2041" max="2041" width="11.85546875" style="4" customWidth="1"/>
    <col min="2042" max="2042" width="10.85546875" style="4" customWidth="1"/>
    <col min="2043" max="2043" width="11.85546875" style="4" customWidth="1"/>
    <col min="2044" max="2044" width="11.28515625" style="4" customWidth="1"/>
    <col min="2045" max="2045" width="11.42578125" style="4" customWidth="1"/>
    <col min="2046" max="2046" width="12.140625" style="4" customWidth="1"/>
    <col min="2047" max="2047" width="10.85546875" style="4" bestFit="1" customWidth="1"/>
    <col min="2048" max="2048" width="12.42578125" style="4" bestFit="1" customWidth="1"/>
    <col min="2049" max="2050" width="12.42578125" style="4" customWidth="1"/>
    <col min="2051" max="2286" width="9.140625" style="4"/>
    <col min="2287" max="2287" width="11.140625" style="4" bestFit="1" customWidth="1"/>
    <col min="2288" max="2288" width="14.28515625" style="4" customWidth="1"/>
    <col min="2289" max="2289" width="11.85546875" style="4" customWidth="1"/>
    <col min="2290" max="2290" width="10.140625" style="4" customWidth="1"/>
    <col min="2291" max="2291" width="19" style="4" customWidth="1"/>
    <col min="2292" max="2292" width="11.85546875" style="4" customWidth="1"/>
    <col min="2293" max="2293" width="13.85546875" style="4" customWidth="1"/>
    <col min="2294" max="2294" width="12.28515625" style="4" customWidth="1"/>
    <col min="2295" max="2295" width="12" style="4" customWidth="1"/>
    <col min="2296" max="2296" width="11.42578125" style="4" customWidth="1"/>
    <col min="2297" max="2297" width="11.85546875" style="4" customWidth="1"/>
    <col min="2298" max="2298" width="10.85546875" style="4" customWidth="1"/>
    <col min="2299" max="2299" width="11.85546875" style="4" customWidth="1"/>
    <col min="2300" max="2300" width="11.28515625" style="4" customWidth="1"/>
    <col min="2301" max="2301" width="11.42578125" style="4" customWidth="1"/>
    <col min="2302" max="2302" width="12.140625" style="4" customWidth="1"/>
    <col min="2303" max="2303" width="10.85546875" style="4" bestFit="1" customWidth="1"/>
    <col min="2304" max="2304" width="12.42578125" style="4" bestFit="1" customWidth="1"/>
    <col min="2305" max="2306" width="12.42578125" style="4" customWidth="1"/>
    <col min="2307" max="2542" width="9.140625" style="4"/>
    <col min="2543" max="2543" width="11.140625" style="4" bestFit="1" customWidth="1"/>
    <col min="2544" max="2544" width="14.28515625" style="4" customWidth="1"/>
    <col min="2545" max="2545" width="11.85546875" style="4" customWidth="1"/>
    <col min="2546" max="2546" width="10.140625" style="4" customWidth="1"/>
    <col min="2547" max="2547" width="19" style="4" customWidth="1"/>
    <col min="2548" max="2548" width="11.85546875" style="4" customWidth="1"/>
    <col min="2549" max="2549" width="13.85546875" style="4" customWidth="1"/>
    <col min="2550" max="2550" width="12.28515625" style="4" customWidth="1"/>
    <col min="2551" max="2551" width="12" style="4" customWidth="1"/>
    <col min="2552" max="2552" width="11.42578125" style="4" customWidth="1"/>
    <col min="2553" max="2553" width="11.85546875" style="4" customWidth="1"/>
    <col min="2554" max="2554" width="10.85546875" style="4" customWidth="1"/>
    <col min="2555" max="2555" width="11.85546875" style="4" customWidth="1"/>
    <col min="2556" max="2556" width="11.28515625" style="4" customWidth="1"/>
    <col min="2557" max="2557" width="11.42578125" style="4" customWidth="1"/>
    <col min="2558" max="2558" width="12.140625" style="4" customWidth="1"/>
    <col min="2559" max="2559" width="10.85546875" style="4" bestFit="1" customWidth="1"/>
    <col min="2560" max="2560" width="12.42578125" style="4" bestFit="1" customWidth="1"/>
    <col min="2561" max="2562" width="12.42578125" style="4" customWidth="1"/>
    <col min="2563" max="2798" width="9.140625" style="4"/>
    <col min="2799" max="2799" width="11.140625" style="4" bestFit="1" customWidth="1"/>
    <col min="2800" max="2800" width="14.28515625" style="4" customWidth="1"/>
    <col min="2801" max="2801" width="11.85546875" style="4" customWidth="1"/>
    <col min="2802" max="2802" width="10.140625" style="4" customWidth="1"/>
    <col min="2803" max="2803" width="19" style="4" customWidth="1"/>
    <col min="2804" max="2804" width="11.85546875" style="4" customWidth="1"/>
    <col min="2805" max="2805" width="13.85546875" style="4" customWidth="1"/>
    <col min="2806" max="2806" width="12.28515625" style="4" customWidth="1"/>
    <col min="2807" max="2807" width="12" style="4" customWidth="1"/>
    <col min="2808" max="2808" width="11.42578125" style="4" customWidth="1"/>
    <col min="2809" max="2809" width="11.85546875" style="4" customWidth="1"/>
    <col min="2810" max="2810" width="10.85546875" style="4" customWidth="1"/>
    <col min="2811" max="2811" width="11.85546875" style="4" customWidth="1"/>
    <col min="2812" max="2812" width="11.28515625" style="4" customWidth="1"/>
    <col min="2813" max="2813" width="11.42578125" style="4" customWidth="1"/>
    <col min="2814" max="2814" width="12.140625" style="4" customWidth="1"/>
    <col min="2815" max="2815" width="10.85546875" style="4" bestFit="1" customWidth="1"/>
    <col min="2816" max="2816" width="12.42578125" style="4" bestFit="1" customWidth="1"/>
    <col min="2817" max="2818" width="12.42578125" style="4" customWidth="1"/>
    <col min="2819" max="3054" width="9.140625" style="4"/>
    <col min="3055" max="3055" width="11.140625" style="4" bestFit="1" customWidth="1"/>
    <col min="3056" max="3056" width="14.28515625" style="4" customWidth="1"/>
    <col min="3057" max="3057" width="11.85546875" style="4" customWidth="1"/>
    <col min="3058" max="3058" width="10.140625" style="4" customWidth="1"/>
    <col min="3059" max="3059" width="19" style="4" customWidth="1"/>
    <col min="3060" max="3060" width="11.85546875" style="4" customWidth="1"/>
    <col min="3061" max="3061" width="13.85546875" style="4" customWidth="1"/>
    <col min="3062" max="3062" width="12.28515625" style="4" customWidth="1"/>
    <col min="3063" max="3063" width="12" style="4" customWidth="1"/>
    <col min="3064" max="3064" width="11.42578125" style="4" customWidth="1"/>
    <col min="3065" max="3065" width="11.85546875" style="4" customWidth="1"/>
    <col min="3066" max="3066" width="10.85546875" style="4" customWidth="1"/>
    <col min="3067" max="3067" width="11.85546875" style="4" customWidth="1"/>
    <col min="3068" max="3068" width="11.28515625" style="4" customWidth="1"/>
    <col min="3069" max="3069" width="11.42578125" style="4" customWidth="1"/>
    <col min="3070" max="3070" width="12.140625" style="4" customWidth="1"/>
    <col min="3071" max="3071" width="10.85546875" style="4" bestFit="1" customWidth="1"/>
    <col min="3072" max="3072" width="12.42578125" style="4" bestFit="1" customWidth="1"/>
    <col min="3073" max="3074" width="12.42578125" style="4" customWidth="1"/>
    <col min="3075" max="3310" width="9.140625" style="4"/>
    <col min="3311" max="3311" width="11.140625" style="4" bestFit="1" customWidth="1"/>
    <col min="3312" max="3312" width="14.28515625" style="4" customWidth="1"/>
    <col min="3313" max="3313" width="11.85546875" style="4" customWidth="1"/>
    <col min="3314" max="3314" width="10.140625" style="4" customWidth="1"/>
    <col min="3315" max="3315" width="19" style="4" customWidth="1"/>
    <col min="3316" max="3316" width="11.85546875" style="4" customWidth="1"/>
    <col min="3317" max="3317" width="13.85546875" style="4" customWidth="1"/>
    <col min="3318" max="3318" width="12.28515625" style="4" customWidth="1"/>
    <col min="3319" max="3319" width="12" style="4" customWidth="1"/>
    <col min="3320" max="3320" width="11.42578125" style="4" customWidth="1"/>
    <col min="3321" max="3321" width="11.85546875" style="4" customWidth="1"/>
    <col min="3322" max="3322" width="10.85546875" style="4" customWidth="1"/>
    <col min="3323" max="3323" width="11.85546875" style="4" customWidth="1"/>
    <col min="3324" max="3324" width="11.28515625" style="4" customWidth="1"/>
    <col min="3325" max="3325" width="11.42578125" style="4" customWidth="1"/>
    <col min="3326" max="3326" width="12.140625" style="4" customWidth="1"/>
    <col min="3327" max="3327" width="10.85546875" style="4" bestFit="1" customWidth="1"/>
    <col min="3328" max="3328" width="12.42578125" style="4" bestFit="1" customWidth="1"/>
    <col min="3329" max="3330" width="12.42578125" style="4" customWidth="1"/>
    <col min="3331" max="3566" width="9.140625" style="4"/>
    <col min="3567" max="3567" width="11.140625" style="4" bestFit="1" customWidth="1"/>
    <col min="3568" max="3568" width="14.28515625" style="4" customWidth="1"/>
    <col min="3569" max="3569" width="11.85546875" style="4" customWidth="1"/>
    <col min="3570" max="3570" width="10.140625" style="4" customWidth="1"/>
    <col min="3571" max="3571" width="19" style="4" customWidth="1"/>
    <col min="3572" max="3572" width="11.85546875" style="4" customWidth="1"/>
    <col min="3573" max="3573" width="13.85546875" style="4" customWidth="1"/>
    <col min="3574" max="3574" width="12.28515625" style="4" customWidth="1"/>
    <col min="3575" max="3575" width="12" style="4" customWidth="1"/>
    <col min="3576" max="3576" width="11.42578125" style="4" customWidth="1"/>
    <col min="3577" max="3577" width="11.85546875" style="4" customWidth="1"/>
    <col min="3578" max="3578" width="10.85546875" style="4" customWidth="1"/>
    <col min="3579" max="3579" width="11.85546875" style="4" customWidth="1"/>
    <col min="3580" max="3580" width="11.28515625" style="4" customWidth="1"/>
    <col min="3581" max="3581" width="11.42578125" style="4" customWidth="1"/>
    <col min="3582" max="3582" width="12.140625" style="4" customWidth="1"/>
    <col min="3583" max="3583" width="10.85546875" style="4" bestFit="1" customWidth="1"/>
    <col min="3584" max="3584" width="12.42578125" style="4" bestFit="1" customWidth="1"/>
    <col min="3585" max="3586" width="12.42578125" style="4" customWidth="1"/>
    <col min="3587" max="3822" width="9.140625" style="4"/>
    <col min="3823" max="3823" width="11.140625" style="4" bestFit="1" customWidth="1"/>
    <col min="3824" max="3824" width="14.28515625" style="4" customWidth="1"/>
    <col min="3825" max="3825" width="11.85546875" style="4" customWidth="1"/>
    <col min="3826" max="3826" width="10.140625" style="4" customWidth="1"/>
    <col min="3827" max="3827" width="19" style="4" customWidth="1"/>
    <col min="3828" max="3828" width="11.85546875" style="4" customWidth="1"/>
    <col min="3829" max="3829" width="13.85546875" style="4" customWidth="1"/>
    <col min="3830" max="3830" width="12.28515625" style="4" customWidth="1"/>
    <col min="3831" max="3831" width="12" style="4" customWidth="1"/>
    <col min="3832" max="3832" width="11.42578125" style="4" customWidth="1"/>
    <col min="3833" max="3833" width="11.85546875" style="4" customWidth="1"/>
    <col min="3834" max="3834" width="10.85546875" style="4" customWidth="1"/>
    <col min="3835" max="3835" width="11.85546875" style="4" customWidth="1"/>
    <col min="3836" max="3836" width="11.28515625" style="4" customWidth="1"/>
    <col min="3837" max="3837" width="11.42578125" style="4" customWidth="1"/>
    <col min="3838" max="3838" width="12.140625" style="4" customWidth="1"/>
    <col min="3839" max="3839" width="10.85546875" style="4" bestFit="1" customWidth="1"/>
    <col min="3840" max="3840" width="12.42578125" style="4" bestFit="1" customWidth="1"/>
    <col min="3841" max="3842" width="12.42578125" style="4" customWidth="1"/>
    <col min="3843" max="4078" width="9.140625" style="4"/>
    <col min="4079" max="4079" width="11.140625" style="4" bestFit="1" customWidth="1"/>
    <col min="4080" max="4080" width="14.28515625" style="4" customWidth="1"/>
    <col min="4081" max="4081" width="11.85546875" style="4" customWidth="1"/>
    <col min="4082" max="4082" width="10.140625" style="4" customWidth="1"/>
    <col min="4083" max="4083" width="19" style="4" customWidth="1"/>
    <col min="4084" max="4084" width="11.85546875" style="4" customWidth="1"/>
    <col min="4085" max="4085" width="13.85546875" style="4" customWidth="1"/>
    <col min="4086" max="4086" width="12.28515625" style="4" customWidth="1"/>
    <col min="4087" max="4087" width="12" style="4" customWidth="1"/>
    <col min="4088" max="4088" width="11.42578125" style="4" customWidth="1"/>
    <col min="4089" max="4089" width="11.85546875" style="4" customWidth="1"/>
    <col min="4090" max="4090" width="10.85546875" style="4" customWidth="1"/>
    <col min="4091" max="4091" width="11.85546875" style="4" customWidth="1"/>
    <col min="4092" max="4092" width="11.28515625" style="4" customWidth="1"/>
    <col min="4093" max="4093" width="11.42578125" style="4" customWidth="1"/>
    <col min="4094" max="4094" width="12.140625" style="4" customWidth="1"/>
    <col min="4095" max="4095" width="10.85546875" style="4" bestFit="1" customWidth="1"/>
    <col min="4096" max="4096" width="12.42578125" style="4" bestFit="1" customWidth="1"/>
    <col min="4097" max="4098" width="12.42578125" style="4" customWidth="1"/>
    <col min="4099" max="4334" width="9.140625" style="4"/>
    <col min="4335" max="4335" width="11.140625" style="4" bestFit="1" customWidth="1"/>
    <col min="4336" max="4336" width="14.28515625" style="4" customWidth="1"/>
    <col min="4337" max="4337" width="11.85546875" style="4" customWidth="1"/>
    <col min="4338" max="4338" width="10.140625" style="4" customWidth="1"/>
    <col min="4339" max="4339" width="19" style="4" customWidth="1"/>
    <col min="4340" max="4340" width="11.85546875" style="4" customWidth="1"/>
    <col min="4341" max="4341" width="13.85546875" style="4" customWidth="1"/>
    <col min="4342" max="4342" width="12.28515625" style="4" customWidth="1"/>
    <col min="4343" max="4343" width="12" style="4" customWidth="1"/>
    <col min="4344" max="4344" width="11.42578125" style="4" customWidth="1"/>
    <col min="4345" max="4345" width="11.85546875" style="4" customWidth="1"/>
    <col min="4346" max="4346" width="10.85546875" style="4" customWidth="1"/>
    <col min="4347" max="4347" width="11.85546875" style="4" customWidth="1"/>
    <col min="4348" max="4348" width="11.28515625" style="4" customWidth="1"/>
    <col min="4349" max="4349" width="11.42578125" style="4" customWidth="1"/>
    <col min="4350" max="4350" width="12.140625" style="4" customWidth="1"/>
    <col min="4351" max="4351" width="10.85546875" style="4" bestFit="1" customWidth="1"/>
    <col min="4352" max="4352" width="12.42578125" style="4" bestFit="1" customWidth="1"/>
    <col min="4353" max="4354" width="12.42578125" style="4" customWidth="1"/>
    <col min="4355" max="4590" width="9.140625" style="4"/>
    <col min="4591" max="4591" width="11.140625" style="4" bestFit="1" customWidth="1"/>
    <col min="4592" max="4592" width="14.28515625" style="4" customWidth="1"/>
    <col min="4593" max="4593" width="11.85546875" style="4" customWidth="1"/>
    <col min="4594" max="4594" width="10.140625" style="4" customWidth="1"/>
    <col min="4595" max="4595" width="19" style="4" customWidth="1"/>
    <col min="4596" max="4596" width="11.85546875" style="4" customWidth="1"/>
    <col min="4597" max="4597" width="13.85546875" style="4" customWidth="1"/>
    <col min="4598" max="4598" width="12.28515625" style="4" customWidth="1"/>
    <col min="4599" max="4599" width="12" style="4" customWidth="1"/>
    <col min="4600" max="4600" width="11.42578125" style="4" customWidth="1"/>
    <col min="4601" max="4601" width="11.85546875" style="4" customWidth="1"/>
    <col min="4602" max="4602" width="10.85546875" style="4" customWidth="1"/>
    <col min="4603" max="4603" width="11.85546875" style="4" customWidth="1"/>
    <col min="4604" max="4604" width="11.28515625" style="4" customWidth="1"/>
    <col min="4605" max="4605" width="11.42578125" style="4" customWidth="1"/>
    <col min="4606" max="4606" width="12.140625" style="4" customWidth="1"/>
    <col min="4607" max="4607" width="10.85546875" style="4" bestFit="1" customWidth="1"/>
    <col min="4608" max="4608" width="12.42578125" style="4" bestFit="1" customWidth="1"/>
    <col min="4609" max="4610" width="12.42578125" style="4" customWidth="1"/>
    <col min="4611" max="4846" width="9.140625" style="4"/>
    <col min="4847" max="4847" width="11.140625" style="4" bestFit="1" customWidth="1"/>
    <col min="4848" max="4848" width="14.28515625" style="4" customWidth="1"/>
    <col min="4849" max="4849" width="11.85546875" style="4" customWidth="1"/>
    <col min="4850" max="4850" width="10.140625" style="4" customWidth="1"/>
    <col min="4851" max="4851" width="19" style="4" customWidth="1"/>
    <col min="4852" max="4852" width="11.85546875" style="4" customWidth="1"/>
    <col min="4853" max="4853" width="13.85546875" style="4" customWidth="1"/>
    <col min="4854" max="4854" width="12.28515625" style="4" customWidth="1"/>
    <col min="4855" max="4855" width="12" style="4" customWidth="1"/>
    <col min="4856" max="4856" width="11.42578125" style="4" customWidth="1"/>
    <col min="4857" max="4857" width="11.85546875" style="4" customWidth="1"/>
    <col min="4858" max="4858" width="10.85546875" style="4" customWidth="1"/>
    <col min="4859" max="4859" width="11.85546875" style="4" customWidth="1"/>
    <col min="4860" max="4860" width="11.28515625" style="4" customWidth="1"/>
    <col min="4861" max="4861" width="11.42578125" style="4" customWidth="1"/>
    <col min="4862" max="4862" width="12.140625" style="4" customWidth="1"/>
    <col min="4863" max="4863" width="10.85546875" style="4" bestFit="1" customWidth="1"/>
    <col min="4864" max="4864" width="12.42578125" style="4" bestFit="1" customWidth="1"/>
    <col min="4865" max="4866" width="12.42578125" style="4" customWidth="1"/>
    <col min="4867" max="5102" width="9.140625" style="4"/>
    <col min="5103" max="5103" width="11.140625" style="4" bestFit="1" customWidth="1"/>
    <col min="5104" max="5104" width="14.28515625" style="4" customWidth="1"/>
    <col min="5105" max="5105" width="11.85546875" style="4" customWidth="1"/>
    <col min="5106" max="5106" width="10.140625" style="4" customWidth="1"/>
    <col min="5107" max="5107" width="19" style="4" customWidth="1"/>
    <col min="5108" max="5108" width="11.85546875" style="4" customWidth="1"/>
    <col min="5109" max="5109" width="13.85546875" style="4" customWidth="1"/>
    <col min="5110" max="5110" width="12.28515625" style="4" customWidth="1"/>
    <col min="5111" max="5111" width="12" style="4" customWidth="1"/>
    <col min="5112" max="5112" width="11.42578125" style="4" customWidth="1"/>
    <col min="5113" max="5113" width="11.85546875" style="4" customWidth="1"/>
    <col min="5114" max="5114" width="10.85546875" style="4" customWidth="1"/>
    <col min="5115" max="5115" width="11.85546875" style="4" customWidth="1"/>
    <col min="5116" max="5116" width="11.28515625" style="4" customWidth="1"/>
    <col min="5117" max="5117" width="11.42578125" style="4" customWidth="1"/>
    <col min="5118" max="5118" width="12.140625" style="4" customWidth="1"/>
    <col min="5119" max="5119" width="10.85546875" style="4" bestFit="1" customWidth="1"/>
    <col min="5120" max="5120" width="12.42578125" style="4" bestFit="1" customWidth="1"/>
    <col min="5121" max="5122" width="12.42578125" style="4" customWidth="1"/>
    <col min="5123" max="5358" width="9.140625" style="4"/>
    <col min="5359" max="5359" width="11.140625" style="4" bestFit="1" customWidth="1"/>
    <col min="5360" max="5360" width="14.28515625" style="4" customWidth="1"/>
    <col min="5361" max="5361" width="11.85546875" style="4" customWidth="1"/>
    <col min="5362" max="5362" width="10.140625" style="4" customWidth="1"/>
    <col min="5363" max="5363" width="19" style="4" customWidth="1"/>
    <col min="5364" max="5364" width="11.85546875" style="4" customWidth="1"/>
    <col min="5365" max="5365" width="13.85546875" style="4" customWidth="1"/>
    <col min="5366" max="5366" width="12.28515625" style="4" customWidth="1"/>
    <col min="5367" max="5367" width="12" style="4" customWidth="1"/>
    <col min="5368" max="5368" width="11.42578125" style="4" customWidth="1"/>
    <col min="5369" max="5369" width="11.85546875" style="4" customWidth="1"/>
    <col min="5370" max="5370" width="10.85546875" style="4" customWidth="1"/>
    <col min="5371" max="5371" width="11.85546875" style="4" customWidth="1"/>
    <col min="5372" max="5372" width="11.28515625" style="4" customWidth="1"/>
    <col min="5373" max="5373" width="11.42578125" style="4" customWidth="1"/>
    <col min="5374" max="5374" width="12.140625" style="4" customWidth="1"/>
    <col min="5375" max="5375" width="10.85546875" style="4" bestFit="1" customWidth="1"/>
    <col min="5376" max="5376" width="12.42578125" style="4" bestFit="1" customWidth="1"/>
    <col min="5377" max="5378" width="12.42578125" style="4" customWidth="1"/>
    <col min="5379" max="5614" width="9.140625" style="4"/>
    <col min="5615" max="5615" width="11.140625" style="4" bestFit="1" customWidth="1"/>
    <col min="5616" max="5616" width="14.28515625" style="4" customWidth="1"/>
    <col min="5617" max="5617" width="11.85546875" style="4" customWidth="1"/>
    <col min="5618" max="5618" width="10.140625" style="4" customWidth="1"/>
    <col min="5619" max="5619" width="19" style="4" customWidth="1"/>
    <col min="5620" max="5620" width="11.85546875" style="4" customWidth="1"/>
    <col min="5621" max="5621" width="13.85546875" style="4" customWidth="1"/>
    <col min="5622" max="5622" width="12.28515625" style="4" customWidth="1"/>
    <col min="5623" max="5623" width="12" style="4" customWidth="1"/>
    <col min="5624" max="5624" width="11.42578125" style="4" customWidth="1"/>
    <col min="5625" max="5625" width="11.85546875" style="4" customWidth="1"/>
    <col min="5626" max="5626" width="10.85546875" style="4" customWidth="1"/>
    <col min="5627" max="5627" width="11.85546875" style="4" customWidth="1"/>
    <col min="5628" max="5628" width="11.28515625" style="4" customWidth="1"/>
    <col min="5629" max="5629" width="11.42578125" style="4" customWidth="1"/>
    <col min="5630" max="5630" width="12.140625" style="4" customWidth="1"/>
    <col min="5631" max="5631" width="10.85546875" style="4" bestFit="1" customWidth="1"/>
    <col min="5632" max="5632" width="12.42578125" style="4" bestFit="1" customWidth="1"/>
    <col min="5633" max="5634" width="12.42578125" style="4" customWidth="1"/>
    <col min="5635" max="5870" width="9.140625" style="4"/>
    <col min="5871" max="5871" width="11.140625" style="4" bestFit="1" customWidth="1"/>
    <col min="5872" max="5872" width="14.28515625" style="4" customWidth="1"/>
    <col min="5873" max="5873" width="11.85546875" style="4" customWidth="1"/>
    <col min="5874" max="5874" width="10.140625" style="4" customWidth="1"/>
    <col min="5875" max="5875" width="19" style="4" customWidth="1"/>
    <col min="5876" max="5876" width="11.85546875" style="4" customWidth="1"/>
    <col min="5877" max="5877" width="13.85546875" style="4" customWidth="1"/>
    <col min="5878" max="5878" width="12.28515625" style="4" customWidth="1"/>
    <col min="5879" max="5879" width="12" style="4" customWidth="1"/>
    <col min="5880" max="5880" width="11.42578125" style="4" customWidth="1"/>
    <col min="5881" max="5881" width="11.85546875" style="4" customWidth="1"/>
    <col min="5882" max="5882" width="10.85546875" style="4" customWidth="1"/>
    <col min="5883" max="5883" width="11.85546875" style="4" customWidth="1"/>
    <col min="5884" max="5884" width="11.28515625" style="4" customWidth="1"/>
    <col min="5885" max="5885" width="11.42578125" style="4" customWidth="1"/>
    <col min="5886" max="5886" width="12.140625" style="4" customWidth="1"/>
    <col min="5887" max="5887" width="10.85546875" style="4" bestFit="1" customWidth="1"/>
    <col min="5888" max="5888" width="12.42578125" style="4" bestFit="1" customWidth="1"/>
    <col min="5889" max="5890" width="12.42578125" style="4" customWidth="1"/>
    <col min="5891" max="6126" width="9.140625" style="4"/>
    <col min="6127" max="6127" width="11.140625" style="4" bestFit="1" customWidth="1"/>
    <col min="6128" max="6128" width="14.28515625" style="4" customWidth="1"/>
    <col min="6129" max="6129" width="11.85546875" style="4" customWidth="1"/>
    <col min="6130" max="6130" width="10.140625" style="4" customWidth="1"/>
    <col min="6131" max="6131" width="19" style="4" customWidth="1"/>
    <col min="6132" max="6132" width="11.85546875" style="4" customWidth="1"/>
    <col min="6133" max="6133" width="13.85546875" style="4" customWidth="1"/>
    <col min="6134" max="6134" width="12.28515625" style="4" customWidth="1"/>
    <col min="6135" max="6135" width="12" style="4" customWidth="1"/>
    <col min="6136" max="6136" width="11.42578125" style="4" customWidth="1"/>
    <col min="6137" max="6137" width="11.85546875" style="4" customWidth="1"/>
    <col min="6138" max="6138" width="10.85546875" style="4" customWidth="1"/>
    <col min="6139" max="6139" width="11.85546875" style="4" customWidth="1"/>
    <col min="6140" max="6140" width="11.28515625" style="4" customWidth="1"/>
    <col min="6141" max="6141" width="11.42578125" style="4" customWidth="1"/>
    <col min="6142" max="6142" width="12.140625" style="4" customWidth="1"/>
    <col min="6143" max="6143" width="10.85546875" style="4" bestFit="1" customWidth="1"/>
    <col min="6144" max="6144" width="12.42578125" style="4" bestFit="1" customWidth="1"/>
    <col min="6145" max="6146" width="12.42578125" style="4" customWidth="1"/>
    <col min="6147" max="6382" width="9.140625" style="4"/>
    <col min="6383" max="6383" width="11.140625" style="4" bestFit="1" customWidth="1"/>
    <col min="6384" max="6384" width="14.28515625" style="4" customWidth="1"/>
    <col min="6385" max="6385" width="11.85546875" style="4" customWidth="1"/>
    <col min="6386" max="6386" width="10.140625" style="4" customWidth="1"/>
    <col min="6387" max="6387" width="19" style="4" customWidth="1"/>
    <col min="6388" max="6388" width="11.85546875" style="4" customWidth="1"/>
    <col min="6389" max="6389" width="13.85546875" style="4" customWidth="1"/>
    <col min="6390" max="6390" width="12.28515625" style="4" customWidth="1"/>
    <col min="6391" max="6391" width="12" style="4" customWidth="1"/>
    <col min="6392" max="6392" width="11.42578125" style="4" customWidth="1"/>
    <col min="6393" max="6393" width="11.85546875" style="4" customWidth="1"/>
    <col min="6394" max="6394" width="10.85546875" style="4" customWidth="1"/>
    <col min="6395" max="6395" width="11.85546875" style="4" customWidth="1"/>
    <col min="6396" max="6396" width="11.28515625" style="4" customWidth="1"/>
    <col min="6397" max="6397" width="11.42578125" style="4" customWidth="1"/>
    <col min="6398" max="6398" width="12.140625" style="4" customWidth="1"/>
    <col min="6399" max="6399" width="10.85546875" style="4" bestFit="1" customWidth="1"/>
    <col min="6400" max="6400" width="12.42578125" style="4" bestFit="1" customWidth="1"/>
    <col min="6401" max="6402" width="12.42578125" style="4" customWidth="1"/>
    <col min="6403" max="6638" width="9.140625" style="4"/>
    <col min="6639" max="6639" width="11.140625" style="4" bestFit="1" customWidth="1"/>
    <col min="6640" max="6640" width="14.28515625" style="4" customWidth="1"/>
    <col min="6641" max="6641" width="11.85546875" style="4" customWidth="1"/>
    <col min="6642" max="6642" width="10.140625" style="4" customWidth="1"/>
    <col min="6643" max="6643" width="19" style="4" customWidth="1"/>
    <col min="6644" max="6644" width="11.85546875" style="4" customWidth="1"/>
    <col min="6645" max="6645" width="13.85546875" style="4" customWidth="1"/>
    <col min="6646" max="6646" width="12.28515625" style="4" customWidth="1"/>
    <col min="6647" max="6647" width="12" style="4" customWidth="1"/>
    <col min="6648" max="6648" width="11.42578125" style="4" customWidth="1"/>
    <col min="6649" max="6649" width="11.85546875" style="4" customWidth="1"/>
    <col min="6650" max="6650" width="10.85546875" style="4" customWidth="1"/>
    <col min="6651" max="6651" width="11.85546875" style="4" customWidth="1"/>
    <col min="6652" max="6652" width="11.28515625" style="4" customWidth="1"/>
    <col min="6653" max="6653" width="11.42578125" style="4" customWidth="1"/>
    <col min="6654" max="6654" width="12.140625" style="4" customWidth="1"/>
    <col min="6655" max="6655" width="10.85546875" style="4" bestFit="1" customWidth="1"/>
    <col min="6656" max="6656" width="12.42578125" style="4" bestFit="1" customWidth="1"/>
    <col min="6657" max="6658" width="12.42578125" style="4" customWidth="1"/>
    <col min="6659" max="6894" width="9.140625" style="4"/>
    <col min="6895" max="6895" width="11.140625" style="4" bestFit="1" customWidth="1"/>
    <col min="6896" max="6896" width="14.28515625" style="4" customWidth="1"/>
    <col min="6897" max="6897" width="11.85546875" style="4" customWidth="1"/>
    <col min="6898" max="6898" width="10.140625" style="4" customWidth="1"/>
    <col min="6899" max="6899" width="19" style="4" customWidth="1"/>
    <col min="6900" max="6900" width="11.85546875" style="4" customWidth="1"/>
    <col min="6901" max="6901" width="13.85546875" style="4" customWidth="1"/>
    <col min="6902" max="6902" width="12.28515625" style="4" customWidth="1"/>
    <col min="6903" max="6903" width="12" style="4" customWidth="1"/>
    <col min="6904" max="6904" width="11.42578125" style="4" customWidth="1"/>
    <col min="6905" max="6905" width="11.85546875" style="4" customWidth="1"/>
    <col min="6906" max="6906" width="10.85546875" style="4" customWidth="1"/>
    <col min="6907" max="6907" width="11.85546875" style="4" customWidth="1"/>
    <col min="6908" max="6908" width="11.28515625" style="4" customWidth="1"/>
    <col min="6909" max="6909" width="11.42578125" style="4" customWidth="1"/>
    <col min="6910" max="6910" width="12.140625" style="4" customWidth="1"/>
    <col min="6911" max="6911" width="10.85546875" style="4" bestFit="1" customWidth="1"/>
    <col min="6912" max="6912" width="12.42578125" style="4" bestFit="1" customWidth="1"/>
    <col min="6913" max="6914" width="12.42578125" style="4" customWidth="1"/>
    <col min="6915" max="7150" width="9.140625" style="4"/>
    <col min="7151" max="7151" width="11.140625" style="4" bestFit="1" customWidth="1"/>
    <col min="7152" max="7152" width="14.28515625" style="4" customWidth="1"/>
    <col min="7153" max="7153" width="11.85546875" style="4" customWidth="1"/>
    <col min="7154" max="7154" width="10.140625" style="4" customWidth="1"/>
    <col min="7155" max="7155" width="19" style="4" customWidth="1"/>
    <col min="7156" max="7156" width="11.85546875" style="4" customWidth="1"/>
    <col min="7157" max="7157" width="13.85546875" style="4" customWidth="1"/>
    <col min="7158" max="7158" width="12.28515625" style="4" customWidth="1"/>
    <col min="7159" max="7159" width="12" style="4" customWidth="1"/>
    <col min="7160" max="7160" width="11.42578125" style="4" customWidth="1"/>
    <col min="7161" max="7161" width="11.85546875" style="4" customWidth="1"/>
    <col min="7162" max="7162" width="10.85546875" style="4" customWidth="1"/>
    <col min="7163" max="7163" width="11.85546875" style="4" customWidth="1"/>
    <col min="7164" max="7164" width="11.28515625" style="4" customWidth="1"/>
    <col min="7165" max="7165" width="11.42578125" style="4" customWidth="1"/>
    <col min="7166" max="7166" width="12.140625" style="4" customWidth="1"/>
    <col min="7167" max="7167" width="10.85546875" style="4" bestFit="1" customWidth="1"/>
    <col min="7168" max="7168" width="12.42578125" style="4" bestFit="1" customWidth="1"/>
    <col min="7169" max="7170" width="12.42578125" style="4" customWidth="1"/>
    <col min="7171" max="7406" width="9.140625" style="4"/>
    <col min="7407" max="7407" width="11.140625" style="4" bestFit="1" customWidth="1"/>
    <col min="7408" max="7408" width="14.28515625" style="4" customWidth="1"/>
    <col min="7409" max="7409" width="11.85546875" style="4" customWidth="1"/>
    <col min="7410" max="7410" width="10.140625" style="4" customWidth="1"/>
    <col min="7411" max="7411" width="19" style="4" customWidth="1"/>
    <col min="7412" max="7412" width="11.85546875" style="4" customWidth="1"/>
    <col min="7413" max="7413" width="13.85546875" style="4" customWidth="1"/>
    <col min="7414" max="7414" width="12.28515625" style="4" customWidth="1"/>
    <col min="7415" max="7415" width="12" style="4" customWidth="1"/>
    <col min="7416" max="7416" width="11.42578125" style="4" customWidth="1"/>
    <col min="7417" max="7417" width="11.85546875" style="4" customWidth="1"/>
    <col min="7418" max="7418" width="10.85546875" style="4" customWidth="1"/>
    <col min="7419" max="7419" width="11.85546875" style="4" customWidth="1"/>
    <col min="7420" max="7420" width="11.28515625" style="4" customWidth="1"/>
    <col min="7421" max="7421" width="11.42578125" style="4" customWidth="1"/>
    <col min="7422" max="7422" width="12.140625" style="4" customWidth="1"/>
    <col min="7423" max="7423" width="10.85546875" style="4" bestFit="1" customWidth="1"/>
    <col min="7424" max="7424" width="12.42578125" style="4" bestFit="1" customWidth="1"/>
    <col min="7425" max="7426" width="12.42578125" style="4" customWidth="1"/>
    <col min="7427" max="7662" width="9.140625" style="4"/>
    <col min="7663" max="7663" width="11.140625" style="4" bestFit="1" customWidth="1"/>
    <col min="7664" max="7664" width="14.28515625" style="4" customWidth="1"/>
    <col min="7665" max="7665" width="11.85546875" style="4" customWidth="1"/>
    <col min="7666" max="7666" width="10.140625" style="4" customWidth="1"/>
    <col min="7667" max="7667" width="19" style="4" customWidth="1"/>
    <col min="7668" max="7668" width="11.85546875" style="4" customWidth="1"/>
    <col min="7669" max="7669" width="13.85546875" style="4" customWidth="1"/>
    <col min="7670" max="7670" width="12.28515625" style="4" customWidth="1"/>
    <col min="7671" max="7671" width="12" style="4" customWidth="1"/>
    <col min="7672" max="7672" width="11.42578125" style="4" customWidth="1"/>
    <col min="7673" max="7673" width="11.85546875" style="4" customWidth="1"/>
    <col min="7674" max="7674" width="10.85546875" style="4" customWidth="1"/>
    <col min="7675" max="7675" width="11.85546875" style="4" customWidth="1"/>
    <col min="7676" max="7676" width="11.28515625" style="4" customWidth="1"/>
    <col min="7677" max="7677" width="11.42578125" style="4" customWidth="1"/>
    <col min="7678" max="7678" width="12.140625" style="4" customWidth="1"/>
    <col min="7679" max="7679" width="10.85546875" style="4" bestFit="1" customWidth="1"/>
    <col min="7680" max="7680" width="12.42578125" style="4" bestFit="1" customWidth="1"/>
    <col min="7681" max="7682" width="12.42578125" style="4" customWidth="1"/>
    <col min="7683" max="7918" width="9.140625" style="4"/>
    <col min="7919" max="7919" width="11.140625" style="4" bestFit="1" customWidth="1"/>
    <col min="7920" max="7920" width="14.28515625" style="4" customWidth="1"/>
    <col min="7921" max="7921" width="11.85546875" style="4" customWidth="1"/>
    <col min="7922" max="7922" width="10.140625" style="4" customWidth="1"/>
    <col min="7923" max="7923" width="19" style="4" customWidth="1"/>
    <col min="7924" max="7924" width="11.85546875" style="4" customWidth="1"/>
    <col min="7925" max="7925" width="13.85546875" style="4" customWidth="1"/>
    <col min="7926" max="7926" width="12.28515625" style="4" customWidth="1"/>
    <col min="7927" max="7927" width="12" style="4" customWidth="1"/>
    <col min="7928" max="7928" width="11.42578125" style="4" customWidth="1"/>
    <col min="7929" max="7929" width="11.85546875" style="4" customWidth="1"/>
    <col min="7930" max="7930" width="10.85546875" style="4" customWidth="1"/>
    <col min="7931" max="7931" width="11.85546875" style="4" customWidth="1"/>
    <col min="7932" max="7932" width="11.28515625" style="4" customWidth="1"/>
    <col min="7933" max="7933" width="11.42578125" style="4" customWidth="1"/>
    <col min="7934" max="7934" width="12.140625" style="4" customWidth="1"/>
    <col min="7935" max="7935" width="10.85546875" style="4" bestFit="1" customWidth="1"/>
    <col min="7936" max="7936" width="12.42578125" style="4" bestFit="1" customWidth="1"/>
    <col min="7937" max="7938" width="12.42578125" style="4" customWidth="1"/>
    <col min="7939" max="8174" width="9.140625" style="4"/>
    <col min="8175" max="8175" width="11.140625" style="4" bestFit="1" customWidth="1"/>
    <col min="8176" max="8176" width="14.28515625" style="4" customWidth="1"/>
    <col min="8177" max="8177" width="11.85546875" style="4" customWidth="1"/>
    <col min="8178" max="8178" width="10.140625" style="4" customWidth="1"/>
    <col min="8179" max="8179" width="19" style="4" customWidth="1"/>
    <col min="8180" max="8180" width="11.85546875" style="4" customWidth="1"/>
    <col min="8181" max="8181" width="13.85546875" style="4" customWidth="1"/>
    <col min="8182" max="8182" width="12.28515625" style="4" customWidth="1"/>
    <col min="8183" max="8183" width="12" style="4" customWidth="1"/>
    <col min="8184" max="8184" width="11.42578125" style="4" customWidth="1"/>
    <col min="8185" max="8185" width="11.85546875" style="4" customWidth="1"/>
    <col min="8186" max="8186" width="10.85546875" style="4" customWidth="1"/>
    <col min="8187" max="8187" width="11.85546875" style="4" customWidth="1"/>
    <col min="8188" max="8188" width="11.28515625" style="4" customWidth="1"/>
    <col min="8189" max="8189" width="11.42578125" style="4" customWidth="1"/>
    <col min="8190" max="8190" width="12.140625" style="4" customWidth="1"/>
    <col min="8191" max="8191" width="10.85546875" style="4" bestFit="1" customWidth="1"/>
    <col min="8192" max="8192" width="12.42578125" style="4" bestFit="1" customWidth="1"/>
    <col min="8193" max="8194" width="12.42578125" style="4" customWidth="1"/>
    <col min="8195" max="8430" width="9.140625" style="4"/>
    <col min="8431" max="8431" width="11.140625" style="4" bestFit="1" customWidth="1"/>
    <col min="8432" max="8432" width="14.28515625" style="4" customWidth="1"/>
    <col min="8433" max="8433" width="11.85546875" style="4" customWidth="1"/>
    <col min="8434" max="8434" width="10.140625" style="4" customWidth="1"/>
    <col min="8435" max="8435" width="19" style="4" customWidth="1"/>
    <col min="8436" max="8436" width="11.85546875" style="4" customWidth="1"/>
    <col min="8437" max="8437" width="13.85546875" style="4" customWidth="1"/>
    <col min="8438" max="8438" width="12.28515625" style="4" customWidth="1"/>
    <col min="8439" max="8439" width="12" style="4" customWidth="1"/>
    <col min="8440" max="8440" width="11.42578125" style="4" customWidth="1"/>
    <col min="8441" max="8441" width="11.85546875" style="4" customWidth="1"/>
    <col min="8442" max="8442" width="10.85546875" style="4" customWidth="1"/>
    <col min="8443" max="8443" width="11.85546875" style="4" customWidth="1"/>
    <col min="8444" max="8444" width="11.28515625" style="4" customWidth="1"/>
    <col min="8445" max="8445" width="11.42578125" style="4" customWidth="1"/>
    <col min="8446" max="8446" width="12.140625" style="4" customWidth="1"/>
    <col min="8447" max="8447" width="10.85546875" style="4" bestFit="1" customWidth="1"/>
    <col min="8448" max="8448" width="12.42578125" style="4" bestFit="1" customWidth="1"/>
    <col min="8449" max="8450" width="12.42578125" style="4" customWidth="1"/>
    <col min="8451" max="8686" width="9.140625" style="4"/>
    <col min="8687" max="8687" width="11.140625" style="4" bestFit="1" customWidth="1"/>
    <col min="8688" max="8688" width="14.28515625" style="4" customWidth="1"/>
    <col min="8689" max="8689" width="11.85546875" style="4" customWidth="1"/>
    <col min="8690" max="8690" width="10.140625" style="4" customWidth="1"/>
    <col min="8691" max="8691" width="19" style="4" customWidth="1"/>
    <col min="8692" max="8692" width="11.85546875" style="4" customWidth="1"/>
    <col min="8693" max="8693" width="13.85546875" style="4" customWidth="1"/>
    <col min="8694" max="8694" width="12.28515625" style="4" customWidth="1"/>
    <col min="8695" max="8695" width="12" style="4" customWidth="1"/>
    <col min="8696" max="8696" width="11.42578125" style="4" customWidth="1"/>
    <col min="8697" max="8697" width="11.85546875" style="4" customWidth="1"/>
    <col min="8698" max="8698" width="10.85546875" style="4" customWidth="1"/>
    <col min="8699" max="8699" width="11.85546875" style="4" customWidth="1"/>
    <col min="8700" max="8700" width="11.28515625" style="4" customWidth="1"/>
    <col min="8701" max="8701" width="11.42578125" style="4" customWidth="1"/>
    <col min="8702" max="8702" width="12.140625" style="4" customWidth="1"/>
    <col min="8703" max="8703" width="10.85546875" style="4" bestFit="1" customWidth="1"/>
    <col min="8704" max="8704" width="12.42578125" style="4" bestFit="1" customWidth="1"/>
    <col min="8705" max="8706" width="12.42578125" style="4" customWidth="1"/>
    <col min="8707" max="8942" width="9.140625" style="4"/>
    <col min="8943" max="8943" width="11.140625" style="4" bestFit="1" customWidth="1"/>
    <col min="8944" max="8944" width="14.28515625" style="4" customWidth="1"/>
    <col min="8945" max="8945" width="11.85546875" style="4" customWidth="1"/>
    <col min="8946" max="8946" width="10.140625" style="4" customWidth="1"/>
    <col min="8947" max="8947" width="19" style="4" customWidth="1"/>
    <col min="8948" max="8948" width="11.85546875" style="4" customWidth="1"/>
    <col min="8949" max="8949" width="13.85546875" style="4" customWidth="1"/>
    <col min="8950" max="8950" width="12.28515625" style="4" customWidth="1"/>
    <col min="8951" max="8951" width="12" style="4" customWidth="1"/>
    <col min="8952" max="8952" width="11.42578125" style="4" customWidth="1"/>
    <col min="8953" max="8953" width="11.85546875" style="4" customWidth="1"/>
    <col min="8954" max="8954" width="10.85546875" style="4" customWidth="1"/>
    <col min="8955" max="8955" width="11.85546875" style="4" customWidth="1"/>
    <col min="8956" max="8956" width="11.28515625" style="4" customWidth="1"/>
    <col min="8957" max="8957" width="11.42578125" style="4" customWidth="1"/>
    <col min="8958" max="8958" width="12.140625" style="4" customWidth="1"/>
    <col min="8959" max="8959" width="10.85546875" style="4" bestFit="1" customWidth="1"/>
    <col min="8960" max="8960" width="12.42578125" style="4" bestFit="1" customWidth="1"/>
    <col min="8961" max="8962" width="12.42578125" style="4" customWidth="1"/>
    <col min="8963" max="9198" width="9.140625" style="4"/>
    <col min="9199" max="9199" width="11.140625" style="4" bestFit="1" customWidth="1"/>
    <col min="9200" max="9200" width="14.28515625" style="4" customWidth="1"/>
    <col min="9201" max="9201" width="11.85546875" style="4" customWidth="1"/>
    <col min="9202" max="9202" width="10.140625" style="4" customWidth="1"/>
    <col min="9203" max="9203" width="19" style="4" customWidth="1"/>
    <col min="9204" max="9204" width="11.85546875" style="4" customWidth="1"/>
    <col min="9205" max="9205" width="13.85546875" style="4" customWidth="1"/>
    <col min="9206" max="9206" width="12.28515625" style="4" customWidth="1"/>
    <col min="9207" max="9207" width="12" style="4" customWidth="1"/>
    <col min="9208" max="9208" width="11.42578125" style="4" customWidth="1"/>
    <col min="9209" max="9209" width="11.85546875" style="4" customWidth="1"/>
    <col min="9210" max="9210" width="10.85546875" style="4" customWidth="1"/>
    <col min="9211" max="9211" width="11.85546875" style="4" customWidth="1"/>
    <col min="9212" max="9212" width="11.28515625" style="4" customWidth="1"/>
    <col min="9213" max="9213" width="11.42578125" style="4" customWidth="1"/>
    <col min="9214" max="9214" width="12.140625" style="4" customWidth="1"/>
    <col min="9215" max="9215" width="10.85546875" style="4" bestFit="1" customWidth="1"/>
    <col min="9216" max="9216" width="12.42578125" style="4" bestFit="1" customWidth="1"/>
    <col min="9217" max="9218" width="12.42578125" style="4" customWidth="1"/>
    <col min="9219" max="9454" width="9.140625" style="4"/>
    <col min="9455" max="9455" width="11.140625" style="4" bestFit="1" customWidth="1"/>
    <col min="9456" max="9456" width="14.28515625" style="4" customWidth="1"/>
    <col min="9457" max="9457" width="11.85546875" style="4" customWidth="1"/>
    <col min="9458" max="9458" width="10.140625" style="4" customWidth="1"/>
    <col min="9459" max="9459" width="19" style="4" customWidth="1"/>
    <col min="9460" max="9460" width="11.85546875" style="4" customWidth="1"/>
    <col min="9461" max="9461" width="13.85546875" style="4" customWidth="1"/>
    <col min="9462" max="9462" width="12.28515625" style="4" customWidth="1"/>
    <col min="9463" max="9463" width="12" style="4" customWidth="1"/>
    <col min="9464" max="9464" width="11.42578125" style="4" customWidth="1"/>
    <col min="9465" max="9465" width="11.85546875" style="4" customWidth="1"/>
    <col min="9466" max="9466" width="10.85546875" style="4" customWidth="1"/>
    <col min="9467" max="9467" width="11.85546875" style="4" customWidth="1"/>
    <col min="9468" max="9468" width="11.28515625" style="4" customWidth="1"/>
    <col min="9469" max="9469" width="11.42578125" style="4" customWidth="1"/>
    <col min="9470" max="9470" width="12.140625" style="4" customWidth="1"/>
    <col min="9471" max="9471" width="10.85546875" style="4" bestFit="1" customWidth="1"/>
    <col min="9472" max="9472" width="12.42578125" style="4" bestFit="1" customWidth="1"/>
    <col min="9473" max="9474" width="12.42578125" style="4" customWidth="1"/>
    <col min="9475" max="9710" width="9.140625" style="4"/>
    <col min="9711" max="9711" width="11.140625" style="4" bestFit="1" customWidth="1"/>
    <col min="9712" max="9712" width="14.28515625" style="4" customWidth="1"/>
    <col min="9713" max="9713" width="11.85546875" style="4" customWidth="1"/>
    <col min="9714" max="9714" width="10.140625" style="4" customWidth="1"/>
    <col min="9715" max="9715" width="19" style="4" customWidth="1"/>
    <col min="9716" max="9716" width="11.85546875" style="4" customWidth="1"/>
    <col min="9717" max="9717" width="13.85546875" style="4" customWidth="1"/>
    <col min="9718" max="9718" width="12.28515625" style="4" customWidth="1"/>
    <col min="9719" max="9719" width="12" style="4" customWidth="1"/>
    <col min="9720" max="9720" width="11.42578125" style="4" customWidth="1"/>
    <col min="9721" max="9721" width="11.85546875" style="4" customWidth="1"/>
    <col min="9722" max="9722" width="10.85546875" style="4" customWidth="1"/>
    <col min="9723" max="9723" width="11.85546875" style="4" customWidth="1"/>
    <col min="9724" max="9724" width="11.28515625" style="4" customWidth="1"/>
    <col min="9725" max="9725" width="11.42578125" style="4" customWidth="1"/>
    <col min="9726" max="9726" width="12.140625" style="4" customWidth="1"/>
    <col min="9727" max="9727" width="10.85546875" style="4" bestFit="1" customWidth="1"/>
    <col min="9728" max="9728" width="12.42578125" style="4" bestFit="1" customWidth="1"/>
    <col min="9729" max="9730" width="12.42578125" style="4" customWidth="1"/>
    <col min="9731" max="9966" width="9.140625" style="4"/>
    <col min="9967" max="9967" width="11.140625" style="4" bestFit="1" customWidth="1"/>
    <col min="9968" max="9968" width="14.28515625" style="4" customWidth="1"/>
    <col min="9969" max="9969" width="11.85546875" style="4" customWidth="1"/>
    <col min="9970" max="9970" width="10.140625" style="4" customWidth="1"/>
    <col min="9971" max="9971" width="19" style="4" customWidth="1"/>
    <col min="9972" max="9972" width="11.85546875" style="4" customWidth="1"/>
    <col min="9973" max="9973" width="13.85546875" style="4" customWidth="1"/>
    <col min="9974" max="9974" width="12.28515625" style="4" customWidth="1"/>
    <col min="9975" max="9975" width="12" style="4" customWidth="1"/>
    <col min="9976" max="9976" width="11.42578125" style="4" customWidth="1"/>
    <col min="9977" max="9977" width="11.85546875" style="4" customWidth="1"/>
    <col min="9978" max="9978" width="10.85546875" style="4" customWidth="1"/>
    <col min="9979" max="9979" width="11.85546875" style="4" customWidth="1"/>
    <col min="9980" max="9980" width="11.28515625" style="4" customWidth="1"/>
    <col min="9981" max="9981" width="11.42578125" style="4" customWidth="1"/>
    <col min="9982" max="9982" width="12.140625" style="4" customWidth="1"/>
    <col min="9983" max="9983" width="10.85546875" style="4" bestFit="1" customWidth="1"/>
    <col min="9984" max="9984" width="12.42578125" style="4" bestFit="1" customWidth="1"/>
    <col min="9985" max="9986" width="12.42578125" style="4" customWidth="1"/>
    <col min="9987" max="10222" width="9.140625" style="4"/>
    <col min="10223" max="10223" width="11.140625" style="4" bestFit="1" customWidth="1"/>
    <col min="10224" max="10224" width="14.28515625" style="4" customWidth="1"/>
    <col min="10225" max="10225" width="11.85546875" style="4" customWidth="1"/>
    <col min="10226" max="10226" width="10.140625" style="4" customWidth="1"/>
    <col min="10227" max="10227" width="19" style="4" customWidth="1"/>
    <col min="10228" max="10228" width="11.85546875" style="4" customWidth="1"/>
    <col min="10229" max="10229" width="13.85546875" style="4" customWidth="1"/>
    <col min="10230" max="10230" width="12.28515625" style="4" customWidth="1"/>
    <col min="10231" max="10231" width="12" style="4" customWidth="1"/>
    <col min="10232" max="10232" width="11.42578125" style="4" customWidth="1"/>
    <col min="10233" max="10233" width="11.85546875" style="4" customWidth="1"/>
    <col min="10234" max="10234" width="10.85546875" style="4" customWidth="1"/>
    <col min="10235" max="10235" width="11.85546875" style="4" customWidth="1"/>
    <col min="10236" max="10236" width="11.28515625" style="4" customWidth="1"/>
    <col min="10237" max="10237" width="11.42578125" style="4" customWidth="1"/>
    <col min="10238" max="10238" width="12.140625" style="4" customWidth="1"/>
    <col min="10239" max="10239" width="10.85546875" style="4" bestFit="1" customWidth="1"/>
    <col min="10240" max="10240" width="12.42578125" style="4" bestFit="1" customWidth="1"/>
    <col min="10241" max="10242" width="12.42578125" style="4" customWidth="1"/>
    <col min="10243" max="10478" width="9.140625" style="4"/>
    <col min="10479" max="10479" width="11.140625" style="4" bestFit="1" customWidth="1"/>
    <col min="10480" max="10480" width="14.28515625" style="4" customWidth="1"/>
    <col min="10481" max="10481" width="11.85546875" style="4" customWidth="1"/>
    <col min="10482" max="10482" width="10.140625" style="4" customWidth="1"/>
    <col min="10483" max="10483" width="19" style="4" customWidth="1"/>
    <col min="10484" max="10484" width="11.85546875" style="4" customWidth="1"/>
    <col min="10485" max="10485" width="13.85546875" style="4" customWidth="1"/>
    <col min="10486" max="10486" width="12.28515625" style="4" customWidth="1"/>
    <col min="10487" max="10487" width="12" style="4" customWidth="1"/>
    <col min="10488" max="10488" width="11.42578125" style="4" customWidth="1"/>
    <col min="10489" max="10489" width="11.85546875" style="4" customWidth="1"/>
    <col min="10490" max="10490" width="10.85546875" style="4" customWidth="1"/>
    <col min="10491" max="10491" width="11.85546875" style="4" customWidth="1"/>
    <col min="10492" max="10492" width="11.28515625" style="4" customWidth="1"/>
    <col min="10493" max="10493" width="11.42578125" style="4" customWidth="1"/>
    <col min="10494" max="10494" width="12.140625" style="4" customWidth="1"/>
    <col min="10495" max="10495" width="10.85546875" style="4" bestFit="1" customWidth="1"/>
    <col min="10496" max="10496" width="12.42578125" style="4" bestFit="1" customWidth="1"/>
    <col min="10497" max="10498" width="12.42578125" style="4" customWidth="1"/>
    <col min="10499" max="10734" width="9.140625" style="4"/>
    <col min="10735" max="10735" width="11.140625" style="4" bestFit="1" customWidth="1"/>
    <col min="10736" max="10736" width="14.28515625" style="4" customWidth="1"/>
    <col min="10737" max="10737" width="11.85546875" style="4" customWidth="1"/>
    <col min="10738" max="10738" width="10.140625" style="4" customWidth="1"/>
    <col min="10739" max="10739" width="19" style="4" customWidth="1"/>
    <col min="10740" max="10740" width="11.85546875" style="4" customWidth="1"/>
    <col min="10741" max="10741" width="13.85546875" style="4" customWidth="1"/>
    <col min="10742" max="10742" width="12.28515625" style="4" customWidth="1"/>
    <col min="10743" max="10743" width="12" style="4" customWidth="1"/>
    <col min="10744" max="10744" width="11.42578125" style="4" customWidth="1"/>
    <col min="10745" max="10745" width="11.85546875" style="4" customWidth="1"/>
    <col min="10746" max="10746" width="10.85546875" style="4" customWidth="1"/>
    <col min="10747" max="10747" width="11.85546875" style="4" customWidth="1"/>
    <col min="10748" max="10748" width="11.28515625" style="4" customWidth="1"/>
    <col min="10749" max="10749" width="11.42578125" style="4" customWidth="1"/>
    <col min="10750" max="10750" width="12.140625" style="4" customWidth="1"/>
    <col min="10751" max="10751" width="10.85546875" style="4" bestFit="1" customWidth="1"/>
    <col min="10752" max="10752" width="12.42578125" style="4" bestFit="1" customWidth="1"/>
    <col min="10753" max="10754" width="12.42578125" style="4" customWidth="1"/>
    <col min="10755" max="10990" width="9.140625" style="4"/>
    <col min="10991" max="10991" width="11.140625" style="4" bestFit="1" customWidth="1"/>
    <col min="10992" max="10992" width="14.28515625" style="4" customWidth="1"/>
    <col min="10993" max="10993" width="11.85546875" style="4" customWidth="1"/>
    <col min="10994" max="10994" width="10.140625" style="4" customWidth="1"/>
    <col min="10995" max="10995" width="19" style="4" customWidth="1"/>
    <col min="10996" max="10996" width="11.85546875" style="4" customWidth="1"/>
    <col min="10997" max="10997" width="13.85546875" style="4" customWidth="1"/>
    <col min="10998" max="10998" width="12.28515625" style="4" customWidth="1"/>
    <col min="10999" max="10999" width="12" style="4" customWidth="1"/>
    <col min="11000" max="11000" width="11.42578125" style="4" customWidth="1"/>
    <col min="11001" max="11001" width="11.85546875" style="4" customWidth="1"/>
    <col min="11002" max="11002" width="10.85546875" style="4" customWidth="1"/>
    <col min="11003" max="11003" width="11.85546875" style="4" customWidth="1"/>
    <col min="11004" max="11004" width="11.28515625" style="4" customWidth="1"/>
    <col min="11005" max="11005" width="11.42578125" style="4" customWidth="1"/>
    <col min="11006" max="11006" width="12.140625" style="4" customWidth="1"/>
    <col min="11007" max="11007" width="10.85546875" style="4" bestFit="1" customWidth="1"/>
    <col min="11008" max="11008" width="12.42578125" style="4" bestFit="1" customWidth="1"/>
    <col min="11009" max="11010" width="12.42578125" style="4" customWidth="1"/>
    <col min="11011" max="11246" width="9.140625" style="4"/>
    <col min="11247" max="11247" width="11.140625" style="4" bestFit="1" customWidth="1"/>
    <col min="11248" max="11248" width="14.28515625" style="4" customWidth="1"/>
    <col min="11249" max="11249" width="11.85546875" style="4" customWidth="1"/>
    <col min="11250" max="11250" width="10.140625" style="4" customWidth="1"/>
    <col min="11251" max="11251" width="19" style="4" customWidth="1"/>
    <col min="11252" max="11252" width="11.85546875" style="4" customWidth="1"/>
    <col min="11253" max="11253" width="13.85546875" style="4" customWidth="1"/>
    <col min="11254" max="11254" width="12.28515625" style="4" customWidth="1"/>
    <col min="11255" max="11255" width="12" style="4" customWidth="1"/>
    <col min="11256" max="11256" width="11.42578125" style="4" customWidth="1"/>
    <col min="11257" max="11257" width="11.85546875" style="4" customWidth="1"/>
    <col min="11258" max="11258" width="10.85546875" style="4" customWidth="1"/>
    <col min="11259" max="11259" width="11.85546875" style="4" customWidth="1"/>
    <col min="11260" max="11260" width="11.28515625" style="4" customWidth="1"/>
    <col min="11261" max="11261" width="11.42578125" style="4" customWidth="1"/>
    <col min="11262" max="11262" width="12.140625" style="4" customWidth="1"/>
    <col min="11263" max="11263" width="10.85546875" style="4" bestFit="1" customWidth="1"/>
    <col min="11264" max="11264" width="12.42578125" style="4" bestFit="1" customWidth="1"/>
    <col min="11265" max="11266" width="12.42578125" style="4" customWidth="1"/>
    <col min="11267" max="11502" width="9.140625" style="4"/>
    <col min="11503" max="11503" width="11.140625" style="4" bestFit="1" customWidth="1"/>
    <col min="11504" max="11504" width="14.28515625" style="4" customWidth="1"/>
    <col min="11505" max="11505" width="11.85546875" style="4" customWidth="1"/>
    <col min="11506" max="11506" width="10.140625" style="4" customWidth="1"/>
    <col min="11507" max="11507" width="19" style="4" customWidth="1"/>
    <col min="11508" max="11508" width="11.85546875" style="4" customWidth="1"/>
    <col min="11509" max="11509" width="13.85546875" style="4" customWidth="1"/>
    <col min="11510" max="11510" width="12.28515625" style="4" customWidth="1"/>
    <col min="11511" max="11511" width="12" style="4" customWidth="1"/>
    <col min="11512" max="11512" width="11.42578125" style="4" customWidth="1"/>
    <col min="11513" max="11513" width="11.85546875" style="4" customWidth="1"/>
    <col min="11514" max="11514" width="10.85546875" style="4" customWidth="1"/>
    <col min="11515" max="11515" width="11.85546875" style="4" customWidth="1"/>
    <col min="11516" max="11516" width="11.28515625" style="4" customWidth="1"/>
    <col min="11517" max="11517" width="11.42578125" style="4" customWidth="1"/>
    <col min="11518" max="11518" width="12.140625" style="4" customWidth="1"/>
    <col min="11519" max="11519" width="10.85546875" style="4" bestFit="1" customWidth="1"/>
    <col min="11520" max="11520" width="12.42578125" style="4" bestFit="1" customWidth="1"/>
    <col min="11521" max="11522" width="12.42578125" style="4" customWidth="1"/>
    <col min="11523" max="11758" width="9.140625" style="4"/>
    <col min="11759" max="11759" width="11.140625" style="4" bestFit="1" customWidth="1"/>
    <col min="11760" max="11760" width="14.28515625" style="4" customWidth="1"/>
    <col min="11761" max="11761" width="11.85546875" style="4" customWidth="1"/>
    <col min="11762" max="11762" width="10.140625" style="4" customWidth="1"/>
    <col min="11763" max="11763" width="19" style="4" customWidth="1"/>
    <col min="11764" max="11764" width="11.85546875" style="4" customWidth="1"/>
    <col min="11765" max="11765" width="13.85546875" style="4" customWidth="1"/>
    <col min="11766" max="11766" width="12.28515625" style="4" customWidth="1"/>
    <col min="11767" max="11767" width="12" style="4" customWidth="1"/>
    <col min="11768" max="11768" width="11.42578125" style="4" customWidth="1"/>
    <col min="11769" max="11769" width="11.85546875" style="4" customWidth="1"/>
    <col min="11770" max="11770" width="10.85546875" style="4" customWidth="1"/>
    <col min="11771" max="11771" width="11.85546875" style="4" customWidth="1"/>
    <col min="11772" max="11772" width="11.28515625" style="4" customWidth="1"/>
    <col min="11773" max="11773" width="11.42578125" style="4" customWidth="1"/>
    <col min="11774" max="11774" width="12.140625" style="4" customWidth="1"/>
    <col min="11775" max="11775" width="10.85546875" style="4" bestFit="1" customWidth="1"/>
    <col min="11776" max="11776" width="12.42578125" style="4" bestFit="1" customWidth="1"/>
    <col min="11777" max="11778" width="12.42578125" style="4" customWidth="1"/>
    <col min="11779" max="12014" width="9.140625" style="4"/>
    <col min="12015" max="12015" width="11.140625" style="4" bestFit="1" customWidth="1"/>
    <col min="12016" max="12016" width="14.28515625" style="4" customWidth="1"/>
    <col min="12017" max="12017" width="11.85546875" style="4" customWidth="1"/>
    <col min="12018" max="12018" width="10.140625" style="4" customWidth="1"/>
    <col min="12019" max="12019" width="19" style="4" customWidth="1"/>
    <col min="12020" max="12020" width="11.85546875" style="4" customWidth="1"/>
    <col min="12021" max="12021" width="13.85546875" style="4" customWidth="1"/>
    <col min="12022" max="12022" width="12.28515625" style="4" customWidth="1"/>
    <col min="12023" max="12023" width="12" style="4" customWidth="1"/>
    <col min="12024" max="12024" width="11.42578125" style="4" customWidth="1"/>
    <col min="12025" max="12025" width="11.85546875" style="4" customWidth="1"/>
    <col min="12026" max="12026" width="10.85546875" style="4" customWidth="1"/>
    <col min="12027" max="12027" width="11.85546875" style="4" customWidth="1"/>
    <col min="12028" max="12028" width="11.28515625" style="4" customWidth="1"/>
    <col min="12029" max="12029" width="11.42578125" style="4" customWidth="1"/>
    <col min="12030" max="12030" width="12.140625" style="4" customWidth="1"/>
    <col min="12031" max="12031" width="10.85546875" style="4" bestFit="1" customWidth="1"/>
    <col min="12032" max="12032" width="12.42578125" style="4" bestFit="1" customWidth="1"/>
    <col min="12033" max="12034" width="12.42578125" style="4" customWidth="1"/>
    <col min="12035" max="12270" width="9.140625" style="4"/>
    <col min="12271" max="12271" width="11.140625" style="4" bestFit="1" customWidth="1"/>
    <col min="12272" max="12272" width="14.28515625" style="4" customWidth="1"/>
    <col min="12273" max="12273" width="11.85546875" style="4" customWidth="1"/>
    <col min="12274" max="12274" width="10.140625" style="4" customWidth="1"/>
    <col min="12275" max="12275" width="19" style="4" customWidth="1"/>
    <col min="12276" max="12276" width="11.85546875" style="4" customWidth="1"/>
    <col min="12277" max="12277" width="13.85546875" style="4" customWidth="1"/>
    <col min="12278" max="12278" width="12.28515625" style="4" customWidth="1"/>
    <col min="12279" max="12279" width="12" style="4" customWidth="1"/>
    <col min="12280" max="12280" width="11.42578125" style="4" customWidth="1"/>
    <col min="12281" max="12281" width="11.85546875" style="4" customWidth="1"/>
    <col min="12282" max="12282" width="10.85546875" style="4" customWidth="1"/>
    <col min="12283" max="12283" width="11.85546875" style="4" customWidth="1"/>
    <col min="12284" max="12284" width="11.28515625" style="4" customWidth="1"/>
    <col min="12285" max="12285" width="11.42578125" style="4" customWidth="1"/>
    <col min="12286" max="12286" width="12.140625" style="4" customWidth="1"/>
    <col min="12287" max="12287" width="10.85546875" style="4" bestFit="1" customWidth="1"/>
    <col min="12288" max="12288" width="12.42578125" style="4" bestFit="1" customWidth="1"/>
    <col min="12289" max="12290" width="12.42578125" style="4" customWidth="1"/>
    <col min="12291" max="12526" width="9.140625" style="4"/>
    <col min="12527" max="12527" width="11.140625" style="4" bestFit="1" customWidth="1"/>
    <col min="12528" max="12528" width="14.28515625" style="4" customWidth="1"/>
    <col min="12529" max="12529" width="11.85546875" style="4" customWidth="1"/>
    <col min="12530" max="12530" width="10.140625" style="4" customWidth="1"/>
    <col min="12531" max="12531" width="19" style="4" customWidth="1"/>
    <col min="12532" max="12532" width="11.85546875" style="4" customWidth="1"/>
    <col min="12533" max="12533" width="13.85546875" style="4" customWidth="1"/>
    <col min="12534" max="12534" width="12.28515625" style="4" customWidth="1"/>
    <col min="12535" max="12535" width="12" style="4" customWidth="1"/>
    <col min="12536" max="12536" width="11.42578125" style="4" customWidth="1"/>
    <col min="12537" max="12537" width="11.85546875" style="4" customWidth="1"/>
    <col min="12538" max="12538" width="10.85546875" style="4" customWidth="1"/>
    <col min="12539" max="12539" width="11.85546875" style="4" customWidth="1"/>
    <col min="12540" max="12540" width="11.28515625" style="4" customWidth="1"/>
    <col min="12541" max="12541" width="11.42578125" style="4" customWidth="1"/>
    <col min="12542" max="12542" width="12.140625" style="4" customWidth="1"/>
    <col min="12543" max="12543" width="10.85546875" style="4" bestFit="1" customWidth="1"/>
    <col min="12544" max="12544" width="12.42578125" style="4" bestFit="1" customWidth="1"/>
    <col min="12545" max="12546" width="12.42578125" style="4" customWidth="1"/>
    <col min="12547" max="12782" width="9.140625" style="4"/>
    <col min="12783" max="12783" width="11.140625" style="4" bestFit="1" customWidth="1"/>
    <col min="12784" max="12784" width="14.28515625" style="4" customWidth="1"/>
    <col min="12785" max="12785" width="11.85546875" style="4" customWidth="1"/>
    <col min="12786" max="12786" width="10.140625" style="4" customWidth="1"/>
    <col min="12787" max="12787" width="19" style="4" customWidth="1"/>
    <col min="12788" max="12788" width="11.85546875" style="4" customWidth="1"/>
    <col min="12789" max="12789" width="13.85546875" style="4" customWidth="1"/>
    <col min="12790" max="12790" width="12.28515625" style="4" customWidth="1"/>
    <col min="12791" max="12791" width="12" style="4" customWidth="1"/>
    <col min="12792" max="12792" width="11.42578125" style="4" customWidth="1"/>
    <col min="12793" max="12793" width="11.85546875" style="4" customWidth="1"/>
    <col min="12794" max="12794" width="10.85546875" style="4" customWidth="1"/>
    <col min="12795" max="12795" width="11.85546875" style="4" customWidth="1"/>
    <col min="12796" max="12796" width="11.28515625" style="4" customWidth="1"/>
    <col min="12797" max="12797" width="11.42578125" style="4" customWidth="1"/>
    <col min="12798" max="12798" width="12.140625" style="4" customWidth="1"/>
    <col min="12799" max="12799" width="10.85546875" style="4" bestFit="1" customWidth="1"/>
    <col min="12800" max="12800" width="12.42578125" style="4" bestFit="1" customWidth="1"/>
    <col min="12801" max="12802" width="12.42578125" style="4" customWidth="1"/>
    <col min="12803" max="13038" width="9.140625" style="4"/>
    <col min="13039" max="13039" width="11.140625" style="4" bestFit="1" customWidth="1"/>
    <col min="13040" max="13040" width="14.28515625" style="4" customWidth="1"/>
    <col min="13041" max="13041" width="11.85546875" style="4" customWidth="1"/>
    <col min="13042" max="13042" width="10.140625" style="4" customWidth="1"/>
    <col min="13043" max="13043" width="19" style="4" customWidth="1"/>
    <col min="13044" max="13044" width="11.85546875" style="4" customWidth="1"/>
    <col min="13045" max="13045" width="13.85546875" style="4" customWidth="1"/>
    <col min="13046" max="13046" width="12.28515625" style="4" customWidth="1"/>
    <col min="13047" max="13047" width="12" style="4" customWidth="1"/>
    <col min="13048" max="13048" width="11.42578125" style="4" customWidth="1"/>
    <col min="13049" max="13049" width="11.85546875" style="4" customWidth="1"/>
    <col min="13050" max="13050" width="10.85546875" style="4" customWidth="1"/>
    <col min="13051" max="13051" width="11.85546875" style="4" customWidth="1"/>
    <col min="13052" max="13052" width="11.28515625" style="4" customWidth="1"/>
    <col min="13053" max="13053" width="11.42578125" style="4" customWidth="1"/>
    <col min="13054" max="13054" width="12.140625" style="4" customWidth="1"/>
    <col min="13055" max="13055" width="10.85546875" style="4" bestFit="1" customWidth="1"/>
    <col min="13056" max="13056" width="12.42578125" style="4" bestFit="1" customWidth="1"/>
    <col min="13057" max="13058" width="12.42578125" style="4" customWidth="1"/>
    <col min="13059" max="13294" width="9.140625" style="4"/>
    <col min="13295" max="13295" width="11.140625" style="4" bestFit="1" customWidth="1"/>
    <col min="13296" max="13296" width="14.28515625" style="4" customWidth="1"/>
    <col min="13297" max="13297" width="11.85546875" style="4" customWidth="1"/>
    <col min="13298" max="13298" width="10.140625" style="4" customWidth="1"/>
    <col min="13299" max="13299" width="19" style="4" customWidth="1"/>
    <col min="13300" max="13300" width="11.85546875" style="4" customWidth="1"/>
    <col min="13301" max="13301" width="13.85546875" style="4" customWidth="1"/>
    <col min="13302" max="13302" width="12.28515625" style="4" customWidth="1"/>
    <col min="13303" max="13303" width="12" style="4" customWidth="1"/>
    <col min="13304" max="13304" width="11.42578125" style="4" customWidth="1"/>
    <col min="13305" max="13305" width="11.85546875" style="4" customWidth="1"/>
    <col min="13306" max="13306" width="10.85546875" style="4" customWidth="1"/>
    <col min="13307" max="13307" width="11.85546875" style="4" customWidth="1"/>
    <col min="13308" max="13308" width="11.28515625" style="4" customWidth="1"/>
    <col min="13309" max="13309" width="11.42578125" style="4" customWidth="1"/>
    <col min="13310" max="13310" width="12.140625" style="4" customWidth="1"/>
    <col min="13311" max="13311" width="10.85546875" style="4" bestFit="1" customWidth="1"/>
    <col min="13312" max="13312" width="12.42578125" style="4" bestFit="1" customWidth="1"/>
    <col min="13313" max="13314" width="12.42578125" style="4" customWidth="1"/>
    <col min="13315" max="13550" width="9.140625" style="4"/>
    <col min="13551" max="13551" width="11.140625" style="4" bestFit="1" customWidth="1"/>
    <col min="13552" max="13552" width="14.28515625" style="4" customWidth="1"/>
    <col min="13553" max="13553" width="11.85546875" style="4" customWidth="1"/>
    <col min="13554" max="13554" width="10.140625" style="4" customWidth="1"/>
    <col min="13555" max="13555" width="19" style="4" customWidth="1"/>
    <col min="13556" max="13556" width="11.85546875" style="4" customWidth="1"/>
    <col min="13557" max="13557" width="13.85546875" style="4" customWidth="1"/>
    <col min="13558" max="13558" width="12.28515625" style="4" customWidth="1"/>
    <col min="13559" max="13559" width="12" style="4" customWidth="1"/>
    <col min="13560" max="13560" width="11.42578125" style="4" customWidth="1"/>
    <col min="13561" max="13561" width="11.85546875" style="4" customWidth="1"/>
    <col min="13562" max="13562" width="10.85546875" style="4" customWidth="1"/>
    <col min="13563" max="13563" width="11.85546875" style="4" customWidth="1"/>
    <col min="13564" max="13564" width="11.28515625" style="4" customWidth="1"/>
    <col min="13565" max="13565" width="11.42578125" style="4" customWidth="1"/>
    <col min="13566" max="13566" width="12.140625" style="4" customWidth="1"/>
    <col min="13567" max="13567" width="10.85546875" style="4" bestFit="1" customWidth="1"/>
    <col min="13568" max="13568" width="12.42578125" style="4" bestFit="1" customWidth="1"/>
    <col min="13569" max="13570" width="12.42578125" style="4" customWidth="1"/>
    <col min="13571" max="13806" width="9.140625" style="4"/>
    <col min="13807" max="13807" width="11.140625" style="4" bestFit="1" customWidth="1"/>
    <col min="13808" max="13808" width="14.28515625" style="4" customWidth="1"/>
    <col min="13809" max="13809" width="11.85546875" style="4" customWidth="1"/>
    <col min="13810" max="13810" width="10.140625" style="4" customWidth="1"/>
    <col min="13811" max="13811" width="19" style="4" customWidth="1"/>
    <col min="13812" max="13812" width="11.85546875" style="4" customWidth="1"/>
    <col min="13813" max="13813" width="13.85546875" style="4" customWidth="1"/>
    <col min="13814" max="13814" width="12.28515625" style="4" customWidth="1"/>
    <col min="13815" max="13815" width="12" style="4" customWidth="1"/>
    <col min="13816" max="13816" width="11.42578125" style="4" customWidth="1"/>
    <col min="13817" max="13817" width="11.85546875" style="4" customWidth="1"/>
    <col min="13818" max="13818" width="10.85546875" style="4" customWidth="1"/>
    <col min="13819" max="13819" width="11.85546875" style="4" customWidth="1"/>
    <col min="13820" max="13820" width="11.28515625" style="4" customWidth="1"/>
    <col min="13821" max="13821" width="11.42578125" style="4" customWidth="1"/>
    <col min="13822" max="13822" width="12.140625" style="4" customWidth="1"/>
    <col min="13823" max="13823" width="10.85546875" style="4" bestFit="1" customWidth="1"/>
    <col min="13824" max="13824" width="12.42578125" style="4" bestFit="1" customWidth="1"/>
    <col min="13825" max="13826" width="12.42578125" style="4" customWidth="1"/>
    <col min="13827" max="14062" width="9.140625" style="4"/>
    <col min="14063" max="14063" width="11.140625" style="4" bestFit="1" customWidth="1"/>
    <col min="14064" max="14064" width="14.28515625" style="4" customWidth="1"/>
    <col min="14065" max="14065" width="11.85546875" style="4" customWidth="1"/>
    <col min="14066" max="14066" width="10.140625" style="4" customWidth="1"/>
    <col min="14067" max="14067" width="19" style="4" customWidth="1"/>
    <col min="14068" max="14068" width="11.85546875" style="4" customWidth="1"/>
    <col min="14069" max="14069" width="13.85546875" style="4" customWidth="1"/>
    <col min="14070" max="14070" width="12.28515625" style="4" customWidth="1"/>
    <col min="14071" max="14071" width="12" style="4" customWidth="1"/>
    <col min="14072" max="14072" width="11.42578125" style="4" customWidth="1"/>
    <col min="14073" max="14073" width="11.85546875" style="4" customWidth="1"/>
    <col min="14074" max="14074" width="10.85546875" style="4" customWidth="1"/>
    <col min="14075" max="14075" width="11.85546875" style="4" customWidth="1"/>
    <col min="14076" max="14076" width="11.28515625" style="4" customWidth="1"/>
    <col min="14077" max="14077" width="11.42578125" style="4" customWidth="1"/>
    <col min="14078" max="14078" width="12.140625" style="4" customWidth="1"/>
    <col min="14079" max="14079" width="10.85546875" style="4" bestFit="1" customWidth="1"/>
    <col min="14080" max="14080" width="12.42578125" style="4" bestFit="1" customWidth="1"/>
    <col min="14081" max="14082" width="12.42578125" style="4" customWidth="1"/>
    <col min="14083" max="14318" width="9.140625" style="4"/>
    <col min="14319" max="14319" width="11.140625" style="4" bestFit="1" customWidth="1"/>
    <col min="14320" max="14320" width="14.28515625" style="4" customWidth="1"/>
    <col min="14321" max="14321" width="11.85546875" style="4" customWidth="1"/>
    <col min="14322" max="14322" width="10.140625" style="4" customWidth="1"/>
    <col min="14323" max="14323" width="19" style="4" customWidth="1"/>
    <col min="14324" max="14324" width="11.85546875" style="4" customWidth="1"/>
    <col min="14325" max="14325" width="13.85546875" style="4" customWidth="1"/>
    <col min="14326" max="14326" width="12.28515625" style="4" customWidth="1"/>
    <col min="14327" max="14327" width="12" style="4" customWidth="1"/>
    <col min="14328" max="14328" width="11.42578125" style="4" customWidth="1"/>
    <col min="14329" max="14329" width="11.85546875" style="4" customWidth="1"/>
    <col min="14330" max="14330" width="10.85546875" style="4" customWidth="1"/>
    <col min="14331" max="14331" width="11.85546875" style="4" customWidth="1"/>
    <col min="14332" max="14332" width="11.28515625" style="4" customWidth="1"/>
    <col min="14333" max="14333" width="11.42578125" style="4" customWidth="1"/>
    <col min="14334" max="14334" width="12.140625" style="4" customWidth="1"/>
    <col min="14335" max="14335" width="10.85546875" style="4" bestFit="1" customWidth="1"/>
    <col min="14336" max="14336" width="12.42578125" style="4" bestFit="1" customWidth="1"/>
    <col min="14337" max="14338" width="12.42578125" style="4" customWidth="1"/>
    <col min="14339" max="14574" width="9.140625" style="4"/>
    <col min="14575" max="14575" width="11.140625" style="4" bestFit="1" customWidth="1"/>
    <col min="14576" max="14576" width="14.28515625" style="4" customWidth="1"/>
    <col min="14577" max="14577" width="11.85546875" style="4" customWidth="1"/>
    <col min="14578" max="14578" width="10.140625" style="4" customWidth="1"/>
    <col min="14579" max="14579" width="19" style="4" customWidth="1"/>
    <col min="14580" max="14580" width="11.85546875" style="4" customWidth="1"/>
    <col min="14581" max="14581" width="13.85546875" style="4" customWidth="1"/>
    <col min="14582" max="14582" width="12.28515625" style="4" customWidth="1"/>
    <col min="14583" max="14583" width="12" style="4" customWidth="1"/>
    <col min="14584" max="14584" width="11.42578125" style="4" customWidth="1"/>
    <col min="14585" max="14585" width="11.85546875" style="4" customWidth="1"/>
    <col min="14586" max="14586" width="10.85546875" style="4" customWidth="1"/>
    <col min="14587" max="14587" width="11.85546875" style="4" customWidth="1"/>
    <col min="14588" max="14588" width="11.28515625" style="4" customWidth="1"/>
    <col min="14589" max="14589" width="11.42578125" style="4" customWidth="1"/>
    <col min="14590" max="14590" width="12.140625" style="4" customWidth="1"/>
    <col min="14591" max="14591" width="10.85546875" style="4" bestFit="1" customWidth="1"/>
    <col min="14592" max="14592" width="12.42578125" style="4" bestFit="1" customWidth="1"/>
    <col min="14593" max="14594" width="12.42578125" style="4" customWidth="1"/>
    <col min="14595" max="14830" width="9.140625" style="4"/>
    <col min="14831" max="14831" width="11.140625" style="4" bestFit="1" customWidth="1"/>
    <col min="14832" max="14832" width="14.28515625" style="4" customWidth="1"/>
    <col min="14833" max="14833" width="11.85546875" style="4" customWidth="1"/>
    <col min="14834" max="14834" width="10.140625" style="4" customWidth="1"/>
    <col min="14835" max="14835" width="19" style="4" customWidth="1"/>
    <col min="14836" max="14836" width="11.85546875" style="4" customWidth="1"/>
    <col min="14837" max="14837" width="13.85546875" style="4" customWidth="1"/>
    <col min="14838" max="14838" width="12.28515625" style="4" customWidth="1"/>
    <col min="14839" max="14839" width="12" style="4" customWidth="1"/>
    <col min="14840" max="14840" width="11.42578125" style="4" customWidth="1"/>
    <col min="14841" max="14841" width="11.85546875" style="4" customWidth="1"/>
    <col min="14842" max="14842" width="10.85546875" style="4" customWidth="1"/>
    <col min="14843" max="14843" width="11.85546875" style="4" customWidth="1"/>
    <col min="14844" max="14844" width="11.28515625" style="4" customWidth="1"/>
    <col min="14845" max="14845" width="11.42578125" style="4" customWidth="1"/>
    <col min="14846" max="14846" width="12.140625" style="4" customWidth="1"/>
    <col min="14847" max="14847" width="10.85546875" style="4" bestFit="1" customWidth="1"/>
    <col min="14848" max="14848" width="12.42578125" style="4" bestFit="1" customWidth="1"/>
    <col min="14849" max="14850" width="12.42578125" style="4" customWidth="1"/>
    <col min="14851" max="15086" width="9.140625" style="4"/>
    <col min="15087" max="15087" width="11.140625" style="4" bestFit="1" customWidth="1"/>
    <col min="15088" max="15088" width="14.28515625" style="4" customWidth="1"/>
    <col min="15089" max="15089" width="11.85546875" style="4" customWidth="1"/>
    <col min="15090" max="15090" width="10.140625" style="4" customWidth="1"/>
    <col min="15091" max="15091" width="19" style="4" customWidth="1"/>
    <col min="15092" max="15092" width="11.85546875" style="4" customWidth="1"/>
    <col min="15093" max="15093" width="13.85546875" style="4" customWidth="1"/>
    <col min="15094" max="15094" width="12.28515625" style="4" customWidth="1"/>
    <col min="15095" max="15095" width="12" style="4" customWidth="1"/>
    <col min="15096" max="15096" width="11.42578125" style="4" customWidth="1"/>
    <col min="15097" max="15097" width="11.85546875" style="4" customWidth="1"/>
    <col min="15098" max="15098" width="10.85546875" style="4" customWidth="1"/>
    <col min="15099" max="15099" width="11.85546875" style="4" customWidth="1"/>
    <col min="15100" max="15100" width="11.28515625" style="4" customWidth="1"/>
    <col min="15101" max="15101" width="11.42578125" style="4" customWidth="1"/>
    <col min="15102" max="15102" width="12.140625" style="4" customWidth="1"/>
    <col min="15103" max="15103" width="10.85546875" style="4" bestFit="1" customWidth="1"/>
    <col min="15104" max="15104" width="12.42578125" style="4" bestFit="1" customWidth="1"/>
    <col min="15105" max="15106" width="12.42578125" style="4" customWidth="1"/>
    <col min="15107" max="15342" width="9.140625" style="4"/>
    <col min="15343" max="15343" width="11.140625" style="4" bestFit="1" customWidth="1"/>
    <col min="15344" max="15344" width="14.28515625" style="4" customWidth="1"/>
    <col min="15345" max="15345" width="11.85546875" style="4" customWidth="1"/>
    <col min="15346" max="15346" width="10.140625" style="4" customWidth="1"/>
    <col min="15347" max="15347" width="19" style="4" customWidth="1"/>
    <col min="15348" max="15348" width="11.85546875" style="4" customWidth="1"/>
    <col min="15349" max="15349" width="13.85546875" style="4" customWidth="1"/>
    <col min="15350" max="15350" width="12.28515625" style="4" customWidth="1"/>
    <col min="15351" max="15351" width="12" style="4" customWidth="1"/>
    <col min="15352" max="15352" width="11.42578125" style="4" customWidth="1"/>
    <col min="15353" max="15353" width="11.85546875" style="4" customWidth="1"/>
    <col min="15354" max="15354" width="10.85546875" style="4" customWidth="1"/>
    <col min="15355" max="15355" width="11.85546875" style="4" customWidth="1"/>
    <col min="15356" max="15356" width="11.28515625" style="4" customWidth="1"/>
    <col min="15357" max="15357" width="11.42578125" style="4" customWidth="1"/>
    <col min="15358" max="15358" width="12.140625" style="4" customWidth="1"/>
    <col min="15359" max="15359" width="10.85546875" style="4" bestFit="1" customWidth="1"/>
    <col min="15360" max="15360" width="12.42578125" style="4" bestFit="1" customWidth="1"/>
    <col min="15361" max="15362" width="12.42578125" style="4" customWidth="1"/>
    <col min="15363" max="15598" width="9.140625" style="4"/>
    <col min="15599" max="15599" width="11.140625" style="4" bestFit="1" customWidth="1"/>
    <col min="15600" max="15600" width="14.28515625" style="4" customWidth="1"/>
    <col min="15601" max="15601" width="11.85546875" style="4" customWidth="1"/>
    <col min="15602" max="15602" width="10.140625" style="4" customWidth="1"/>
    <col min="15603" max="15603" width="19" style="4" customWidth="1"/>
    <col min="15604" max="15604" width="11.85546875" style="4" customWidth="1"/>
    <col min="15605" max="15605" width="13.85546875" style="4" customWidth="1"/>
    <col min="15606" max="15606" width="12.28515625" style="4" customWidth="1"/>
    <col min="15607" max="15607" width="12" style="4" customWidth="1"/>
    <col min="15608" max="15608" width="11.42578125" style="4" customWidth="1"/>
    <col min="15609" max="15609" width="11.85546875" style="4" customWidth="1"/>
    <col min="15610" max="15610" width="10.85546875" style="4" customWidth="1"/>
    <col min="15611" max="15611" width="11.85546875" style="4" customWidth="1"/>
    <col min="15612" max="15612" width="11.28515625" style="4" customWidth="1"/>
    <col min="15613" max="15613" width="11.42578125" style="4" customWidth="1"/>
    <col min="15614" max="15614" width="12.140625" style="4" customWidth="1"/>
    <col min="15615" max="15615" width="10.85546875" style="4" bestFit="1" customWidth="1"/>
    <col min="15616" max="15616" width="12.42578125" style="4" bestFit="1" customWidth="1"/>
    <col min="15617" max="15618" width="12.42578125" style="4" customWidth="1"/>
    <col min="15619" max="15854" width="9.140625" style="4"/>
    <col min="15855" max="15855" width="11.140625" style="4" bestFit="1" customWidth="1"/>
    <col min="15856" max="15856" width="14.28515625" style="4" customWidth="1"/>
    <col min="15857" max="15857" width="11.85546875" style="4" customWidth="1"/>
    <col min="15858" max="15858" width="10.140625" style="4" customWidth="1"/>
    <col min="15859" max="15859" width="19" style="4" customWidth="1"/>
    <col min="15860" max="15860" width="11.85546875" style="4" customWidth="1"/>
    <col min="15861" max="15861" width="13.85546875" style="4" customWidth="1"/>
    <col min="15862" max="15862" width="12.28515625" style="4" customWidth="1"/>
    <col min="15863" max="15863" width="12" style="4" customWidth="1"/>
    <col min="15864" max="15864" width="11.42578125" style="4" customWidth="1"/>
    <col min="15865" max="15865" width="11.85546875" style="4" customWidth="1"/>
    <col min="15866" max="15866" width="10.85546875" style="4" customWidth="1"/>
    <col min="15867" max="15867" width="11.85546875" style="4" customWidth="1"/>
    <col min="15868" max="15868" width="11.28515625" style="4" customWidth="1"/>
    <col min="15869" max="15869" width="11.42578125" style="4" customWidth="1"/>
    <col min="15870" max="15870" width="12.140625" style="4" customWidth="1"/>
    <col min="15871" max="15871" width="10.85546875" style="4" bestFit="1" customWidth="1"/>
    <col min="15872" max="15872" width="12.42578125" style="4" bestFit="1" customWidth="1"/>
    <col min="15873" max="15874" width="12.42578125" style="4" customWidth="1"/>
    <col min="15875" max="16110" width="9.140625" style="4"/>
    <col min="16111" max="16111" width="11.140625" style="4" bestFit="1" customWidth="1"/>
    <col min="16112" max="16112" width="14.28515625" style="4" customWidth="1"/>
    <col min="16113" max="16113" width="11.85546875" style="4" customWidth="1"/>
    <col min="16114" max="16114" width="10.140625" style="4" customWidth="1"/>
    <col min="16115" max="16115" width="19" style="4" customWidth="1"/>
    <col min="16116" max="16116" width="11.85546875" style="4" customWidth="1"/>
    <col min="16117" max="16117" width="13.85546875" style="4" customWidth="1"/>
    <col min="16118" max="16118" width="12.28515625" style="4" customWidth="1"/>
    <col min="16119" max="16119" width="12" style="4" customWidth="1"/>
    <col min="16120" max="16120" width="11.42578125" style="4" customWidth="1"/>
    <col min="16121" max="16121" width="11.85546875" style="4" customWidth="1"/>
    <col min="16122" max="16122" width="10.85546875" style="4" customWidth="1"/>
    <col min="16123" max="16123" width="11.85546875" style="4" customWidth="1"/>
    <col min="16124" max="16124" width="11.28515625" style="4" customWidth="1"/>
    <col min="16125" max="16125" width="11.42578125" style="4" customWidth="1"/>
    <col min="16126" max="16126" width="12.140625" style="4" customWidth="1"/>
    <col min="16127" max="16127" width="10.85546875" style="4" bestFit="1" customWidth="1"/>
    <col min="16128" max="16128" width="12.42578125" style="4" bestFit="1" customWidth="1"/>
    <col min="16129" max="16130" width="12.42578125" style="4" customWidth="1"/>
    <col min="16131" max="16384" width="9.140625" style="4"/>
  </cols>
  <sheetData>
    <row r="1" spans="1:12" ht="14.25">
      <c r="A1" s="46" t="s">
        <v>0</v>
      </c>
    </row>
    <row r="2" spans="1:12" ht="14.25">
      <c r="A2" s="46" t="s">
        <v>1</v>
      </c>
      <c r="E2" s="5"/>
      <c r="F2" s="34"/>
    </row>
    <row r="3" spans="1:12" ht="14.25">
      <c r="A3" s="46"/>
    </row>
    <row r="4" spans="1:12">
      <c r="A4" s="5"/>
    </row>
    <row r="5" spans="1:12">
      <c r="A5" s="5"/>
    </row>
    <row r="6" spans="1:12">
      <c r="A6" s="45" t="s">
        <v>2</v>
      </c>
      <c r="B6" s="44"/>
      <c r="C6" s="66"/>
      <c r="D6" s="44"/>
      <c r="E6" s="43"/>
      <c r="F6" s="36" t="s">
        <v>3</v>
      </c>
      <c r="G6" s="36" t="s">
        <v>4</v>
      </c>
    </row>
    <row r="7" spans="1:12">
      <c r="A7" s="42"/>
      <c r="B7" s="37"/>
      <c r="C7" s="41"/>
      <c r="D7" s="40"/>
      <c r="E7" s="39"/>
      <c r="F7" s="38"/>
      <c r="G7" s="38"/>
      <c r="I7" s="52" t="s">
        <v>5</v>
      </c>
      <c r="J7" s="24"/>
      <c r="K7" s="52"/>
      <c r="L7" s="53"/>
    </row>
    <row r="8" spans="1:12">
      <c r="C8" s="5"/>
      <c r="D8" s="36"/>
      <c r="I8" s="52" t="s">
        <v>6</v>
      </c>
      <c r="J8" s="24" t="s">
        <v>7</v>
      </c>
      <c r="K8" s="54" t="s">
        <v>8</v>
      </c>
      <c r="L8" s="55" t="s">
        <v>9</v>
      </c>
    </row>
    <row r="9" spans="1:12">
      <c r="A9" s="4" t="s">
        <v>10</v>
      </c>
      <c r="I9" s="4">
        <v>26.5</v>
      </c>
      <c r="J9" s="4">
        <v>2</v>
      </c>
      <c r="K9" s="51">
        <v>850</v>
      </c>
      <c r="L9" s="51">
        <f>I9*J9*K9</f>
        <v>45050</v>
      </c>
    </row>
    <row r="10" spans="1:12" ht="15">
      <c r="B10" s="52" t="s">
        <v>11</v>
      </c>
      <c r="F10" s="11">
        <f>L9</f>
        <v>45050</v>
      </c>
      <c r="G10" s="11">
        <f>L9</f>
        <v>45050</v>
      </c>
    </row>
    <row r="11" spans="1:12" ht="15">
      <c r="B11" s="52" t="s">
        <v>12</v>
      </c>
      <c r="F11" s="11">
        <f>L13</f>
        <v>26350</v>
      </c>
      <c r="G11" s="11">
        <f>L13</f>
        <v>26350</v>
      </c>
      <c r="I11" s="52" t="s">
        <v>13</v>
      </c>
      <c r="J11" s="24"/>
      <c r="K11" s="52"/>
      <c r="L11" s="53"/>
    </row>
    <row r="12" spans="1:12" ht="15">
      <c r="B12" s="52" t="s">
        <v>14</v>
      </c>
      <c r="F12" s="50">
        <f>L17</f>
        <v>28050</v>
      </c>
      <c r="G12" s="50">
        <f>L17</f>
        <v>28050</v>
      </c>
      <c r="I12" s="52" t="s">
        <v>6</v>
      </c>
      <c r="J12" s="24" t="s">
        <v>7</v>
      </c>
      <c r="K12" s="54" t="s">
        <v>8</v>
      </c>
      <c r="L12" s="55" t="s">
        <v>9</v>
      </c>
    </row>
    <row r="13" spans="1:12">
      <c r="B13" s="24" t="s">
        <v>15</v>
      </c>
      <c r="F13" s="67">
        <f>F24*1.62</f>
        <v>94348.800000000003</v>
      </c>
      <c r="G13" s="67">
        <f>G24*1.62</f>
        <v>94348.800000000003</v>
      </c>
      <c r="I13" s="4">
        <v>15.5</v>
      </c>
      <c r="J13" s="4">
        <v>2</v>
      </c>
      <c r="K13" s="51">
        <v>850</v>
      </c>
      <c r="L13" s="51">
        <f>I13*J13*K13</f>
        <v>26350</v>
      </c>
    </row>
    <row r="14" spans="1:12">
      <c r="B14" s="24"/>
      <c r="F14" s="68"/>
      <c r="G14" s="68"/>
    </row>
    <row r="15" spans="1:12">
      <c r="B15" s="4" t="s">
        <v>16</v>
      </c>
      <c r="F15" s="35">
        <f>SUM(F9:F14)</f>
        <v>193798.8</v>
      </c>
      <c r="G15" s="35">
        <f>SUM(G9:G14)</f>
        <v>193798.8</v>
      </c>
      <c r="I15" s="52" t="s">
        <v>17</v>
      </c>
      <c r="J15" s="24"/>
      <c r="K15" s="52"/>
      <c r="L15" s="53"/>
    </row>
    <row r="16" spans="1:12">
      <c r="A16" s="24"/>
      <c r="B16" s="24" t="s">
        <v>18</v>
      </c>
      <c r="F16" s="35"/>
      <c r="G16" s="35"/>
      <c r="I16" s="52" t="s">
        <v>6</v>
      </c>
      <c r="J16" s="24" t="s">
        <v>7</v>
      </c>
      <c r="K16" s="54" t="s">
        <v>8</v>
      </c>
      <c r="L16" s="55" t="s">
        <v>9</v>
      </c>
    </row>
    <row r="17" spans="1:21">
      <c r="B17" s="24"/>
      <c r="F17" s="56"/>
      <c r="G17" s="56"/>
      <c r="I17" s="4">
        <v>11</v>
      </c>
      <c r="J17" s="4">
        <v>3</v>
      </c>
      <c r="K17" s="51">
        <v>850</v>
      </c>
      <c r="L17" s="51">
        <f>I17*J17*K17</f>
        <v>28050</v>
      </c>
    </row>
    <row r="18" spans="1:21">
      <c r="B18" s="24"/>
      <c r="F18" s="35"/>
      <c r="G18" s="35"/>
    </row>
    <row r="19" spans="1:21" ht="15">
      <c r="A19" s="4" t="s">
        <v>19</v>
      </c>
      <c r="B19" s="26"/>
      <c r="C19" s="26"/>
      <c r="D19" s="33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</row>
    <row r="20" spans="1:21">
      <c r="A20" s="30" t="s">
        <v>20</v>
      </c>
      <c r="I20" s="52" t="s">
        <v>5</v>
      </c>
      <c r="J20" s="24"/>
      <c r="K20" s="52"/>
      <c r="L20" s="53"/>
      <c r="O20" s="52" t="s">
        <v>21</v>
      </c>
      <c r="P20" s="24"/>
      <c r="Q20" s="52"/>
      <c r="R20" s="53"/>
    </row>
    <row r="21" spans="1:21" ht="15">
      <c r="A21" s="30"/>
      <c r="B21" s="52" t="s">
        <v>5</v>
      </c>
      <c r="F21" s="11">
        <f>L22</f>
        <v>14840</v>
      </c>
      <c r="G21" s="11">
        <f>L22</f>
        <v>14840</v>
      </c>
      <c r="I21" s="52" t="s">
        <v>6</v>
      </c>
      <c r="J21" s="24" t="s">
        <v>7</v>
      </c>
      <c r="K21" s="54" t="s">
        <v>8</v>
      </c>
      <c r="L21" s="55" t="s">
        <v>9</v>
      </c>
      <c r="O21" s="52" t="s">
        <v>6</v>
      </c>
      <c r="P21" s="24" t="s">
        <v>7</v>
      </c>
      <c r="Q21" s="54" t="s">
        <v>8</v>
      </c>
      <c r="R21" s="55" t="s">
        <v>9</v>
      </c>
    </row>
    <row r="22" spans="1:21" ht="15">
      <c r="A22" s="30"/>
      <c r="B22" s="52" t="s">
        <v>13</v>
      </c>
      <c r="F22" s="11">
        <f>L26</f>
        <v>8680</v>
      </c>
      <c r="G22" s="11">
        <f>L26</f>
        <v>8680</v>
      </c>
      <c r="I22" s="4">
        <v>26.5</v>
      </c>
      <c r="J22" s="4">
        <v>2</v>
      </c>
      <c r="K22" s="51">
        <v>280</v>
      </c>
      <c r="L22" s="51">
        <f>I22*J22*K22</f>
        <v>14840</v>
      </c>
      <c r="O22" s="4">
        <v>104</v>
      </c>
      <c r="P22" s="4">
        <v>2</v>
      </c>
      <c r="Q22" s="51">
        <f>R25</f>
        <v>280</v>
      </c>
      <c r="R22" s="51">
        <f>O22*P22*Q22</f>
        <v>58240</v>
      </c>
    </row>
    <row r="23" spans="1:21" ht="15">
      <c r="A23" s="30"/>
      <c r="B23" s="52" t="s">
        <v>17</v>
      </c>
      <c r="F23" s="11">
        <f>L30</f>
        <v>9240</v>
      </c>
      <c r="G23" s="11">
        <f>L30</f>
        <v>9240</v>
      </c>
    </row>
    <row r="24" spans="1:21" ht="15">
      <c r="A24" s="30"/>
      <c r="B24" s="52" t="s">
        <v>22</v>
      </c>
      <c r="F24" s="11">
        <f>R22</f>
        <v>58240</v>
      </c>
      <c r="G24" s="11">
        <f>R22</f>
        <v>58240</v>
      </c>
      <c r="H24" s="5"/>
      <c r="I24" s="52" t="s">
        <v>13</v>
      </c>
      <c r="J24" s="24"/>
      <c r="K24" s="52"/>
      <c r="L24" s="53"/>
      <c r="M24" s="24"/>
      <c r="P24" s="24" t="s">
        <v>23</v>
      </c>
      <c r="Q24" s="24" t="s">
        <v>24</v>
      </c>
      <c r="R24" s="54" t="s">
        <v>8</v>
      </c>
    </row>
    <row r="25" spans="1:21">
      <c r="B25" s="4" t="s">
        <v>25</v>
      </c>
      <c r="C25" s="22"/>
      <c r="D25" s="22"/>
      <c r="F25" s="32">
        <f>SUM(F21:F24)</f>
        <v>91000</v>
      </c>
      <c r="G25" s="32">
        <f>SUM(G21:G24)</f>
        <v>91000</v>
      </c>
      <c r="I25" s="52" t="s">
        <v>6</v>
      </c>
      <c r="J25" s="24" t="s">
        <v>7</v>
      </c>
      <c r="K25" s="54" t="s">
        <v>8</v>
      </c>
      <c r="L25" s="55" t="s">
        <v>9</v>
      </c>
      <c r="M25" s="51"/>
      <c r="P25" s="51">
        <v>35</v>
      </c>
      <c r="Q25" s="4">
        <v>8</v>
      </c>
      <c r="R25" s="51">
        <f>Q25*P25</f>
        <v>280</v>
      </c>
    </row>
    <row r="26" spans="1:21">
      <c r="C26" s="22"/>
      <c r="D26" s="22"/>
      <c r="F26" s="7"/>
      <c r="G26" s="7"/>
      <c r="I26" s="4">
        <v>15.5</v>
      </c>
      <c r="J26" s="4">
        <v>2</v>
      </c>
      <c r="K26" s="51">
        <v>280</v>
      </c>
      <c r="L26" s="51">
        <f>I26*J26*K26</f>
        <v>8680</v>
      </c>
    </row>
    <row r="27" spans="1:21">
      <c r="B27" s="4" t="s">
        <v>26</v>
      </c>
      <c r="C27" s="22"/>
      <c r="D27" s="22"/>
      <c r="F27" s="7">
        <f>+F15-F25</f>
        <v>102798.79999999999</v>
      </c>
      <c r="G27" s="7">
        <f>+G15-G25</f>
        <v>102798.79999999999</v>
      </c>
    </row>
    <row r="28" spans="1:21">
      <c r="C28" s="22"/>
      <c r="D28" s="22"/>
      <c r="F28" s="7"/>
      <c r="G28" s="7"/>
      <c r="H28" s="1"/>
      <c r="I28" s="52" t="s">
        <v>17</v>
      </c>
      <c r="J28" s="24"/>
      <c r="K28" s="52"/>
      <c r="L28" s="53"/>
    </row>
    <row r="29" spans="1:21">
      <c r="A29" s="24" t="s">
        <v>27</v>
      </c>
      <c r="I29" s="52" t="s">
        <v>6</v>
      </c>
      <c r="J29" s="24" t="s">
        <v>7</v>
      </c>
      <c r="K29" s="54" t="s">
        <v>8</v>
      </c>
      <c r="L29" s="55" t="s">
        <v>9</v>
      </c>
    </row>
    <row r="30" spans="1:21">
      <c r="C30" s="22"/>
      <c r="D30" s="22"/>
      <c r="F30" s="7"/>
      <c r="G30" s="7"/>
      <c r="H30" s="1"/>
      <c r="I30" s="4">
        <v>11</v>
      </c>
      <c r="J30" s="4">
        <v>3</v>
      </c>
      <c r="K30" s="51">
        <v>280</v>
      </c>
      <c r="L30" s="51">
        <f>I30*J30*K30</f>
        <v>9240</v>
      </c>
    </row>
    <row r="31" spans="1:21" ht="15">
      <c r="B31" s="5" t="s">
        <v>28</v>
      </c>
      <c r="C31" s="31"/>
    </row>
    <row r="32" spans="1:21" ht="15">
      <c r="B32" s="29"/>
      <c r="C32" s="28"/>
      <c r="D32" s="27">
        <f>+E58</f>
        <v>0</v>
      </c>
      <c r="E32" s="26"/>
      <c r="F32" s="25">
        <f t="shared" ref="F32:G36" si="0">+$D32/5</f>
        <v>0</v>
      </c>
      <c r="G32" s="25">
        <f t="shared" si="0"/>
        <v>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ht="15">
      <c r="D33" s="47"/>
      <c r="F33" s="11">
        <f t="shared" si="0"/>
        <v>0</v>
      </c>
      <c r="G33" s="11">
        <f t="shared" si="0"/>
        <v>0</v>
      </c>
    </row>
    <row r="34" spans="1:21" ht="15">
      <c r="D34" s="47"/>
      <c r="F34" s="11">
        <f t="shared" si="0"/>
        <v>0</v>
      </c>
      <c r="G34" s="11">
        <f t="shared" si="0"/>
        <v>0</v>
      </c>
    </row>
    <row r="35" spans="1:21" ht="15">
      <c r="D35" s="47"/>
      <c r="F35" s="11">
        <f t="shared" si="0"/>
        <v>0</v>
      </c>
      <c r="G35" s="11">
        <f t="shared" si="0"/>
        <v>0</v>
      </c>
    </row>
    <row r="36" spans="1:21" ht="15">
      <c r="D36" s="47"/>
      <c r="F36" s="11">
        <f t="shared" si="0"/>
        <v>0</v>
      </c>
      <c r="G36" s="11">
        <f t="shared" si="0"/>
        <v>0</v>
      </c>
    </row>
    <row r="37" spans="1:21">
      <c r="B37" s="5" t="s">
        <v>29</v>
      </c>
      <c r="C37" s="22"/>
      <c r="D37" s="23">
        <f>SUM(D32:D36)</f>
        <v>0</v>
      </c>
      <c r="F37" s="8">
        <f>SUM(F32:F36)</f>
        <v>0</v>
      </c>
      <c r="G37" s="8">
        <f>SUM(G32:G36)</f>
        <v>0</v>
      </c>
    </row>
    <row r="38" spans="1:21" ht="15">
      <c r="A38" s="30"/>
      <c r="B38" s="22"/>
      <c r="C38" s="22"/>
      <c r="D38" s="8"/>
      <c r="F38" s="11"/>
      <c r="G38" s="11"/>
    </row>
    <row r="39" spans="1:21" ht="15">
      <c r="A39" s="30"/>
      <c r="B39" s="22" t="s">
        <v>30</v>
      </c>
      <c r="C39" s="22"/>
      <c r="D39" s="8"/>
      <c r="F39" s="11">
        <f>+$D$37/5</f>
        <v>0</v>
      </c>
      <c r="G39" s="11">
        <f>+$D$37/5</f>
        <v>0</v>
      </c>
    </row>
    <row r="42" spans="1:21">
      <c r="A42" s="4" t="s">
        <v>31</v>
      </c>
      <c r="F42" s="21">
        <f>F27-F39</f>
        <v>102798.79999999999</v>
      </c>
      <c r="G42" s="21">
        <f>G27-G39</f>
        <v>102798.79999999999</v>
      </c>
    </row>
    <row r="43" spans="1:21" ht="15">
      <c r="A43" s="20" t="s">
        <v>32</v>
      </c>
      <c r="F43" s="19">
        <f>SUM(F42/F15)</f>
        <v>0.53044084896294508</v>
      </c>
      <c r="G43" s="19">
        <f>SUM(G42/G15)</f>
        <v>0.53044084896294508</v>
      </c>
    </row>
    <row r="44" spans="1:21" ht="15">
      <c r="A44" s="4" t="s">
        <v>33</v>
      </c>
      <c r="F44" s="19"/>
      <c r="G44" s="19"/>
    </row>
    <row r="45" spans="1:21" ht="15">
      <c r="B45" s="4" t="s">
        <v>34</v>
      </c>
      <c r="E45" s="11"/>
      <c r="F45" s="11">
        <f>$E$45*0.2</f>
        <v>0</v>
      </c>
      <c r="G45" s="11">
        <f>$E$45*0.2</f>
        <v>0</v>
      </c>
      <c r="I45" s="1"/>
      <c r="J45" s="1"/>
    </row>
    <row r="46" spans="1:21" ht="15">
      <c r="A46" s="4" t="s">
        <v>35</v>
      </c>
      <c r="E46" s="11"/>
      <c r="F46" s="11">
        <f>F45+F42</f>
        <v>102798.79999999999</v>
      </c>
      <c r="G46" s="11">
        <f>G45+G42</f>
        <v>102798.79999999999</v>
      </c>
    </row>
    <row r="47" spans="1:21" ht="15.75" thickBot="1">
      <c r="E47" s="11"/>
      <c r="F47" s="11"/>
      <c r="G47" s="11"/>
      <c r="H47" s="63"/>
      <c r="I47" s="64"/>
      <c r="J47" s="65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</row>
    <row r="48" spans="1:21">
      <c r="A48" s="18" t="s">
        <v>36</v>
      </c>
      <c r="B48" s="17" t="s">
        <v>37</v>
      </c>
      <c r="C48" s="17"/>
      <c r="D48" s="17"/>
      <c r="E48" s="48"/>
      <c r="F48" s="48">
        <f>D37+F25</f>
        <v>91000</v>
      </c>
      <c r="G48" s="48">
        <f>E37+G25</f>
        <v>91000</v>
      </c>
      <c r="H48" s="59"/>
      <c r="I48" s="57"/>
      <c r="J48" s="58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</row>
    <row r="49" spans="1:21">
      <c r="A49" s="16"/>
      <c r="B49" s="15" t="s">
        <v>38</v>
      </c>
      <c r="C49" s="15"/>
      <c r="D49" s="15"/>
      <c r="E49" s="49"/>
      <c r="F49" s="49">
        <f>F15</f>
        <v>193798.8</v>
      </c>
      <c r="G49" s="49">
        <f>G15</f>
        <v>193798.8</v>
      </c>
      <c r="H49" s="59"/>
      <c r="I49" s="57"/>
      <c r="J49" s="58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</row>
    <row r="50" spans="1:21" ht="13.5" thickBot="1">
      <c r="A50" s="14"/>
      <c r="B50" s="13" t="s">
        <v>39</v>
      </c>
      <c r="C50" s="13"/>
      <c r="D50" s="13"/>
      <c r="E50" s="12"/>
      <c r="F50" s="12">
        <f>F49-F48</f>
        <v>102798.79999999999</v>
      </c>
      <c r="G50" s="12">
        <f>G49-G48</f>
        <v>102798.79999999999</v>
      </c>
      <c r="H50" s="60"/>
      <c r="I50" s="61"/>
      <c r="J50" s="62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5">
      <c r="E51" s="11"/>
      <c r="F51" s="11"/>
    </row>
    <row r="53" spans="1:21" ht="15">
      <c r="E53" s="10"/>
      <c r="F53" s="9"/>
    </row>
    <row r="55" spans="1:21" ht="15">
      <c r="D55" s="9"/>
      <c r="E55" s="9"/>
    </row>
    <row r="58" spans="1:21">
      <c r="E58" s="8"/>
      <c r="F58" s="7"/>
    </row>
    <row r="59" spans="1:21">
      <c r="F59" s="7"/>
    </row>
    <row r="60" spans="1:21">
      <c r="F60" s="7"/>
    </row>
    <row r="63" spans="1:21">
      <c r="B63" s="6"/>
    </row>
    <row r="74" spans="4:4">
      <c r="D74" s="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E540-1D6A-465B-B972-35FEBDFF88D4}">
  <dimension ref="A1:U73"/>
  <sheetViews>
    <sheetView workbookViewId="0">
      <selection activeCell="H15" sqref="H15"/>
    </sheetView>
  </sheetViews>
  <sheetFormatPr defaultRowHeight="12.75"/>
  <cols>
    <col min="1" max="1" width="11.140625" style="4" bestFit="1" customWidth="1"/>
    <col min="2" max="2" width="14.28515625" style="4" customWidth="1"/>
    <col min="3" max="3" width="11.85546875" style="4" customWidth="1"/>
    <col min="4" max="4" width="10.140625" style="4" customWidth="1"/>
    <col min="5" max="5" width="19" style="4" customWidth="1"/>
    <col min="6" max="6" width="11.85546875" style="4" customWidth="1"/>
    <col min="7" max="7" width="12.42578125" style="4" customWidth="1"/>
    <col min="8" max="8" width="21.5703125" style="4" customWidth="1"/>
    <col min="9" max="9" width="15.140625" style="4" bestFit="1" customWidth="1"/>
    <col min="10" max="10" width="17.140625" style="4" bestFit="1" customWidth="1"/>
    <col min="11" max="11" width="14.28515625" style="4" bestFit="1" customWidth="1"/>
    <col min="12" max="238" width="9.140625" style="4"/>
    <col min="239" max="239" width="11.140625" style="4" bestFit="1" customWidth="1"/>
    <col min="240" max="240" width="14.28515625" style="4" customWidth="1"/>
    <col min="241" max="241" width="11.85546875" style="4" customWidth="1"/>
    <col min="242" max="242" width="10.140625" style="4" customWidth="1"/>
    <col min="243" max="243" width="19" style="4" customWidth="1"/>
    <col min="244" max="244" width="11.85546875" style="4" customWidth="1"/>
    <col min="245" max="245" width="13.85546875" style="4" customWidth="1"/>
    <col min="246" max="246" width="12.28515625" style="4" customWidth="1"/>
    <col min="247" max="247" width="12" style="4" customWidth="1"/>
    <col min="248" max="248" width="11.42578125" style="4" customWidth="1"/>
    <col min="249" max="249" width="11.85546875" style="4" customWidth="1"/>
    <col min="250" max="250" width="10.85546875" style="4" customWidth="1"/>
    <col min="251" max="251" width="11.85546875" style="4" customWidth="1"/>
    <col min="252" max="252" width="11.28515625" style="4" customWidth="1"/>
    <col min="253" max="253" width="11.42578125" style="4" customWidth="1"/>
    <col min="254" max="254" width="12.140625" style="4" customWidth="1"/>
    <col min="255" max="255" width="10.85546875" style="4" bestFit="1" customWidth="1"/>
    <col min="256" max="256" width="12.42578125" style="4" bestFit="1" customWidth="1"/>
    <col min="257" max="258" width="12.42578125" style="4" customWidth="1"/>
    <col min="259" max="494" width="9.140625" style="4"/>
    <col min="495" max="495" width="11.140625" style="4" bestFit="1" customWidth="1"/>
    <col min="496" max="496" width="14.28515625" style="4" customWidth="1"/>
    <col min="497" max="497" width="11.85546875" style="4" customWidth="1"/>
    <col min="498" max="498" width="10.140625" style="4" customWidth="1"/>
    <col min="499" max="499" width="19" style="4" customWidth="1"/>
    <col min="500" max="500" width="11.85546875" style="4" customWidth="1"/>
    <col min="501" max="501" width="13.85546875" style="4" customWidth="1"/>
    <col min="502" max="502" width="12.28515625" style="4" customWidth="1"/>
    <col min="503" max="503" width="12" style="4" customWidth="1"/>
    <col min="504" max="504" width="11.42578125" style="4" customWidth="1"/>
    <col min="505" max="505" width="11.85546875" style="4" customWidth="1"/>
    <col min="506" max="506" width="10.85546875" style="4" customWidth="1"/>
    <col min="507" max="507" width="11.85546875" style="4" customWidth="1"/>
    <col min="508" max="508" width="11.28515625" style="4" customWidth="1"/>
    <col min="509" max="509" width="11.42578125" style="4" customWidth="1"/>
    <col min="510" max="510" width="12.140625" style="4" customWidth="1"/>
    <col min="511" max="511" width="10.85546875" style="4" bestFit="1" customWidth="1"/>
    <col min="512" max="512" width="12.42578125" style="4" bestFit="1" customWidth="1"/>
    <col min="513" max="514" width="12.42578125" style="4" customWidth="1"/>
    <col min="515" max="750" width="9.140625" style="4"/>
    <col min="751" max="751" width="11.140625" style="4" bestFit="1" customWidth="1"/>
    <col min="752" max="752" width="14.28515625" style="4" customWidth="1"/>
    <col min="753" max="753" width="11.85546875" style="4" customWidth="1"/>
    <col min="754" max="754" width="10.140625" style="4" customWidth="1"/>
    <col min="755" max="755" width="19" style="4" customWidth="1"/>
    <col min="756" max="756" width="11.85546875" style="4" customWidth="1"/>
    <col min="757" max="757" width="13.85546875" style="4" customWidth="1"/>
    <col min="758" max="758" width="12.28515625" style="4" customWidth="1"/>
    <col min="759" max="759" width="12" style="4" customWidth="1"/>
    <col min="760" max="760" width="11.42578125" style="4" customWidth="1"/>
    <col min="761" max="761" width="11.85546875" style="4" customWidth="1"/>
    <col min="762" max="762" width="10.85546875" style="4" customWidth="1"/>
    <col min="763" max="763" width="11.85546875" style="4" customWidth="1"/>
    <col min="764" max="764" width="11.28515625" style="4" customWidth="1"/>
    <col min="765" max="765" width="11.42578125" style="4" customWidth="1"/>
    <col min="766" max="766" width="12.140625" style="4" customWidth="1"/>
    <col min="767" max="767" width="10.85546875" style="4" bestFit="1" customWidth="1"/>
    <col min="768" max="768" width="12.42578125" style="4" bestFit="1" customWidth="1"/>
    <col min="769" max="770" width="12.42578125" style="4" customWidth="1"/>
    <col min="771" max="1006" width="9.140625" style="4"/>
    <col min="1007" max="1007" width="11.140625" style="4" bestFit="1" customWidth="1"/>
    <col min="1008" max="1008" width="14.28515625" style="4" customWidth="1"/>
    <col min="1009" max="1009" width="11.85546875" style="4" customWidth="1"/>
    <col min="1010" max="1010" width="10.140625" style="4" customWidth="1"/>
    <col min="1011" max="1011" width="19" style="4" customWidth="1"/>
    <col min="1012" max="1012" width="11.85546875" style="4" customWidth="1"/>
    <col min="1013" max="1013" width="13.85546875" style="4" customWidth="1"/>
    <col min="1014" max="1014" width="12.28515625" style="4" customWidth="1"/>
    <col min="1015" max="1015" width="12" style="4" customWidth="1"/>
    <col min="1016" max="1016" width="11.42578125" style="4" customWidth="1"/>
    <col min="1017" max="1017" width="11.85546875" style="4" customWidth="1"/>
    <col min="1018" max="1018" width="10.85546875" style="4" customWidth="1"/>
    <col min="1019" max="1019" width="11.85546875" style="4" customWidth="1"/>
    <col min="1020" max="1020" width="11.28515625" style="4" customWidth="1"/>
    <col min="1021" max="1021" width="11.42578125" style="4" customWidth="1"/>
    <col min="1022" max="1022" width="12.140625" style="4" customWidth="1"/>
    <col min="1023" max="1023" width="10.85546875" style="4" bestFit="1" customWidth="1"/>
    <col min="1024" max="1024" width="12.42578125" style="4" bestFit="1" customWidth="1"/>
    <col min="1025" max="1026" width="12.42578125" style="4" customWidth="1"/>
    <col min="1027" max="1262" width="9.140625" style="4"/>
    <col min="1263" max="1263" width="11.140625" style="4" bestFit="1" customWidth="1"/>
    <col min="1264" max="1264" width="14.28515625" style="4" customWidth="1"/>
    <col min="1265" max="1265" width="11.85546875" style="4" customWidth="1"/>
    <col min="1266" max="1266" width="10.140625" style="4" customWidth="1"/>
    <col min="1267" max="1267" width="19" style="4" customWidth="1"/>
    <col min="1268" max="1268" width="11.85546875" style="4" customWidth="1"/>
    <col min="1269" max="1269" width="13.85546875" style="4" customWidth="1"/>
    <col min="1270" max="1270" width="12.28515625" style="4" customWidth="1"/>
    <col min="1271" max="1271" width="12" style="4" customWidth="1"/>
    <col min="1272" max="1272" width="11.42578125" style="4" customWidth="1"/>
    <col min="1273" max="1273" width="11.85546875" style="4" customWidth="1"/>
    <col min="1274" max="1274" width="10.85546875" style="4" customWidth="1"/>
    <col min="1275" max="1275" width="11.85546875" style="4" customWidth="1"/>
    <col min="1276" max="1276" width="11.28515625" style="4" customWidth="1"/>
    <col min="1277" max="1277" width="11.42578125" style="4" customWidth="1"/>
    <col min="1278" max="1278" width="12.140625" style="4" customWidth="1"/>
    <col min="1279" max="1279" width="10.85546875" style="4" bestFit="1" customWidth="1"/>
    <col min="1280" max="1280" width="12.42578125" style="4" bestFit="1" customWidth="1"/>
    <col min="1281" max="1282" width="12.42578125" style="4" customWidth="1"/>
    <col min="1283" max="1518" width="9.140625" style="4"/>
    <col min="1519" max="1519" width="11.140625" style="4" bestFit="1" customWidth="1"/>
    <col min="1520" max="1520" width="14.28515625" style="4" customWidth="1"/>
    <col min="1521" max="1521" width="11.85546875" style="4" customWidth="1"/>
    <col min="1522" max="1522" width="10.140625" style="4" customWidth="1"/>
    <col min="1523" max="1523" width="19" style="4" customWidth="1"/>
    <col min="1524" max="1524" width="11.85546875" style="4" customWidth="1"/>
    <col min="1525" max="1525" width="13.85546875" style="4" customWidth="1"/>
    <col min="1526" max="1526" width="12.28515625" style="4" customWidth="1"/>
    <col min="1527" max="1527" width="12" style="4" customWidth="1"/>
    <col min="1528" max="1528" width="11.42578125" style="4" customWidth="1"/>
    <col min="1529" max="1529" width="11.85546875" style="4" customWidth="1"/>
    <col min="1530" max="1530" width="10.85546875" style="4" customWidth="1"/>
    <col min="1531" max="1531" width="11.85546875" style="4" customWidth="1"/>
    <col min="1532" max="1532" width="11.28515625" style="4" customWidth="1"/>
    <col min="1533" max="1533" width="11.42578125" style="4" customWidth="1"/>
    <col min="1534" max="1534" width="12.140625" style="4" customWidth="1"/>
    <col min="1535" max="1535" width="10.85546875" style="4" bestFit="1" customWidth="1"/>
    <col min="1536" max="1536" width="12.42578125" style="4" bestFit="1" customWidth="1"/>
    <col min="1537" max="1538" width="12.42578125" style="4" customWidth="1"/>
    <col min="1539" max="1774" width="9.140625" style="4"/>
    <col min="1775" max="1775" width="11.140625" style="4" bestFit="1" customWidth="1"/>
    <col min="1776" max="1776" width="14.28515625" style="4" customWidth="1"/>
    <col min="1777" max="1777" width="11.85546875" style="4" customWidth="1"/>
    <col min="1778" max="1778" width="10.140625" style="4" customWidth="1"/>
    <col min="1779" max="1779" width="19" style="4" customWidth="1"/>
    <col min="1780" max="1780" width="11.85546875" style="4" customWidth="1"/>
    <col min="1781" max="1781" width="13.85546875" style="4" customWidth="1"/>
    <col min="1782" max="1782" width="12.28515625" style="4" customWidth="1"/>
    <col min="1783" max="1783" width="12" style="4" customWidth="1"/>
    <col min="1784" max="1784" width="11.42578125" style="4" customWidth="1"/>
    <col min="1785" max="1785" width="11.85546875" style="4" customWidth="1"/>
    <col min="1786" max="1786" width="10.85546875" style="4" customWidth="1"/>
    <col min="1787" max="1787" width="11.85546875" style="4" customWidth="1"/>
    <col min="1788" max="1788" width="11.28515625" style="4" customWidth="1"/>
    <col min="1789" max="1789" width="11.42578125" style="4" customWidth="1"/>
    <col min="1790" max="1790" width="12.140625" style="4" customWidth="1"/>
    <col min="1791" max="1791" width="10.85546875" style="4" bestFit="1" customWidth="1"/>
    <col min="1792" max="1792" width="12.42578125" style="4" bestFit="1" customWidth="1"/>
    <col min="1793" max="1794" width="12.42578125" style="4" customWidth="1"/>
    <col min="1795" max="2030" width="9.140625" style="4"/>
    <col min="2031" max="2031" width="11.140625" style="4" bestFit="1" customWidth="1"/>
    <col min="2032" max="2032" width="14.28515625" style="4" customWidth="1"/>
    <col min="2033" max="2033" width="11.85546875" style="4" customWidth="1"/>
    <col min="2034" max="2034" width="10.140625" style="4" customWidth="1"/>
    <col min="2035" max="2035" width="19" style="4" customWidth="1"/>
    <col min="2036" max="2036" width="11.85546875" style="4" customWidth="1"/>
    <col min="2037" max="2037" width="13.85546875" style="4" customWidth="1"/>
    <col min="2038" max="2038" width="12.28515625" style="4" customWidth="1"/>
    <col min="2039" max="2039" width="12" style="4" customWidth="1"/>
    <col min="2040" max="2040" width="11.42578125" style="4" customWidth="1"/>
    <col min="2041" max="2041" width="11.85546875" style="4" customWidth="1"/>
    <col min="2042" max="2042" width="10.85546875" style="4" customWidth="1"/>
    <col min="2043" max="2043" width="11.85546875" style="4" customWidth="1"/>
    <col min="2044" max="2044" width="11.28515625" style="4" customWidth="1"/>
    <col min="2045" max="2045" width="11.42578125" style="4" customWidth="1"/>
    <col min="2046" max="2046" width="12.140625" style="4" customWidth="1"/>
    <col min="2047" max="2047" width="10.85546875" style="4" bestFit="1" customWidth="1"/>
    <col min="2048" max="2048" width="12.42578125" style="4" bestFit="1" customWidth="1"/>
    <col min="2049" max="2050" width="12.42578125" style="4" customWidth="1"/>
    <col min="2051" max="2286" width="9.140625" style="4"/>
    <col min="2287" max="2287" width="11.140625" style="4" bestFit="1" customWidth="1"/>
    <col min="2288" max="2288" width="14.28515625" style="4" customWidth="1"/>
    <col min="2289" max="2289" width="11.85546875" style="4" customWidth="1"/>
    <col min="2290" max="2290" width="10.140625" style="4" customWidth="1"/>
    <col min="2291" max="2291" width="19" style="4" customWidth="1"/>
    <col min="2292" max="2292" width="11.85546875" style="4" customWidth="1"/>
    <col min="2293" max="2293" width="13.85546875" style="4" customWidth="1"/>
    <col min="2294" max="2294" width="12.28515625" style="4" customWidth="1"/>
    <col min="2295" max="2295" width="12" style="4" customWidth="1"/>
    <col min="2296" max="2296" width="11.42578125" style="4" customWidth="1"/>
    <col min="2297" max="2297" width="11.85546875" style="4" customWidth="1"/>
    <col min="2298" max="2298" width="10.85546875" style="4" customWidth="1"/>
    <col min="2299" max="2299" width="11.85546875" style="4" customWidth="1"/>
    <col min="2300" max="2300" width="11.28515625" style="4" customWidth="1"/>
    <col min="2301" max="2301" width="11.42578125" style="4" customWidth="1"/>
    <col min="2302" max="2302" width="12.140625" style="4" customWidth="1"/>
    <col min="2303" max="2303" width="10.85546875" style="4" bestFit="1" customWidth="1"/>
    <col min="2304" max="2304" width="12.42578125" style="4" bestFit="1" customWidth="1"/>
    <col min="2305" max="2306" width="12.42578125" style="4" customWidth="1"/>
    <col min="2307" max="2542" width="9.140625" style="4"/>
    <col min="2543" max="2543" width="11.140625" style="4" bestFit="1" customWidth="1"/>
    <col min="2544" max="2544" width="14.28515625" style="4" customWidth="1"/>
    <col min="2545" max="2545" width="11.85546875" style="4" customWidth="1"/>
    <col min="2546" max="2546" width="10.140625" style="4" customWidth="1"/>
    <col min="2547" max="2547" width="19" style="4" customWidth="1"/>
    <col min="2548" max="2548" width="11.85546875" style="4" customWidth="1"/>
    <col min="2549" max="2549" width="13.85546875" style="4" customWidth="1"/>
    <col min="2550" max="2550" width="12.28515625" style="4" customWidth="1"/>
    <col min="2551" max="2551" width="12" style="4" customWidth="1"/>
    <col min="2552" max="2552" width="11.42578125" style="4" customWidth="1"/>
    <col min="2553" max="2553" width="11.85546875" style="4" customWidth="1"/>
    <col min="2554" max="2554" width="10.85546875" style="4" customWidth="1"/>
    <col min="2555" max="2555" width="11.85546875" style="4" customWidth="1"/>
    <col min="2556" max="2556" width="11.28515625" style="4" customWidth="1"/>
    <col min="2557" max="2557" width="11.42578125" style="4" customWidth="1"/>
    <col min="2558" max="2558" width="12.140625" style="4" customWidth="1"/>
    <col min="2559" max="2559" width="10.85546875" style="4" bestFit="1" customWidth="1"/>
    <col min="2560" max="2560" width="12.42578125" style="4" bestFit="1" customWidth="1"/>
    <col min="2561" max="2562" width="12.42578125" style="4" customWidth="1"/>
    <col min="2563" max="2798" width="9.140625" style="4"/>
    <col min="2799" max="2799" width="11.140625" style="4" bestFit="1" customWidth="1"/>
    <col min="2800" max="2800" width="14.28515625" style="4" customWidth="1"/>
    <col min="2801" max="2801" width="11.85546875" style="4" customWidth="1"/>
    <col min="2802" max="2802" width="10.140625" style="4" customWidth="1"/>
    <col min="2803" max="2803" width="19" style="4" customWidth="1"/>
    <col min="2804" max="2804" width="11.85546875" style="4" customWidth="1"/>
    <col min="2805" max="2805" width="13.85546875" style="4" customWidth="1"/>
    <col min="2806" max="2806" width="12.28515625" style="4" customWidth="1"/>
    <col min="2807" max="2807" width="12" style="4" customWidth="1"/>
    <col min="2808" max="2808" width="11.42578125" style="4" customWidth="1"/>
    <col min="2809" max="2809" width="11.85546875" style="4" customWidth="1"/>
    <col min="2810" max="2810" width="10.85546875" style="4" customWidth="1"/>
    <col min="2811" max="2811" width="11.85546875" style="4" customWidth="1"/>
    <col min="2812" max="2812" width="11.28515625" style="4" customWidth="1"/>
    <col min="2813" max="2813" width="11.42578125" style="4" customWidth="1"/>
    <col min="2814" max="2814" width="12.140625" style="4" customWidth="1"/>
    <col min="2815" max="2815" width="10.85546875" style="4" bestFit="1" customWidth="1"/>
    <col min="2816" max="2816" width="12.42578125" style="4" bestFit="1" customWidth="1"/>
    <col min="2817" max="2818" width="12.42578125" style="4" customWidth="1"/>
    <col min="2819" max="3054" width="9.140625" style="4"/>
    <col min="3055" max="3055" width="11.140625" style="4" bestFit="1" customWidth="1"/>
    <col min="3056" max="3056" width="14.28515625" style="4" customWidth="1"/>
    <col min="3057" max="3057" width="11.85546875" style="4" customWidth="1"/>
    <col min="3058" max="3058" width="10.140625" style="4" customWidth="1"/>
    <col min="3059" max="3059" width="19" style="4" customWidth="1"/>
    <col min="3060" max="3060" width="11.85546875" style="4" customWidth="1"/>
    <col min="3061" max="3061" width="13.85546875" style="4" customWidth="1"/>
    <col min="3062" max="3062" width="12.28515625" style="4" customWidth="1"/>
    <col min="3063" max="3063" width="12" style="4" customWidth="1"/>
    <col min="3064" max="3064" width="11.42578125" style="4" customWidth="1"/>
    <col min="3065" max="3065" width="11.85546875" style="4" customWidth="1"/>
    <col min="3066" max="3066" width="10.85546875" style="4" customWidth="1"/>
    <col min="3067" max="3067" width="11.85546875" style="4" customWidth="1"/>
    <col min="3068" max="3068" width="11.28515625" style="4" customWidth="1"/>
    <col min="3069" max="3069" width="11.42578125" style="4" customWidth="1"/>
    <col min="3070" max="3070" width="12.140625" style="4" customWidth="1"/>
    <col min="3071" max="3071" width="10.85546875" style="4" bestFit="1" customWidth="1"/>
    <col min="3072" max="3072" width="12.42578125" style="4" bestFit="1" customWidth="1"/>
    <col min="3073" max="3074" width="12.42578125" style="4" customWidth="1"/>
    <col min="3075" max="3310" width="9.140625" style="4"/>
    <col min="3311" max="3311" width="11.140625" style="4" bestFit="1" customWidth="1"/>
    <col min="3312" max="3312" width="14.28515625" style="4" customWidth="1"/>
    <col min="3313" max="3313" width="11.85546875" style="4" customWidth="1"/>
    <col min="3314" max="3314" width="10.140625" style="4" customWidth="1"/>
    <col min="3315" max="3315" width="19" style="4" customWidth="1"/>
    <col min="3316" max="3316" width="11.85546875" style="4" customWidth="1"/>
    <col min="3317" max="3317" width="13.85546875" style="4" customWidth="1"/>
    <col min="3318" max="3318" width="12.28515625" style="4" customWidth="1"/>
    <col min="3319" max="3319" width="12" style="4" customWidth="1"/>
    <col min="3320" max="3320" width="11.42578125" style="4" customWidth="1"/>
    <col min="3321" max="3321" width="11.85546875" style="4" customWidth="1"/>
    <col min="3322" max="3322" width="10.85546875" style="4" customWidth="1"/>
    <col min="3323" max="3323" width="11.85546875" style="4" customWidth="1"/>
    <col min="3324" max="3324" width="11.28515625" style="4" customWidth="1"/>
    <col min="3325" max="3325" width="11.42578125" style="4" customWidth="1"/>
    <col min="3326" max="3326" width="12.140625" style="4" customWidth="1"/>
    <col min="3327" max="3327" width="10.85546875" style="4" bestFit="1" customWidth="1"/>
    <col min="3328" max="3328" width="12.42578125" style="4" bestFit="1" customWidth="1"/>
    <col min="3329" max="3330" width="12.42578125" style="4" customWidth="1"/>
    <col min="3331" max="3566" width="9.140625" style="4"/>
    <col min="3567" max="3567" width="11.140625" style="4" bestFit="1" customWidth="1"/>
    <col min="3568" max="3568" width="14.28515625" style="4" customWidth="1"/>
    <col min="3569" max="3569" width="11.85546875" style="4" customWidth="1"/>
    <col min="3570" max="3570" width="10.140625" style="4" customWidth="1"/>
    <col min="3571" max="3571" width="19" style="4" customWidth="1"/>
    <col min="3572" max="3572" width="11.85546875" style="4" customWidth="1"/>
    <col min="3573" max="3573" width="13.85546875" style="4" customWidth="1"/>
    <col min="3574" max="3574" width="12.28515625" style="4" customWidth="1"/>
    <col min="3575" max="3575" width="12" style="4" customWidth="1"/>
    <col min="3576" max="3576" width="11.42578125" style="4" customWidth="1"/>
    <col min="3577" max="3577" width="11.85546875" style="4" customWidth="1"/>
    <col min="3578" max="3578" width="10.85546875" style="4" customWidth="1"/>
    <col min="3579" max="3579" width="11.85546875" style="4" customWidth="1"/>
    <col min="3580" max="3580" width="11.28515625" style="4" customWidth="1"/>
    <col min="3581" max="3581" width="11.42578125" style="4" customWidth="1"/>
    <col min="3582" max="3582" width="12.140625" style="4" customWidth="1"/>
    <col min="3583" max="3583" width="10.85546875" style="4" bestFit="1" customWidth="1"/>
    <col min="3584" max="3584" width="12.42578125" style="4" bestFit="1" customWidth="1"/>
    <col min="3585" max="3586" width="12.42578125" style="4" customWidth="1"/>
    <col min="3587" max="3822" width="9.140625" style="4"/>
    <col min="3823" max="3823" width="11.140625" style="4" bestFit="1" customWidth="1"/>
    <col min="3824" max="3824" width="14.28515625" style="4" customWidth="1"/>
    <col min="3825" max="3825" width="11.85546875" style="4" customWidth="1"/>
    <col min="3826" max="3826" width="10.140625" style="4" customWidth="1"/>
    <col min="3827" max="3827" width="19" style="4" customWidth="1"/>
    <col min="3828" max="3828" width="11.85546875" style="4" customWidth="1"/>
    <col min="3829" max="3829" width="13.85546875" style="4" customWidth="1"/>
    <col min="3830" max="3830" width="12.28515625" style="4" customWidth="1"/>
    <col min="3831" max="3831" width="12" style="4" customWidth="1"/>
    <col min="3832" max="3832" width="11.42578125" style="4" customWidth="1"/>
    <col min="3833" max="3833" width="11.85546875" style="4" customWidth="1"/>
    <col min="3834" max="3834" width="10.85546875" style="4" customWidth="1"/>
    <col min="3835" max="3835" width="11.85546875" style="4" customWidth="1"/>
    <col min="3836" max="3836" width="11.28515625" style="4" customWidth="1"/>
    <col min="3837" max="3837" width="11.42578125" style="4" customWidth="1"/>
    <col min="3838" max="3838" width="12.140625" style="4" customWidth="1"/>
    <col min="3839" max="3839" width="10.85546875" style="4" bestFit="1" customWidth="1"/>
    <col min="3840" max="3840" width="12.42578125" style="4" bestFit="1" customWidth="1"/>
    <col min="3841" max="3842" width="12.42578125" style="4" customWidth="1"/>
    <col min="3843" max="4078" width="9.140625" style="4"/>
    <col min="4079" max="4079" width="11.140625" style="4" bestFit="1" customWidth="1"/>
    <col min="4080" max="4080" width="14.28515625" style="4" customWidth="1"/>
    <col min="4081" max="4081" width="11.85546875" style="4" customWidth="1"/>
    <col min="4082" max="4082" width="10.140625" style="4" customWidth="1"/>
    <col min="4083" max="4083" width="19" style="4" customWidth="1"/>
    <col min="4084" max="4084" width="11.85546875" style="4" customWidth="1"/>
    <col min="4085" max="4085" width="13.85546875" style="4" customWidth="1"/>
    <col min="4086" max="4086" width="12.28515625" style="4" customWidth="1"/>
    <col min="4087" max="4087" width="12" style="4" customWidth="1"/>
    <col min="4088" max="4088" width="11.42578125" style="4" customWidth="1"/>
    <col min="4089" max="4089" width="11.85546875" style="4" customWidth="1"/>
    <col min="4090" max="4090" width="10.85546875" style="4" customWidth="1"/>
    <col min="4091" max="4091" width="11.85546875" style="4" customWidth="1"/>
    <col min="4092" max="4092" width="11.28515625" style="4" customWidth="1"/>
    <col min="4093" max="4093" width="11.42578125" style="4" customWidth="1"/>
    <col min="4094" max="4094" width="12.140625" style="4" customWidth="1"/>
    <col min="4095" max="4095" width="10.85546875" style="4" bestFit="1" customWidth="1"/>
    <col min="4096" max="4096" width="12.42578125" style="4" bestFit="1" customWidth="1"/>
    <col min="4097" max="4098" width="12.42578125" style="4" customWidth="1"/>
    <col min="4099" max="4334" width="9.140625" style="4"/>
    <col min="4335" max="4335" width="11.140625" style="4" bestFit="1" customWidth="1"/>
    <col min="4336" max="4336" width="14.28515625" style="4" customWidth="1"/>
    <col min="4337" max="4337" width="11.85546875" style="4" customWidth="1"/>
    <col min="4338" max="4338" width="10.140625" style="4" customWidth="1"/>
    <col min="4339" max="4339" width="19" style="4" customWidth="1"/>
    <col min="4340" max="4340" width="11.85546875" style="4" customWidth="1"/>
    <col min="4341" max="4341" width="13.85546875" style="4" customWidth="1"/>
    <col min="4342" max="4342" width="12.28515625" style="4" customWidth="1"/>
    <col min="4343" max="4343" width="12" style="4" customWidth="1"/>
    <col min="4344" max="4344" width="11.42578125" style="4" customWidth="1"/>
    <col min="4345" max="4345" width="11.85546875" style="4" customWidth="1"/>
    <col min="4346" max="4346" width="10.85546875" style="4" customWidth="1"/>
    <col min="4347" max="4347" width="11.85546875" style="4" customWidth="1"/>
    <col min="4348" max="4348" width="11.28515625" style="4" customWidth="1"/>
    <col min="4349" max="4349" width="11.42578125" style="4" customWidth="1"/>
    <col min="4350" max="4350" width="12.140625" style="4" customWidth="1"/>
    <col min="4351" max="4351" width="10.85546875" style="4" bestFit="1" customWidth="1"/>
    <col min="4352" max="4352" width="12.42578125" style="4" bestFit="1" customWidth="1"/>
    <col min="4353" max="4354" width="12.42578125" style="4" customWidth="1"/>
    <col min="4355" max="4590" width="9.140625" style="4"/>
    <col min="4591" max="4591" width="11.140625" style="4" bestFit="1" customWidth="1"/>
    <col min="4592" max="4592" width="14.28515625" style="4" customWidth="1"/>
    <col min="4593" max="4593" width="11.85546875" style="4" customWidth="1"/>
    <col min="4594" max="4594" width="10.140625" style="4" customWidth="1"/>
    <col min="4595" max="4595" width="19" style="4" customWidth="1"/>
    <col min="4596" max="4596" width="11.85546875" style="4" customWidth="1"/>
    <col min="4597" max="4597" width="13.85546875" style="4" customWidth="1"/>
    <col min="4598" max="4598" width="12.28515625" style="4" customWidth="1"/>
    <col min="4599" max="4599" width="12" style="4" customWidth="1"/>
    <col min="4600" max="4600" width="11.42578125" style="4" customWidth="1"/>
    <col min="4601" max="4601" width="11.85546875" style="4" customWidth="1"/>
    <col min="4602" max="4602" width="10.85546875" style="4" customWidth="1"/>
    <col min="4603" max="4603" width="11.85546875" style="4" customWidth="1"/>
    <col min="4604" max="4604" width="11.28515625" style="4" customWidth="1"/>
    <col min="4605" max="4605" width="11.42578125" style="4" customWidth="1"/>
    <col min="4606" max="4606" width="12.140625" style="4" customWidth="1"/>
    <col min="4607" max="4607" width="10.85546875" style="4" bestFit="1" customWidth="1"/>
    <col min="4608" max="4608" width="12.42578125" style="4" bestFit="1" customWidth="1"/>
    <col min="4609" max="4610" width="12.42578125" style="4" customWidth="1"/>
    <col min="4611" max="4846" width="9.140625" style="4"/>
    <col min="4847" max="4847" width="11.140625" style="4" bestFit="1" customWidth="1"/>
    <col min="4848" max="4848" width="14.28515625" style="4" customWidth="1"/>
    <col min="4849" max="4849" width="11.85546875" style="4" customWidth="1"/>
    <col min="4850" max="4850" width="10.140625" style="4" customWidth="1"/>
    <col min="4851" max="4851" width="19" style="4" customWidth="1"/>
    <col min="4852" max="4852" width="11.85546875" style="4" customWidth="1"/>
    <col min="4853" max="4853" width="13.85546875" style="4" customWidth="1"/>
    <col min="4854" max="4854" width="12.28515625" style="4" customWidth="1"/>
    <col min="4855" max="4855" width="12" style="4" customWidth="1"/>
    <col min="4856" max="4856" width="11.42578125" style="4" customWidth="1"/>
    <col min="4857" max="4857" width="11.85546875" style="4" customWidth="1"/>
    <col min="4858" max="4858" width="10.85546875" style="4" customWidth="1"/>
    <col min="4859" max="4859" width="11.85546875" style="4" customWidth="1"/>
    <col min="4860" max="4860" width="11.28515625" style="4" customWidth="1"/>
    <col min="4861" max="4861" width="11.42578125" style="4" customWidth="1"/>
    <col min="4862" max="4862" width="12.140625" style="4" customWidth="1"/>
    <col min="4863" max="4863" width="10.85546875" style="4" bestFit="1" customWidth="1"/>
    <col min="4864" max="4864" width="12.42578125" style="4" bestFit="1" customWidth="1"/>
    <col min="4865" max="4866" width="12.42578125" style="4" customWidth="1"/>
    <col min="4867" max="5102" width="9.140625" style="4"/>
    <col min="5103" max="5103" width="11.140625" style="4" bestFit="1" customWidth="1"/>
    <col min="5104" max="5104" width="14.28515625" style="4" customWidth="1"/>
    <col min="5105" max="5105" width="11.85546875" style="4" customWidth="1"/>
    <col min="5106" max="5106" width="10.140625" style="4" customWidth="1"/>
    <col min="5107" max="5107" width="19" style="4" customWidth="1"/>
    <col min="5108" max="5108" width="11.85546875" style="4" customWidth="1"/>
    <col min="5109" max="5109" width="13.85546875" style="4" customWidth="1"/>
    <col min="5110" max="5110" width="12.28515625" style="4" customWidth="1"/>
    <col min="5111" max="5111" width="12" style="4" customWidth="1"/>
    <col min="5112" max="5112" width="11.42578125" style="4" customWidth="1"/>
    <col min="5113" max="5113" width="11.85546875" style="4" customWidth="1"/>
    <col min="5114" max="5114" width="10.85546875" style="4" customWidth="1"/>
    <col min="5115" max="5115" width="11.85546875" style="4" customWidth="1"/>
    <col min="5116" max="5116" width="11.28515625" style="4" customWidth="1"/>
    <col min="5117" max="5117" width="11.42578125" style="4" customWidth="1"/>
    <col min="5118" max="5118" width="12.140625" style="4" customWidth="1"/>
    <col min="5119" max="5119" width="10.85546875" style="4" bestFit="1" customWidth="1"/>
    <col min="5120" max="5120" width="12.42578125" style="4" bestFit="1" customWidth="1"/>
    <col min="5121" max="5122" width="12.42578125" style="4" customWidth="1"/>
    <col min="5123" max="5358" width="9.140625" style="4"/>
    <col min="5359" max="5359" width="11.140625" style="4" bestFit="1" customWidth="1"/>
    <col min="5360" max="5360" width="14.28515625" style="4" customWidth="1"/>
    <col min="5361" max="5361" width="11.85546875" style="4" customWidth="1"/>
    <col min="5362" max="5362" width="10.140625" style="4" customWidth="1"/>
    <col min="5363" max="5363" width="19" style="4" customWidth="1"/>
    <col min="5364" max="5364" width="11.85546875" style="4" customWidth="1"/>
    <col min="5365" max="5365" width="13.85546875" style="4" customWidth="1"/>
    <col min="5366" max="5366" width="12.28515625" style="4" customWidth="1"/>
    <col min="5367" max="5367" width="12" style="4" customWidth="1"/>
    <col min="5368" max="5368" width="11.42578125" style="4" customWidth="1"/>
    <col min="5369" max="5369" width="11.85546875" style="4" customWidth="1"/>
    <col min="5370" max="5370" width="10.85546875" style="4" customWidth="1"/>
    <col min="5371" max="5371" width="11.85546875" style="4" customWidth="1"/>
    <col min="5372" max="5372" width="11.28515625" style="4" customWidth="1"/>
    <col min="5373" max="5373" width="11.42578125" style="4" customWidth="1"/>
    <col min="5374" max="5374" width="12.140625" style="4" customWidth="1"/>
    <col min="5375" max="5375" width="10.85546875" style="4" bestFit="1" customWidth="1"/>
    <col min="5376" max="5376" width="12.42578125" style="4" bestFit="1" customWidth="1"/>
    <col min="5377" max="5378" width="12.42578125" style="4" customWidth="1"/>
    <col min="5379" max="5614" width="9.140625" style="4"/>
    <col min="5615" max="5615" width="11.140625" style="4" bestFit="1" customWidth="1"/>
    <col min="5616" max="5616" width="14.28515625" style="4" customWidth="1"/>
    <col min="5617" max="5617" width="11.85546875" style="4" customWidth="1"/>
    <col min="5618" max="5618" width="10.140625" style="4" customWidth="1"/>
    <col min="5619" max="5619" width="19" style="4" customWidth="1"/>
    <col min="5620" max="5620" width="11.85546875" style="4" customWidth="1"/>
    <col min="5621" max="5621" width="13.85546875" style="4" customWidth="1"/>
    <col min="5622" max="5622" width="12.28515625" style="4" customWidth="1"/>
    <col min="5623" max="5623" width="12" style="4" customWidth="1"/>
    <col min="5624" max="5624" width="11.42578125" style="4" customWidth="1"/>
    <col min="5625" max="5625" width="11.85546875" style="4" customWidth="1"/>
    <col min="5626" max="5626" width="10.85546875" style="4" customWidth="1"/>
    <col min="5627" max="5627" width="11.85546875" style="4" customWidth="1"/>
    <col min="5628" max="5628" width="11.28515625" style="4" customWidth="1"/>
    <col min="5629" max="5629" width="11.42578125" style="4" customWidth="1"/>
    <col min="5630" max="5630" width="12.140625" style="4" customWidth="1"/>
    <col min="5631" max="5631" width="10.85546875" style="4" bestFit="1" customWidth="1"/>
    <col min="5632" max="5632" width="12.42578125" style="4" bestFit="1" customWidth="1"/>
    <col min="5633" max="5634" width="12.42578125" style="4" customWidth="1"/>
    <col min="5635" max="5870" width="9.140625" style="4"/>
    <col min="5871" max="5871" width="11.140625" style="4" bestFit="1" customWidth="1"/>
    <col min="5872" max="5872" width="14.28515625" style="4" customWidth="1"/>
    <col min="5873" max="5873" width="11.85546875" style="4" customWidth="1"/>
    <col min="5874" max="5874" width="10.140625" style="4" customWidth="1"/>
    <col min="5875" max="5875" width="19" style="4" customWidth="1"/>
    <col min="5876" max="5876" width="11.85546875" style="4" customWidth="1"/>
    <col min="5877" max="5877" width="13.85546875" style="4" customWidth="1"/>
    <col min="5878" max="5878" width="12.28515625" style="4" customWidth="1"/>
    <col min="5879" max="5879" width="12" style="4" customWidth="1"/>
    <col min="5880" max="5880" width="11.42578125" style="4" customWidth="1"/>
    <col min="5881" max="5881" width="11.85546875" style="4" customWidth="1"/>
    <col min="5882" max="5882" width="10.85546875" style="4" customWidth="1"/>
    <col min="5883" max="5883" width="11.85546875" style="4" customWidth="1"/>
    <col min="5884" max="5884" width="11.28515625" style="4" customWidth="1"/>
    <col min="5885" max="5885" width="11.42578125" style="4" customWidth="1"/>
    <col min="5886" max="5886" width="12.140625" style="4" customWidth="1"/>
    <col min="5887" max="5887" width="10.85546875" style="4" bestFit="1" customWidth="1"/>
    <col min="5888" max="5888" width="12.42578125" style="4" bestFit="1" customWidth="1"/>
    <col min="5889" max="5890" width="12.42578125" style="4" customWidth="1"/>
    <col min="5891" max="6126" width="9.140625" style="4"/>
    <col min="6127" max="6127" width="11.140625" style="4" bestFit="1" customWidth="1"/>
    <col min="6128" max="6128" width="14.28515625" style="4" customWidth="1"/>
    <col min="6129" max="6129" width="11.85546875" style="4" customWidth="1"/>
    <col min="6130" max="6130" width="10.140625" style="4" customWidth="1"/>
    <col min="6131" max="6131" width="19" style="4" customWidth="1"/>
    <col min="6132" max="6132" width="11.85546875" style="4" customWidth="1"/>
    <col min="6133" max="6133" width="13.85546875" style="4" customWidth="1"/>
    <col min="6134" max="6134" width="12.28515625" style="4" customWidth="1"/>
    <col min="6135" max="6135" width="12" style="4" customWidth="1"/>
    <col min="6136" max="6136" width="11.42578125" style="4" customWidth="1"/>
    <col min="6137" max="6137" width="11.85546875" style="4" customWidth="1"/>
    <col min="6138" max="6138" width="10.85546875" style="4" customWidth="1"/>
    <col min="6139" max="6139" width="11.85546875" style="4" customWidth="1"/>
    <col min="6140" max="6140" width="11.28515625" style="4" customWidth="1"/>
    <col min="6141" max="6141" width="11.42578125" style="4" customWidth="1"/>
    <col min="6142" max="6142" width="12.140625" style="4" customWidth="1"/>
    <col min="6143" max="6143" width="10.85546875" style="4" bestFit="1" customWidth="1"/>
    <col min="6144" max="6144" width="12.42578125" style="4" bestFit="1" customWidth="1"/>
    <col min="6145" max="6146" width="12.42578125" style="4" customWidth="1"/>
    <col min="6147" max="6382" width="9.140625" style="4"/>
    <col min="6383" max="6383" width="11.140625" style="4" bestFit="1" customWidth="1"/>
    <col min="6384" max="6384" width="14.28515625" style="4" customWidth="1"/>
    <col min="6385" max="6385" width="11.85546875" style="4" customWidth="1"/>
    <col min="6386" max="6386" width="10.140625" style="4" customWidth="1"/>
    <col min="6387" max="6387" width="19" style="4" customWidth="1"/>
    <col min="6388" max="6388" width="11.85546875" style="4" customWidth="1"/>
    <col min="6389" max="6389" width="13.85546875" style="4" customWidth="1"/>
    <col min="6390" max="6390" width="12.28515625" style="4" customWidth="1"/>
    <col min="6391" max="6391" width="12" style="4" customWidth="1"/>
    <col min="6392" max="6392" width="11.42578125" style="4" customWidth="1"/>
    <col min="6393" max="6393" width="11.85546875" style="4" customWidth="1"/>
    <col min="6394" max="6394" width="10.85546875" style="4" customWidth="1"/>
    <col min="6395" max="6395" width="11.85546875" style="4" customWidth="1"/>
    <col min="6396" max="6396" width="11.28515625" style="4" customWidth="1"/>
    <col min="6397" max="6397" width="11.42578125" style="4" customWidth="1"/>
    <col min="6398" max="6398" width="12.140625" style="4" customWidth="1"/>
    <col min="6399" max="6399" width="10.85546875" style="4" bestFit="1" customWidth="1"/>
    <col min="6400" max="6400" width="12.42578125" style="4" bestFit="1" customWidth="1"/>
    <col min="6401" max="6402" width="12.42578125" style="4" customWidth="1"/>
    <col min="6403" max="6638" width="9.140625" style="4"/>
    <col min="6639" max="6639" width="11.140625" style="4" bestFit="1" customWidth="1"/>
    <col min="6640" max="6640" width="14.28515625" style="4" customWidth="1"/>
    <col min="6641" max="6641" width="11.85546875" style="4" customWidth="1"/>
    <col min="6642" max="6642" width="10.140625" style="4" customWidth="1"/>
    <col min="6643" max="6643" width="19" style="4" customWidth="1"/>
    <col min="6644" max="6644" width="11.85546875" style="4" customWidth="1"/>
    <col min="6645" max="6645" width="13.85546875" style="4" customWidth="1"/>
    <col min="6646" max="6646" width="12.28515625" style="4" customWidth="1"/>
    <col min="6647" max="6647" width="12" style="4" customWidth="1"/>
    <col min="6648" max="6648" width="11.42578125" style="4" customWidth="1"/>
    <col min="6649" max="6649" width="11.85546875" style="4" customWidth="1"/>
    <col min="6650" max="6650" width="10.85546875" style="4" customWidth="1"/>
    <col min="6651" max="6651" width="11.85546875" style="4" customWidth="1"/>
    <col min="6652" max="6652" width="11.28515625" style="4" customWidth="1"/>
    <col min="6653" max="6653" width="11.42578125" style="4" customWidth="1"/>
    <col min="6654" max="6654" width="12.140625" style="4" customWidth="1"/>
    <col min="6655" max="6655" width="10.85546875" style="4" bestFit="1" customWidth="1"/>
    <col min="6656" max="6656" width="12.42578125" style="4" bestFit="1" customWidth="1"/>
    <col min="6657" max="6658" width="12.42578125" style="4" customWidth="1"/>
    <col min="6659" max="6894" width="9.140625" style="4"/>
    <col min="6895" max="6895" width="11.140625" style="4" bestFit="1" customWidth="1"/>
    <col min="6896" max="6896" width="14.28515625" style="4" customWidth="1"/>
    <col min="6897" max="6897" width="11.85546875" style="4" customWidth="1"/>
    <col min="6898" max="6898" width="10.140625" style="4" customWidth="1"/>
    <col min="6899" max="6899" width="19" style="4" customWidth="1"/>
    <col min="6900" max="6900" width="11.85546875" style="4" customWidth="1"/>
    <col min="6901" max="6901" width="13.85546875" style="4" customWidth="1"/>
    <col min="6902" max="6902" width="12.28515625" style="4" customWidth="1"/>
    <col min="6903" max="6903" width="12" style="4" customWidth="1"/>
    <col min="6904" max="6904" width="11.42578125" style="4" customWidth="1"/>
    <col min="6905" max="6905" width="11.85546875" style="4" customWidth="1"/>
    <col min="6906" max="6906" width="10.85546875" style="4" customWidth="1"/>
    <col min="6907" max="6907" width="11.85546875" style="4" customWidth="1"/>
    <col min="6908" max="6908" width="11.28515625" style="4" customWidth="1"/>
    <col min="6909" max="6909" width="11.42578125" style="4" customWidth="1"/>
    <col min="6910" max="6910" width="12.140625" style="4" customWidth="1"/>
    <col min="6911" max="6911" width="10.85546875" style="4" bestFit="1" customWidth="1"/>
    <col min="6912" max="6912" width="12.42578125" style="4" bestFit="1" customWidth="1"/>
    <col min="6913" max="6914" width="12.42578125" style="4" customWidth="1"/>
    <col min="6915" max="7150" width="9.140625" style="4"/>
    <col min="7151" max="7151" width="11.140625" style="4" bestFit="1" customWidth="1"/>
    <col min="7152" max="7152" width="14.28515625" style="4" customWidth="1"/>
    <col min="7153" max="7153" width="11.85546875" style="4" customWidth="1"/>
    <col min="7154" max="7154" width="10.140625" style="4" customWidth="1"/>
    <col min="7155" max="7155" width="19" style="4" customWidth="1"/>
    <col min="7156" max="7156" width="11.85546875" style="4" customWidth="1"/>
    <col min="7157" max="7157" width="13.85546875" style="4" customWidth="1"/>
    <col min="7158" max="7158" width="12.28515625" style="4" customWidth="1"/>
    <col min="7159" max="7159" width="12" style="4" customWidth="1"/>
    <col min="7160" max="7160" width="11.42578125" style="4" customWidth="1"/>
    <col min="7161" max="7161" width="11.85546875" style="4" customWidth="1"/>
    <col min="7162" max="7162" width="10.85546875" style="4" customWidth="1"/>
    <col min="7163" max="7163" width="11.85546875" style="4" customWidth="1"/>
    <col min="7164" max="7164" width="11.28515625" style="4" customWidth="1"/>
    <col min="7165" max="7165" width="11.42578125" style="4" customWidth="1"/>
    <col min="7166" max="7166" width="12.140625" style="4" customWidth="1"/>
    <col min="7167" max="7167" width="10.85546875" style="4" bestFit="1" customWidth="1"/>
    <col min="7168" max="7168" width="12.42578125" style="4" bestFit="1" customWidth="1"/>
    <col min="7169" max="7170" width="12.42578125" style="4" customWidth="1"/>
    <col min="7171" max="7406" width="9.140625" style="4"/>
    <col min="7407" max="7407" width="11.140625" style="4" bestFit="1" customWidth="1"/>
    <col min="7408" max="7408" width="14.28515625" style="4" customWidth="1"/>
    <col min="7409" max="7409" width="11.85546875" style="4" customWidth="1"/>
    <col min="7410" max="7410" width="10.140625" style="4" customWidth="1"/>
    <col min="7411" max="7411" width="19" style="4" customWidth="1"/>
    <col min="7412" max="7412" width="11.85546875" style="4" customWidth="1"/>
    <col min="7413" max="7413" width="13.85546875" style="4" customWidth="1"/>
    <col min="7414" max="7414" width="12.28515625" style="4" customWidth="1"/>
    <col min="7415" max="7415" width="12" style="4" customWidth="1"/>
    <col min="7416" max="7416" width="11.42578125" style="4" customWidth="1"/>
    <col min="7417" max="7417" width="11.85546875" style="4" customWidth="1"/>
    <col min="7418" max="7418" width="10.85546875" style="4" customWidth="1"/>
    <col min="7419" max="7419" width="11.85546875" style="4" customWidth="1"/>
    <col min="7420" max="7420" width="11.28515625" style="4" customWidth="1"/>
    <col min="7421" max="7421" width="11.42578125" style="4" customWidth="1"/>
    <col min="7422" max="7422" width="12.140625" style="4" customWidth="1"/>
    <col min="7423" max="7423" width="10.85546875" style="4" bestFit="1" customWidth="1"/>
    <col min="7424" max="7424" width="12.42578125" style="4" bestFit="1" customWidth="1"/>
    <col min="7425" max="7426" width="12.42578125" style="4" customWidth="1"/>
    <col min="7427" max="7662" width="9.140625" style="4"/>
    <col min="7663" max="7663" width="11.140625" style="4" bestFit="1" customWidth="1"/>
    <col min="7664" max="7664" width="14.28515625" style="4" customWidth="1"/>
    <col min="7665" max="7665" width="11.85546875" style="4" customWidth="1"/>
    <col min="7666" max="7666" width="10.140625" style="4" customWidth="1"/>
    <col min="7667" max="7667" width="19" style="4" customWidth="1"/>
    <col min="7668" max="7668" width="11.85546875" style="4" customWidth="1"/>
    <col min="7669" max="7669" width="13.85546875" style="4" customWidth="1"/>
    <col min="7670" max="7670" width="12.28515625" style="4" customWidth="1"/>
    <col min="7671" max="7671" width="12" style="4" customWidth="1"/>
    <col min="7672" max="7672" width="11.42578125" style="4" customWidth="1"/>
    <col min="7673" max="7673" width="11.85546875" style="4" customWidth="1"/>
    <col min="7674" max="7674" width="10.85546875" style="4" customWidth="1"/>
    <col min="7675" max="7675" width="11.85546875" style="4" customWidth="1"/>
    <col min="7676" max="7676" width="11.28515625" style="4" customWidth="1"/>
    <col min="7677" max="7677" width="11.42578125" style="4" customWidth="1"/>
    <col min="7678" max="7678" width="12.140625" style="4" customWidth="1"/>
    <col min="7679" max="7679" width="10.85546875" style="4" bestFit="1" customWidth="1"/>
    <col min="7680" max="7680" width="12.42578125" style="4" bestFit="1" customWidth="1"/>
    <col min="7681" max="7682" width="12.42578125" style="4" customWidth="1"/>
    <col min="7683" max="7918" width="9.140625" style="4"/>
    <col min="7919" max="7919" width="11.140625" style="4" bestFit="1" customWidth="1"/>
    <col min="7920" max="7920" width="14.28515625" style="4" customWidth="1"/>
    <col min="7921" max="7921" width="11.85546875" style="4" customWidth="1"/>
    <col min="7922" max="7922" width="10.140625" style="4" customWidth="1"/>
    <col min="7923" max="7923" width="19" style="4" customWidth="1"/>
    <col min="7924" max="7924" width="11.85546875" style="4" customWidth="1"/>
    <col min="7925" max="7925" width="13.85546875" style="4" customWidth="1"/>
    <col min="7926" max="7926" width="12.28515625" style="4" customWidth="1"/>
    <col min="7927" max="7927" width="12" style="4" customWidth="1"/>
    <col min="7928" max="7928" width="11.42578125" style="4" customWidth="1"/>
    <col min="7929" max="7929" width="11.85546875" style="4" customWidth="1"/>
    <col min="7930" max="7930" width="10.85546875" style="4" customWidth="1"/>
    <col min="7931" max="7931" width="11.85546875" style="4" customWidth="1"/>
    <col min="7932" max="7932" width="11.28515625" style="4" customWidth="1"/>
    <col min="7933" max="7933" width="11.42578125" style="4" customWidth="1"/>
    <col min="7934" max="7934" width="12.140625" style="4" customWidth="1"/>
    <col min="7935" max="7935" width="10.85546875" style="4" bestFit="1" customWidth="1"/>
    <col min="7936" max="7936" width="12.42578125" style="4" bestFit="1" customWidth="1"/>
    <col min="7937" max="7938" width="12.42578125" style="4" customWidth="1"/>
    <col min="7939" max="8174" width="9.140625" style="4"/>
    <col min="8175" max="8175" width="11.140625" style="4" bestFit="1" customWidth="1"/>
    <col min="8176" max="8176" width="14.28515625" style="4" customWidth="1"/>
    <col min="8177" max="8177" width="11.85546875" style="4" customWidth="1"/>
    <col min="8178" max="8178" width="10.140625" style="4" customWidth="1"/>
    <col min="8179" max="8179" width="19" style="4" customWidth="1"/>
    <col min="8180" max="8180" width="11.85546875" style="4" customWidth="1"/>
    <col min="8181" max="8181" width="13.85546875" style="4" customWidth="1"/>
    <col min="8182" max="8182" width="12.28515625" style="4" customWidth="1"/>
    <col min="8183" max="8183" width="12" style="4" customWidth="1"/>
    <col min="8184" max="8184" width="11.42578125" style="4" customWidth="1"/>
    <col min="8185" max="8185" width="11.85546875" style="4" customWidth="1"/>
    <col min="8186" max="8186" width="10.85546875" style="4" customWidth="1"/>
    <col min="8187" max="8187" width="11.85546875" style="4" customWidth="1"/>
    <col min="8188" max="8188" width="11.28515625" style="4" customWidth="1"/>
    <col min="8189" max="8189" width="11.42578125" style="4" customWidth="1"/>
    <col min="8190" max="8190" width="12.140625" style="4" customWidth="1"/>
    <col min="8191" max="8191" width="10.85546875" style="4" bestFit="1" customWidth="1"/>
    <col min="8192" max="8192" width="12.42578125" style="4" bestFit="1" customWidth="1"/>
    <col min="8193" max="8194" width="12.42578125" style="4" customWidth="1"/>
    <col min="8195" max="8430" width="9.140625" style="4"/>
    <col min="8431" max="8431" width="11.140625" style="4" bestFit="1" customWidth="1"/>
    <col min="8432" max="8432" width="14.28515625" style="4" customWidth="1"/>
    <col min="8433" max="8433" width="11.85546875" style="4" customWidth="1"/>
    <col min="8434" max="8434" width="10.140625" style="4" customWidth="1"/>
    <col min="8435" max="8435" width="19" style="4" customWidth="1"/>
    <col min="8436" max="8436" width="11.85546875" style="4" customWidth="1"/>
    <col min="8437" max="8437" width="13.85546875" style="4" customWidth="1"/>
    <col min="8438" max="8438" width="12.28515625" style="4" customWidth="1"/>
    <col min="8439" max="8439" width="12" style="4" customWidth="1"/>
    <col min="8440" max="8440" width="11.42578125" style="4" customWidth="1"/>
    <col min="8441" max="8441" width="11.85546875" style="4" customWidth="1"/>
    <col min="8442" max="8442" width="10.85546875" style="4" customWidth="1"/>
    <col min="8443" max="8443" width="11.85546875" style="4" customWidth="1"/>
    <col min="8444" max="8444" width="11.28515625" style="4" customWidth="1"/>
    <col min="8445" max="8445" width="11.42578125" style="4" customWidth="1"/>
    <col min="8446" max="8446" width="12.140625" style="4" customWidth="1"/>
    <col min="8447" max="8447" width="10.85546875" style="4" bestFit="1" customWidth="1"/>
    <col min="8448" max="8448" width="12.42578125" style="4" bestFit="1" customWidth="1"/>
    <col min="8449" max="8450" width="12.42578125" style="4" customWidth="1"/>
    <col min="8451" max="8686" width="9.140625" style="4"/>
    <col min="8687" max="8687" width="11.140625" style="4" bestFit="1" customWidth="1"/>
    <col min="8688" max="8688" width="14.28515625" style="4" customWidth="1"/>
    <col min="8689" max="8689" width="11.85546875" style="4" customWidth="1"/>
    <col min="8690" max="8690" width="10.140625" style="4" customWidth="1"/>
    <col min="8691" max="8691" width="19" style="4" customWidth="1"/>
    <col min="8692" max="8692" width="11.85546875" style="4" customWidth="1"/>
    <col min="8693" max="8693" width="13.85546875" style="4" customWidth="1"/>
    <col min="8694" max="8694" width="12.28515625" style="4" customWidth="1"/>
    <col min="8695" max="8695" width="12" style="4" customWidth="1"/>
    <col min="8696" max="8696" width="11.42578125" style="4" customWidth="1"/>
    <col min="8697" max="8697" width="11.85546875" style="4" customWidth="1"/>
    <col min="8698" max="8698" width="10.85546875" style="4" customWidth="1"/>
    <col min="8699" max="8699" width="11.85546875" style="4" customWidth="1"/>
    <col min="8700" max="8700" width="11.28515625" style="4" customWidth="1"/>
    <col min="8701" max="8701" width="11.42578125" style="4" customWidth="1"/>
    <col min="8702" max="8702" width="12.140625" style="4" customWidth="1"/>
    <col min="8703" max="8703" width="10.85546875" style="4" bestFit="1" customWidth="1"/>
    <col min="8704" max="8704" width="12.42578125" style="4" bestFit="1" customWidth="1"/>
    <col min="8705" max="8706" width="12.42578125" style="4" customWidth="1"/>
    <col min="8707" max="8942" width="9.140625" style="4"/>
    <col min="8943" max="8943" width="11.140625" style="4" bestFit="1" customWidth="1"/>
    <col min="8944" max="8944" width="14.28515625" style="4" customWidth="1"/>
    <col min="8945" max="8945" width="11.85546875" style="4" customWidth="1"/>
    <col min="8946" max="8946" width="10.140625" style="4" customWidth="1"/>
    <col min="8947" max="8947" width="19" style="4" customWidth="1"/>
    <col min="8948" max="8948" width="11.85546875" style="4" customWidth="1"/>
    <col min="8949" max="8949" width="13.85546875" style="4" customWidth="1"/>
    <col min="8950" max="8950" width="12.28515625" style="4" customWidth="1"/>
    <col min="8951" max="8951" width="12" style="4" customWidth="1"/>
    <col min="8952" max="8952" width="11.42578125" style="4" customWidth="1"/>
    <col min="8953" max="8953" width="11.85546875" style="4" customWidth="1"/>
    <col min="8954" max="8954" width="10.85546875" style="4" customWidth="1"/>
    <col min="8955" max="8955" width="11.85546875" style="4" customWidth="1"/>
    <col min="8956" max="8956" width="11.28515625" style="4" customWidth="1"/>
    <col min="8957" max="8957" width="11.42578125" style="4" customWidth="1"/>
    <col min="8958" max="8958" width="12.140625" style="4" customWidth="1"/>
    <col min="8959" max="8959" width="10.85546875" style="4" bestFit="1" customWidth="1"/>
    <col min="8960" max="8960" width="12.42578125" style="4" bestFit="1" customWidth="1"/>
    <col min="8961" max="8962" width="12.42578125" style="4" customWidth="1"/>
    <col min="8963" max="9198" width="9.140625" style="4"/>
    <col min="9199" max="9199" width="11.140625" style="4" bestFit="1" customWidth="1"/>
    <col min="9200" max="9200" width="14.28515625" style="4" customWidth="1"/>
    <col min="9201" max="9201" width="11.85546875" style="4" customWidth="1"/>
    <col min="9202" max="9202" width="10.140625" style="4" customWidth="1"/>
    <col min="9203" max="9203" width="19" style="4" customWidth="1"/>
    <col min="9204" max="9204" width="11.85546875" style="4" customWidth="1"/>
    <col min="9205" max="9205" width="13.85546875" style="4" customWidth="1"/>
    <col min="9206" max="9206" width="12.28515625" style="4" customWidth="1"/>
    <col min="9207" max="9207" width="12" style="4" customWidth="1"/>
    <col min="9208" max="9208" width="11.42578125" style="4" customWidth="1"/>
    <col min="9209" max="9209" width="11.85546875" style="4" customWidth="1"/>
    <col min="9210" max="9210" width="10.85546875" style="4" customWidth="1"/>
    <col min="9211" max="9211" width="11.85546875" style="4" customWidth="1"/>
    <col min="9212" max="9212" width="11.28515625" style="4" customWidth="1"/>
    <col min="9213" max="9213" width="11.42578125" style="4" customWidth="1"/>
    <col min="9214" max="9214" width="12.140625" style="4" customWidth="1"/>
    <col min="9215" max="9215" width="10.85546875" style="4" bestFit="1" customWidth="1"/>
    <col min="9216" max="9216" width="12.42578125" style="4" bestFit="1" customWidth="1"/>
    <col min="9217" max="9218" width="12.42578125" style="4" customWidth="1"/>
    <col min="9219" max="9454" width="9.140625" style="4"/>
    <col min="9455" max="9455" width="11.140625" style="4" bestFit="1" customWidth="1"/>
    <col min="9456" max="9456" width="14.28515625" style="4" customWidth="1"/>
    <col min="9457" max="9457" width="11.85546875" style="4" customWidth="1"/>
    <col min="9458" max="9458" width="10.140625" style="4" customWidth="1"/>
    <col min="9459" max="9459" width="19" style="4" customWidth="1"/>
    <col min="9460" max="9460" width="11.85546875" style="4" customWidth="1"/>
    <col min="9461" max="9461" width="13.85546875" style="4" customWidth="1"/>
    <col min="9462" max="9462" width="12.28515625" style="4" customWidth="1"/>
    <col min="9463" max="9463" width="12" style="4" customWidth="1"/>
    <col min="9464" max="9464" width="11.42578125" style="4" customWidth="1"/>
    <col min="9465" max="9465" width="11.85546875" style="4" customWidth="1"/>
    <col min="9466" max="9466" width="10.85546875" style="4" customWidth="1"/>
    <col min="9467" max="9467" width="11.85546875" style="4" customWidth="1"/>
    <col min="9468" max="9468" width="11.28515625" style="4" customWidth="1"/>
    <col min="9469" max="9469" width="11.42578125" style="4" customWidth="1"/>
    <col min="9470" max="9470" width="12.140625" style="4" customWidth="1"/>
    <col min="9471" max="9471" width="10.85546875" style="4" bestFit="1" customWidth="1"/>
    <col min="9472" max="9472" width="12.42578125" style="4" bestFit="1" customWidth="1"/>
    <col min="9473" max="9474" width="12.42578125" style="4" customWidth="1"/>
    <col min="9475" max="9710" width="9.140625" style="4"/>
    <col min="9711" max="9711" width="11.140625" style="4" bestFit="1" customWidth="1"/>
    <col min="9712" max="9712" width="14.28515625" style="4" customWidth="1"/>
    <col min="9713" max="9713" width="11.85546875" style="4" customWidth="1"/>
    <col min="9714" max="9714" width="10.140625" style="4" customWidth="1"/>
    <col min="9715" max="9715" width="19" style="4" customWidth="1"/>
    <col min="9716" max="9716" width="11.85546875" style="4" customWidth="1"/>
    <col min="9717" max="9717" width="13.85546875" style="4" customWidth="1"/>
    <col min="9718" max="9718" width="12.28515625" style="4" customWidth="1"/>
    <col min="9719" max="9719" width="12" style="4" customWidth="1"/>
    <col min="9720" max="9720" width="11.42578125" style="4" customWidth="1"/>
    <col min="9721" max="9721" width="11.85546875" style="4" customWidth="1"/>
    <col min="9722" max="9722" width="10.85546875" style="4" customWidth="1"/>
    <col min="9723" max="9723" width="11.85546875" style="4" customWidth="1"/>
    <col min="9724" max="9724" width="11.28515625" style="4" customWidth="1"/>
    <col min="9725" max="9725" width="11.42578125" style="4" customWidth="1"/>
    <col min="9726" max="9726" width="12.140625" style="4" customWidth="1"/>
    <col min="9727" max="9727" width="10.85546875" style="4" bestFit="1" customWidth="1"/>
    <col min="9728" max="9728" width="12.42578125" style="4" bestFit="1" customWidth="1"/>
    <col min="9729" max="9730" width="12.42578125" style="4" customWidth="1"/>
    <col min="9731" max="9966" width="9.140625" style="4"/>
    <col min="9967" max="9967" width="11.140625" style="4" bestFit="1" customWidth="1"/>
    <col min="9968" max="9968" width="14.28515625" style="4" customWidth="1"/>
    <col min="9969" max="9969" width="11.85546875" style="4" customWidth="1"/>
    <col min="9970" max="9970" width="10.140625" style="4" customWidth="1"/>
    <col min="9971" max="9971" width="19" style="4" customWidth="1"/>
    <col min="9972" max="9972" width="11.85546875" style="4" customWidth="1"/>
    <col min="9973" max="9973" width="13.85546875" style="4" customWidth="1"/>
    <col min="9974" max="9974" width="12.28515625" style="4" customWidth="1"/>
    <col min="9975" max="9975" width="12" style="4" customWidth="1"/>
    <col min="9976" max="9976" width="11.42578125" style="4" customWidth="1"/>
    <col min="9977" max="9977" width="11.85546875" style="4" customWidth="1"/>
    <col min="9978" max="9978" width="10.85546875" style="4" customWidth="1"/>
    <col min="9979" max="9979" width="11.85546875" style="4" customWidth="1"/>
    <col min="9980" max="9980" width="11.28515625" style="4" customWidth="1"/>
    <col min="9981" max="9981" width="11.42578125" style="4" customWidth="1"/>
    <col min="9982" max="9982" width="12.140625" style="4" customWidth="1"/>
    <col min="9983" max="9983" width="10.85546875" style="4" bestFit="1" customWidth="1"/>
    <col min="9984" max="9984" width="12.42578125" style="4" bestFit="1" customWidth="1"/>
    <col min="9985" max="9986" width="12.42578125" style="4" customWidth="1"/>
    <col min="9987" max="10222" width="9.140625" style="4"/>
    <col min="10223" max="10223" width="11.140625" style="4" bestFit="1" customWidth="1"/>
    <col min="10224" max="10224" width="14.28515625" style="4" customWidth="1"/>
    <col min="10225" max="10225" width="11.85546875" style="4" customWidth="1"/>
    <col min="10226" max="10226" width="10.140625" style="4" customWidth="1"/>
    <col min="10227" max="10227" width="19" style="4" customWidth="1"/>
    <col min="10228" max="10228" width="11.85546875" style="4" customWidth="1"/>
    <col min="10229" max="10229" width="13.85546875" style="4" customWidth="1"/>
    <col min="10230" max="10230" width="12.28515625" style="4" customWidth="1"/>
    <col min="10231" max="10231" width="12" style="4" customWidth="1"/>
    <col min="10232" max="10232" width="11.42578125" style="4" customWidth="1"/>
    <col min="10233" max="10233" width="11.85546875" style="4" customWidth="1"/>
    <col min="10234" max="10234" width="10.85546875" style="4" customWidth="1"/>
    <col min="10235" max="10235" width="11.85546875" style="4" customWidth="1"/>
    <col min="10236" max="10236" width="11.28515625" style="4" customWidth="1"/>
    <col min="10237" max="10237" width="11.42578125" style="4" customWidth="1"/>
    <col min="10238" max="10238" width="12.140625" style="4" customWidth="1"/>
    <col min="10239" max="10239" width="10.85546875" style="4" bestFit="1" customWidth="1"/>
    <col min="10240" max="10240" width="12.42578125" style="4" bestFit="1" customWidth="1"/>
    <col min="10241" max="10242" width="12.42578125" style="4" customWidth="1"/>
    <col min="10243" max="10478" width="9.140625" style="4"/>
    <col min="10479" max="10479" width="11.140625" style="4" bestFit="1" customWidth="1"/>
    <col min="10480" max="10480" width="14.28515625" style="4" customWidth="1"/>
    <col min="10481" max="10481" width="11.85546875" style="4" customWidth="1"/>
    <col min="10482" max="10482" width="10.140625" style="4" customWidth="1"/>
    <col min="10483" max="10483" width="19" style="4" customWidth="1"/>
    <col min="10484" max="10484" width="11.85546875" style="4" customWidth="1"/>
    <col min="10485" max="10485" width="13.85546875" style="4" customWidth="1"/>
    <col min="10486" max="10486" width="12.28515625" style="4" customWidth="1"/>
    <col min="10487" max="10487" width="12" style="4" customWidth="1"/>
    <col min="10488" max="10488" width="11.42578125" style="4" customWidth="1"/>
    <col min="10489" max="10489" width="11.85546875" style="4" customWidth="1"/>
    <col min="10490" max="10490" width="10.85546875" style="4" customWidth="1"/>
    <col min="10491" max="10491" width="11.85546875" style="4" customWidth="1"/>
    <col min="10492" max="10492" width="11.28515625" style="4" customWidth="1"/>
    <col min="10493" max="10493" width="11.42578125" style="4" customWidth="1"/>
    <col min="10494" max="10494" width="12.140625" style="4" customWidth="1"/>
    <col min="10495" max="10495" width="10.85546875" style="4" bestFit="1" customWidth="1"/>
    <col min="10496" max="10496" width="12.42578125" style="4" bestFit="1" customWidth="1"/>
    <col min="10497" max="10498" width="12.42578125" style="4" customWidth="1"/>
    <col min="10499" max="10734" width="9.140625" style="4"/>
    <col min="10735" max="10735" width="11.140625" style="4" bestFit="1" customWidth="1"/>
    <col min="10736" max="10736" width="14.28515625" style="4" customWidth="1"/>
    <col min="10737" max="10737" width="11.85546875" style="4" customWidth="1"/>
    <col min="10738" max="10738" width="10.140625" style="4" customWidth="1"/>
    <col min="10739" max="10739" width="19" style="4" customWidth="1"/>
    <col min="10740" max="10740" width="11.85546875" style="4" customWidth="1"/>
    <col min="10741" max="10741" width="13.85546875" style="4" customWidth="1"/>
    <col min="10742" max="10742" width="12.28515625" style="4" customWidth="1"/>
    <col min="10743" max="10743" width="12" style="4" customWidth="1"/>
    <col min="10744" max="10744" width="11.42578125" style="4" customWidth="1"/>
    <col min="10745" max="10745" width="11.85546875" style="4" customWidth="1"/>
    <col min="10746" max="10746" width="10.85546875" style="4" customWidth="1"/>
    <col min="10747" max="10747" width="11.85546875" style="4" customWidth="1"/>
    <col min="10748" max="10748" width="11.28515625" style="4" customWidth="1"/>
    <col min="10749" max="10749" width="11.42578125" style="4" customWidth="1"/>
    <col min="10750" max="10750" width="12.140625" style="4" customWidth="1"/>
    <col min="10751" max="10751" width="10.85546875" style="4" bestFit="1" customWidth="1"/>
    <col min="10752" max="10752" width="12.42578125" style="4" bestFit="1" customWidth="1"/>
    <col min="10753" max="10754" width="12.42578125" style="4" customWidth="1"/>
    <col min="10755" max="10990" width="9.140625" style="4"/>
    <col min="10991" max="10991" width="11.140625" style="4" bestFit="1" customWidth="1"/>
    <col min="10992" max="10992" width="14.28515625" style="4" customWidth="1"/>
    <col min="10993" max="10993" width="11.85546875" style="4" customWidth="1"/>
    <col min="10994" max="10994" width="10.140625" style="4" customWidth="1"/>
    <col min="10995" max="10995" width="19" style="4" customWidth="1"/>
    <col min="10996" max="10996" width="11.85546875" style="4" customWidth="1"/>
    <col min="10997" max="10997" width="13.85546875" style="4" customWidth="1"/>
    <col min="10998" max="10998" width="12.28515625" style="4" customWidth="1"/>
    <col min="10999" max="10999" width="12" style="4" customWidth="1"/>
    <col min="11000" max="11000" width="11.42578125" style="4" customWidth="1"/>
    <col min="11001" max="11001" width="11.85546875" style="4" customWidth="1"/>
    <col min="11002" max="11002" width="10.85546875" style="4" customWidth="1"/>
    <col min="11003" max="11003" width="11.85546875" style="4" customWidth="1"/>
    <col min="11004" max="11004" width="11.28515625" style="4" customWidth="1"/>
    <col min="11005" max="11005" width="11.42578125" style="4" customWidth="1"/>
    <col min="11006" max="11006" width="12.140625" style="4" customWidth="1"/>
    <col min="11007" max="11007" width="10.85546875" style="4" bestFit="1" customWidth="1"/>
    <col min="11008" max="11008" width="12.42578125" style="4" bestFit="1" customWidth="1"/>
    <col min="11009" max="11010" width="12.42578125" style="4" customWidth="1"/>
    <col min="11011" max="11246" width="9.140625" style="4"/>
    <col min="11247" max="11247" width="11.140625" style="4" bestFit="1" customWidth="1"/>
    <col min="11248" max="11248" width="14.28515625" style="4" customWidth="1"/>
    <col min="11249" max="11249" width="11.85546875" style="4" customWidth="1"/>
    <col min="11250" max="11250" width="10.140625" style="4" customWidth="1"/>
    <col min="11251" max="11251" width="19" style="4" customWidth="1"/>
    <col min="11252" max="11252" width="11.85546875" style="4" customWidth="1"/>
    <col min="11253" max="11253" width="13.85546875" style="4" customWidth="1"/>
    <col min="11254" max="11254" width="12.28515625" style="4" customWidth="1"/>
    <col min="11255" max="11255" width="12" style="4" customWidth="1"/>
    <col min="11256" max="11256" width="11.42578125" style="4" customWidth="1"/>
    <col min="11257" max="11257" width="11.85546875" style="4" customWidth="1"/>
    <col min="11258" max="11258" width="10.85546875" style="4" customWidth="1"/>
    <col min="11259" max="11259" width="11.85546875" style="4" customWidth="1"/>
    <col min="11260" max="11260" width="11.28515625" style="4" customWidth="1"/>
    <col min="11261" max="11261" width="11.42578125" style="4" customWidth="1"/>
    <col min="11262" max="11262" width="12.140625" style="4" customWidth="1"/>
    <col min="11263" max="11263" width="10.85546875" style="4" bestFit="1" customWidth="1"/>
    <col min="11264" max="11264" width="12.42578125" style="4" bestFit="1" customWidth="1"/>
    <col min="11265" max="11266" width="12.42578125" style="4" customWidth="1"/>
    <col min="11267" max="11502" width="9.140625" style="4"/>
    <col min="11503" max="11503" width="11.140625" style="4" bestFit="1" customWidth="1"/>
    <col min="11504" max="11504" width="14.28515625" style="4" customWidth="1"/>
    <col min="11505" max="11505" width="11.85546875" style="4" customWidth="1"/>
    <col min="11506" max="11506" width="10.140625" style="4" customWidth="1"/>
    <col min="11507" max="11507" width="19" style="4" customWidth="1"/>
    <col min="11508" max="11508" width="11.85546875" style="4" customWidth="1"/>
    <col min="11509" max="11509" width="13.85546875" style="4" customWidth="1"/>
    <col min="11510" max="11510" width="12.28515625" style="4" customWidth="1"/>
    <col min="11511" max="11511" width="12" style="4" customWidth="1"/>
    <col min="11512" max="11512" width="11.42578125" style="4" customWidth="1"/>
    <col min="11513" max="11513" width="11.85546875" style="4" customWidth="1"/>
    <col min="11514" max="11514" width="10.85546875" style="4" customWidth="1"/>
    <col min="11515" max="11515" width="11.85546875" style="4" customWidth="1"/>
    <col min="11516" max="11516" width="11.28515625" style="4" customWidth="1"/>
    <col min="11517" max="11517" width="11.42578125" style="4" customWidth="1"/>
    <col min="11518" max="11518" width="12.140625" style="4" customWidth="1"/>
    <col min="11519" max="11519" width="10.85546875" style="4" bestFit="1" customWidth="1"/>
    <col min="11520" max="11520" width="12.42578125" style="4" bestFit="1" customWidth="1"/>
    <col min="11521" max="11522" width="12.42578125" style="4" customWidth="1"/>
    <col min="11523" max="11758" width="9.140625" style="4"/>
    <col min="11759" max="11759" width="11.140625" style="4" bestFit="1" customWidth="1"/>
    <col min="11760" max="11760" width="14.28515625" style="4" customWidth="1"/>
    <col min="11761" max="11761" width="11.85546875" style="4" customWidth="1"/>
    <col min="11762" max="11762" width="10.140625" style="4" customWidth="1"/>
    <col min="11763" max="11763" width="19" style="4" customWidth="1"/>
    <col min="11764" max="11764" width="11.85546875" style="4" customWidth="1"/>
    <col min="11765" max="11765" width="13.85546875" style="4" customWidth="1"/>
    <col min="11766" max="11766" width="12.28515625" style="4" customWidth="1"/>
    <col min="11767" max="11767" width="12" style="4" customWidth="1"/>
    <col min="11768" max="11768" width="11.42578125" style="4" customWidth="1"/>
    <col min="11769" max="11769" width="11.85546875" style="4" customWidth="1"/>
    <col min="11770" max="11770" width="10.85546875" style="4" customWidth="1"/>
    <col min="11771" max="11771" width="11.85546875" style="4" customWidth="1"/>
    <col min="11772" max="11772" width="11.28515625" style="4" customWidth="1"/>
    <col min="11773" max="11773" width="11.42578125" style="4" customWidth="1"/>
    <col min="11774" max="11774" width="12.140625" style="4" customWidth="1"/>
    <col min="11775" max="11775" width="10.85546875" style="4" bestFit="1" customWidth="1"/>
    <col min="11776" max="11776" width="12.42578125" style="4" bestFit="1" customWidth="1"/>
    <col min="11777" max="11778" width="12.42578125" style="4" customWidth="1"/>
    <col min="11779" max="12014" width="9.140625" style="4"/>
    <col min="12015" max="12015" width="11.140625" style="4" bestFit="1" customWidth="1"/>
    <col min="12016" max="12016" width="14.28515625" style="4" customWidth="1"/>
    <col min="12017" max="12017" width="11.85546875" style="4" customWidth="1"/>
    <col min="12018" max="12018" width="10.140625" style="4" customWidth="1"/>
    <col min="12019" max="12019" width="19" style="4" customWidth="1"/>
    <col min="12020" max="12020" width="11.85546875" style="4" customWidth="1"/>
    <col min="12021" max="12021" width="13.85546875" style="4" customWidth="1"/>
    <col min="12022" max="12022" width="12.28515625" style="4" customWidth="1"/>
    <col min="12023" max="12023" width="12" style="4" customWidth="1"/>
    <col min="12024" max="12024" width="11.42578125" style="4" customWidth="1"/>
    <col min="12025" max="12025" width="11.85546875" style="4" customWidth="1"/>
    <col min="12026" max="12026" width="10.85546875" style="4" customWidth="1"/>
    <col min="12027" max="12027" width="11.85546875" style="4" customWidth="1"/>
    <col min="12028" max="12028" width="11.28515625" style="4" customWidth="1"/>
    <col min="12029" max="12029" width="11.42578125" style="4" customWidth="1"/>
    <col min="12030" max="12030" width="12.140625" style="4" customWidth="1"/>
    <col min="12031" max="12031" width="10.85546875" style="4" bestFit="1" customWidth="1"/>
    <col min="12032" max="12032" width="12.42578125" style="4" bestFit="1" customWidth="1"/>
    <col min="12033" max="12034" width="12.42578125" style="4" customWidth="1"/>
    <col min="12035" max="12270" width="9.140625" style="4"/>
    <col min="12271" max="12271" width="11.140625" style="4" bestFit="1" customWidth="1"/>
    <col min="12272" max="12272" width="14.28515625" style="4" customWidth="1"/>
    <col min="12273" max="12273" width="11.85546875" style="4" customWidth="1"/>
    <col min="12274" max="12274" width="10.140625" style="4" customWidth="1"/>
    <col min="12275" max="12275" width="19" style="4" customWidth="1"/>
    <col min="12276" max="12276" width="11.85546875" style="4" customWidth="1"/>
    <col min="12277" max="12277" width="13.85546875" style="4" customWidth="1"/>
    <col min="12278" max="12278" width="12.28515625" style="4" customWidth="1"/>
    <col min="12279" max="12279" width="12" style="4" customWidth="1"/>
    <col min="12280" max="12280" width="11.42578125" style="4" customWidth="1"/>
    <col min="12281" max="12281" width="11.85546875" style="4" customWidth="1"/>
    <col min="12282" max="12282" width="10.85546875" style="4" customWidth="1"/>
    <col min="12283" max="12283" width="11.85546875" style="4" customWidth="1"/>
    <col min="12284" max="12284" width="11.28515625" style="4" customWidth="1"/>
    <col min="12285" max="12285" width="11.42578125" style="4" customWidth="1"/>
    <col min="12286" max="12286" width="12.140625" style="4" customWidth="1"/>
    <col min="12287" max="12287" width="10.85546875" style="4" bestFit="1" customWidth="1"/>
    <col min="12288" max="12288" width="12.42578125" style="4" bestFit="1" customWidth="1"/>
    <col min="12289" max="12290" width="12.42578125" style="4" customWidth="1"/>
    <col min="12291" max="12526" width="9.140625" style="4"/>
    <col min="12527" max="12527" width="11.140625" style="4" bestFit="1" customWidth="1"/>
    <col min="12528" max="12528" width="14.28515625" style="4" customWidth="1"/>
    <col min="12529" max="12529" width="11.85546875" style="4" customWidth="1"/>
    <col min="12530" max="12530" width="10.140625" style="4" customWidth="1"/>
    <col min="12531" max="12531" width="19" style="4" customWidth="1"/>
    <col min="12532" max="12532" width="11.85546875" style="4" customWidth="1"/>
    <col min="12533" max="12533" width="13.85546875" style="4" customWidth="1"/>
    <col min="12534" max="12534" width="12.28515625" style="4" customWidth="1"/>
    <col min="12535" max="12535" width="12" style="4" customWidth="1"/>
    <col min="12536" max="12536" width="11.42578125" style="4" customWidth="1"/>
    <col min="12537" max="12537" width="11.85546875" style="4" customWidth="1"/>
    <col min="12538" max="12538" width="10.85546875" style="4" customWidth="1"/>
    <col min="12539" max="12539" width="11.85546875" style="4" customWidth="1"/>
    <col min="12540" max="12540" width="11.28515625" style="4" customWidth="1"/>
    <col min="12541" max="12541" width="11.42578125" style="4" customWidth="1"/>
    <col min="12542" max="12542" width="12.140625" style="4" customWidth="1"/>
    <col min="12543" max="12543" width="10.85546875" style="4" bestFit="1" customWidth="1"/>
    <col min="12544" max="12544" width="12.42578125" style="4" bestFit="1" customWidth="1"/>
    <col min="12545" max="12546" width="12.42578125" style="4" customWidth="1"/>
    <col min="12547" max="12782" width="9.140625" style="4"/>
    <col min="12783" max="12783" width="11.140625" style="4" bestFit="1" customWidth="1"/>
    <col min="12784" max="12784" width="14.28515625" style="4" customWidth="1"/>
    <col min="12785" max="12785" width="11.85546875" style="4" customWidth="1"/>
    <col min="12786" max="12786" width="10.140625" style="4" customWidth="1"/>
    <col min="12787" max="12787" width="19" style="4" customWidth="1"/>
    <col min="12788" max="12788" width="11.85546875" style="4" customWidth="1"/>
    <col min="12789" max="12789" width="13.85546875" style="4" customWidth="1"/>
    <col min="12790" max="12790" width="12.28515625" style="4" customWidth="1"/>
    <col min="12791" max="12791" width="12" style="4" customWidth="1"/>
    <col min="12792" max="12792" width="11.42578125" style="4" customWidth="1"/>
    <col min="12793" max="12793" width="11.85546875" style="4" customWidth="1"/>
    <col min="12794" max="12794" width="10.85546875" style="4" customWidth="1"/>
    <col min="12795" max="12795" width="11.85546875" style="4" customWidth="1"/>
    <col min="12796" max="12796" width="11.28515625" style="4" customWidth="1"/>
    <col min="12797" max="12797" width="11.42578125" style="4" customWidth="1"/>
    <col min="12798" max="12798" width="12.140625" style="4" customWidth="1"/>
    <col min="12799" max="12799" width="10.85546875" style="4" bestFit="1" customWidth="1"/>
    <col min="12800" max="12800" width="12.42578125" style="4" bestFit="1" customWidth="1"/>
    <col min="12801" max="12802" width="12.42578125" style="4" customWidth="1"/>
    <col min="12803" max="13038" width="9.140625" style="4"/>
    <col min="13039" max="13039" width="11.140625" style="4" bestFit="1" customWidth="1"/>
    <col min="13040" max="13040" width="14.28515625" style="4" customWidth="1"/>
    <col min="13041" max="13041" width="11.85546875" style="4" customWidth="1"/>
    <col min="13042" max="13042" width="10.140625" style="4" customWidth="1"/>
    <col min="13043" max="13043" width="19" style="4" customWidth="1"/>
    <col min="13044" max="13044" width="11.85546875" style="4" customWidth="1"/>
    <col min="13045" max="13045" width="13.85546875" style="4" customWidth="1"/>
    <col min="13046" max="13046" width="12.28515625" style="4" customWidth="1"/>
    <col min="13047" max="13047" width="12" style="4" customWidth="1"/>
    <col min="13048" max="13048" width="11.42578125" style="4" customWidth="1"/>
    <col min="13049" max="13049" width="11.85546875" style="4" customWidth="1"/>
    <col min="13050" max="13050" width="10.85546875" style="4" customWidth="1"/>
    <col min="13051" max="13051" width="11.85546875" style="4" customWidth="1"/>
    <col min="13052" max="13052" width="11.28515625" style="4" customWidth="1"/>
    <col min="13053" max="13053" width="11.42578125" style="4" customWidth="1"/>
    <col min="13054" max="13054" width="12.140625" style="4" customWidth="1"/>
    <col min="13055" max="13055" width="10.85546875" style="4" bestFit="1" customWidth="1"/>
    <col min="13056" max="13056" width="12.42578125" style="4" bestFit="1" customWidth="1"/>
    <col min="13057" max="13058" width="12.42578125" style="4" customWidth="1"/>
    <col min="13059" max="13294" width="9.140625" style="4"/>
    <col min="13295" max="13295" width="11.140625" style="4" bestFit="1" customWidth="1"/>
    <col min="13296" max="13296" width="14.28515625" style="4" customWidth="1"/>
    <col min="13297" max="13297" width="11.85546875" style="4" customWidth="1"/>
    <col min="13298" max="13298" width="10.140625" style="4" customWidth="1"/>
    <col min="13299" max="13299" width="19" style="4" customWidth="1"/>
    <col min="13300" max="13300" width="11.85546875" style="4" customWidth="1"/>
    <col min="13301" max="13301" width="13.85546875" style="4" customWidth="1"/>
    <col min="13302" max="13302" width="12.28515625" style="4" customWidth="1"/>
    <col min="13303" max="13303" width="12" style="4" customWidth="1"/>
    <col min="13304" max="13304" width="11.42578125" style="4" customWidth="1"/>
    <col min="13305" max="13305" width="11.85546875" style="4" customWidth="1"/>
    <col min="13306" max="13306" width="10.85546875" style="4" customWidth="1"/>
    <col min="13307" max="13307" width="11.85546875" style="4" customWidth="1"/>
    <col min="13308" max="13308" width="11.28515625" style="4" customWidth="1"/>
    <col min="13309" max="13309" width="11.42578125" style="4" customWidth="1"/>
    <col min="13310" max="13310" width="12.140625" style="4" customWidth="1"/>
    <col min="13311" max="13311" width="10.85546875" style="4" bestFit="1" customWidth="1"/>
    <col min="13312" max="13312" width="12.42578125" style="4" bestFit="1" customWidth="1"/>
    <col min="13313" max="13314" width="12.42578125" style="4" customWidth="1"/>
    <col min="13315" max="13550" width="9.140625" style="4"/>
    <col min="13551" max="13551" width="11.140625" style="4" bestFit="1" customWidth="1"/>
    <col min="13552" max="13552" width="14.28515625" style="4" customWidth="1"/>
    <col min="13553" max="13553" width="11.85546875" style="4" customWidth="1"/>
    <col min="13554" max="13554" width="10.140625" style="4" customWidth="1"/>
    <col min="13555" max="13555" width="19" style="4" customWidth="1"/>
    <col min="13556" max="13556" width="11.85546875" style="4" customWidth="1"/>
    <col min="13557" max="13557" width="13.85546875" style="4" customWidth="1"/>
    <col min="13558" max="13558" width="12.28515625" style="4" customWidth="1"/>
    <col min="13559" max="13559" width="12" style="4" customWidth="1"/>
    <col min="13560" max="13560" width="11.42578125" style="4" customWidth="1"/>
    <col min="13561" max="13561" width="11.85546875" style="4" customWidth="1"/>
    <col min="13562" max="13562" width="10.85546875" style="4" customWidth="1"/>
    <col min="13563" max="13563" width="11.85546875" style="4" customWidth="1"/>
    <col min="13564" max="13564" width="11.28515625" style="4" customWidth="1"/>
    <col min="13565" max="13565" width="11.42578125" style="4" customWidth="1"/>
    <col min="13566" max="13566" width="12.140625" style="4" customWidth="1"/>
    <col min="13567" max="13567" width="10.85546875" style="4" bestFit="1" customWidth="1"/>
    <col min="13568" max="13568" width="12.42578125" style="4" bestFit="1" customWidth="1"/>
    <col min="13569" max="13570" width="12.42578125" style="4" customWidth="1"/>
    <col min="13571" max="13806" width="9.140625" style="4"/>
    <col min="13807" max="13807" width="11.140625" style="4" bestFit="1" customWidth="1"/>
    <col min="13808" max="13808" width="14.28515625" style="4" customWidth="1"/>
    <col min="13809" max="13809" width="11.85546875" style="4" customWidth="1"/>
    <col min="13810" max="13810" width="10.140625" style="4" customWidth="1"/>
    <col min="13811" max="13811" width="19" style="4" customWidth="1"/>
    <col min="13812" max="13812" width="11.85546875" style="4" customWidth="1"/>
    <col min="13813" max="13813" width="13.85546875" style="4" customWidth="1"/>
    <col min="13814" max="13814" width="12.28515625" style="4" customWidth="1"/>
    <col min="13815" max="13815" width="12" style="4" customWidth="1"/>
    <col min="13816" max="13816" width="11.42578125" style="4" customWidth="1"/>
    <col min="13817" max="13817" width="11.85546875" style="4" customWidth="1"/>
    <col min="13818" max="13818" width="10.85546875" style="4" customWidth="1"/>
    <col min="13819" max="13819" width="11.85546875" style="4" customWidth="1"/>
    <col min="13820" max="13820" width="11.28515625" style="4" customWidth="1"/>
    <col min="13821" max="13821" width="11.42578125" style="4" customWidth="1"/>
    <col min="13822" max="13822" width="12.140625" style="4" customWidth="1"/>
    <col min="13823" max="13823" width="10.85546875" style="4" bestFit="1" customWidth="1"/>
    <col min="13824" max="13824" width="12.42578125" style="4" bestFit="1" customWidth="1"/>
    <col min="13825" max="13826" width="12.42578125" style="4" customWidth="1"/>
    <col min="13827" max="14062" width="9.140625" style="4"/>
    <col min="14063" max="14063" width="11.140625" style="4" bestFit="1" customWidth="1"/>
    <col min="14064" max="14064" width="14.28515625" style="4" customWidth="1"/>
    <col min="14065" max="14065" width="11.85546875" style="4" customWidth="1"/>
    <col min="14066" max="14066" width="10.140625" style="4" customWidth="1"/>
    <col min="14067" max="14067" width="19" style="4" customWidth="1"/>
    <col min="14068" max="14068" width="11.85546875" style="4" customWidth="1"/>
    <col min="14069" max="14069" width="13.85546875" style="4" customWidth="1"/>
    <col min="14070" max="14070" width="12.28515625" style="4" customWidth="1"/>
    <col min="14071" max="14071" width="12" style="4" customWidth="1"/>
    <col min="14072" max="14072" width="11.42578125" style="4" customWidth="1"/>
    <col min="14073" max="14073" width="11.85546875" style="4" customWidth="1"/>
    <col min="14074" max="14074" width="10.85546875" style="4" customWidth="1"/>
    <col min="14075" max="14075" width="11.85546875" style="4" customWidth="1"/>
    <col min="14076" max="14076" width="11.28515625" style="4" customWidth="1"/>
    <col min="14077" max="14077" width="11.42578125" style="4" customWidth="1"/>
    <col min="14078" max="14078" width="12.140625" style="4" customWidth="1"/>
    <col min="14079" max="14079" width="10.85546875" style="4" bestFit="1" customWidth="1"/>
    <col min="14080" max="14080" width="12.42578125" style="4" bestFit="1" customWidth="1"/>
    <col min="14081" max="14082" width="12.42578125" style="4" customWidth="1"/>
    <col min="14083" max="14318" width="9.140625" style="4"/>
    <col min="14319" max="14319" width="11.140625" style="4" bestFit="1" customWidth="1"/>
    <col min="14320" max="14320" width="14.28515625" style="4" customWidth="1"/>
    <col min="14321" max="14321" width="11.85546875" style="4" customWidth="1"/>
    <col min="14322" max="14322" width="10.140625" style="4" customWidth="1"/>
    <col min="14323" max="14323" width="19" style="4" customWidth="1"/>
    <col min="14324" max="14324" width="11.85546875" style="4" customWidth="1"/>
    <col min="14325" max="14325" width="13.85546875" style="4" customWidth="1"/>
    <col min="14326" max="14326" width="12.28515625" style="4" customWidth="1"/>
    <col min="14327" max="14327" width="12" style="4" customWidth="1"/>
    <col min="14328" max="14328" width="11.42578125" style="4" customWidth="1"/>
    <col min="14329" max="14329" width="11.85546875" style="4" customWidth="1"/>
    <col min="14330" max="14330" width="10.85546875" style="4" customWidth="1"/>
    <col min="14331" max="14331" width="11.85546875" style="4" customWidth="1"/>
    <col min="14332" max="14332" width="11.28515625" style="4" customWidth="1"/>
    <col min="14333" max="14333" width="11.42578125" style="4" customWidth="1"/>
    <col min="14334" max="14334" width="12.140625" style="4" customWidth="1"/>
    <col min="14335" max="14335" width="10.85546875" style="4" bestFit="1" customWidth="1"/>
    <col min="14336" max="14336" width="12.42578125" style="4" bestFit="1" customWidth="1"/>
    <col min="14337" max="14338" width="12.42578125" style="4" customWidth="1"/>
    <col min="14339" max="14574" width="9.140625" style="4"/>
    <col min="14575" max="14575" width="11.140625" style="4" bestFit="1" customWidth="1"/>
    <col min="14576" max="14576" width="14.28515625" style="4" customWidth="1"/>
    <col min="14577" max="14577" width="11.85546875" style="4" customWidth="1"/>
    <col min="14578" max="14578" width="10.140625" style="4" customWidth="1"/>
    <col min="14579" max="14579" width="19" style="4" customWidth="1"/>
    <col min="14580" max="14580" width="11.85546875" style="4" customWidth="1"/>
    <col min="14581" max="14581" width="13.85546875" style="4" customWidth="1"/>
    <col min="14582" max="14582" width="12.28515625" style="4" customWidth="1"/>
    <col min="14583" max="14583" width="12" style="4" customWidth="1"/>
    <col min="14584" max="14584" width="11.42578125" style="4" customWidth="1"/>
    <col min="14585" max="14585" width="11.85546875" style="4" customWidth="1"/>
    <col min="14586" max="14586" width="10.85546875" style="4" customWidth="1"/>
    <col min="14587" max="14587" width="11.85546875" style="4" customWidth="1"/>
    <col min="14588" max="14588" width="11.28515625" style="4" customWidth="1"/>
    <col min="14589" max="14589" width="11.42578125" style="4" customWidth="1"/>
    <col min="14590" max="14590" width="12.140625" style="4" customWidth="1"/>
    <col min="14591" max="14591" width="10.85546875" style="4" bestFit="1" customWidth="1"/>
    <col min="14592" max="14592" width="12.42578125" style="4" bestFit="1" customWidth="1"/>
    <col min="14593" max="14594" width="12.42578125" style="4" customWidth="1"/>
    <col min="14595" max="14830" width="9.140625" style="4"/>
    <col min="14831" max="14831" width="11.140625" style="4" bestFit="1" customWidth="1"/>
    <col min="14832" max="14832" width="14.28515625" style="4" customWidth="1"/>
    <col min="14833" max="14833" width="11.85546875" style="4" customWidth="1"/>
    <col min="14834" max="14834" width="10.140625" style="4" customWidth="1"/>
    <col min="14835" max="14835" width="19" style="4" customWidth="1"/>
    <col min="14836" max="14836" width="11.85546875" style="4" customWidth="1"/>
    <col min="14837" max="14837" width="13.85546875" style="4" customWidth="1"/>
    <col min="14838" max="14838" width="12.28515625" style="4" customWidth="1"/>
    <col min="14839" max="14839" width="12" style="4" customWidth="1"/>
    <col min="14840" max="14840" width="11.42578125" style="4" customWidth="1"/>
    <col min="14841" max="14841" width="11.85546875" style="4" customWidth="1"/>
    <col min="14842" max="14842" width="10.85546875" style="4" customWidth="1"/>
    <col min="14843" max="14843" width="11.85546875" style="4" customWidth="1"/>
    <col min="14844" max="14844" width="11.28515625" style="4" customWidth="1"/>
    <col min="14845" max="14845" width="11.42578125" style="4" customWidth="1"/>
    <col min="14846" max="14846" width="12.140625" style="4" customWidth="1"/>
    <col min="14847" max="14847" width="10.85546875" style="4" bestFit="1" customWidth="1"/>
    <col min="14848" max="14848" width="12.42578125" style="4" bestFit="1" customWidth="1"/>
    <col min="14849" max="14850" width="12.42578125" style="4" customWidth="1"/>
    <col min="14851" max="15086" width="9.140625" style="4"/>
    <col min="15087" max="15087" width="11.140625" style="4" bestFit="1" customWidth="1"/>
    <col min="15088" max="15088" width="14.28515625" style="4" customWidth="1"/>
    <col min="15089" max="15089" width="11.85546875" style="4" customWidth="1"/>
    <col min="15090" max="15090" width="10.140625" style="4" customWidth="1"/>
    <col min="15091" max="15091" width="19" style="4" customWidth="1"/>
    <col min="15092" max="15092" width="11.85546875" style="4" customWidth="1"/>
    <col min="15093" max="15093" width="13.85546875" style="4" customWidth="1"/>
    <col min="15094" max="15094" width="12.28515625" style="4" customWidth="1"/>
    <col min="15095" max="15095" width="12" style="4" customWidth="1"/>
    <col min="15096" max="15096" width="11.42578125" style="4" customWidth="1"/>
    <col min="15097" max="15097" width="11.85546875" style="4" customWidth="1"/>
    <col min="15098" max="15098" width="10.85546875" style="4" customWidth="1"/>
    <col min="15099" max="15099" width="11.85546875" style="4" customWidth="1"/>
    <col min="15100" max="15100" width="11.28515625" style="4" customWidth="1"/>
    <col min="15101" max="15101" width="11.42578125" style="4" customWidth="1"/>
    <col min="15102" max="15102" width="12.140625" style="4" customWidth="1"/>
    <col min="15103" max="15103" width="10.85546875" style="4" bestFit="1" customWidth="1"/>
    <col min="15104" max="15104" width="12.42578125" style="4" bestFit="1" customWidth="1"/>
    <col min="15105" max="15106" width="12.42578125" style="4" customWidth="1"/>
    <col min="15107" max="15342" width="9.140625" style="4"/>
    <col min="15343" max="15343" width="11.140625" style="4" bestFit="1" customWidth="1"/>
    <col min="15344" max="15344" width="14.28515625" style="4" customWidth="1"/>
    <col min="15345" max="15345" width="11.85546875" style="4" customWidth="1"/>
    <col min="15346" max="15346" width="10.140625" style="4" customWidth="1"/>
    <col min="15347" max="15347" width="19" style="4" customWidth="1"/>
    <col min="15348" max="15348" width="11.85546875" style="4" customWidth="1"/>
    <col min="15349" max="15349" width="13.85546875" style="4" customWidth="1"/>
    <col min="15350" max="15350" width="12.28515625" style="4" customWidth="1"/>
    <col min="15351" max="15351" width="12" style="4" customWidth="1"/>
    <col min="15352" max="15352" width="11.42578125" style="4" customWidth="1"/>
    <col min="15353" max="15353" width="11.85546875" style="4" customWidth="1"/>
    <col min="15354" max="15354" width="10.85546875" style="4" customWidth="1"/>
    <col min="15355" max="15355" width="11.85546875" style="4" customWidth="1"/>
    <col min="15356" max="15356" width="11.28515625" style="4" customWidth="1"/>
    <col min="15357" max="15357" width="11.42578125" style="4" customWidth="1"/>
    <col min="15358" max="15358" width="12.140625" style="4" customWidth="1"/>
    <col min="15359" max="15359" width="10.85546875" style="4" bestFit="1" customWidth="1"/>
    <col min="15360" max="15360" width="12.42578125" style="4" bestFit="1" customWidth="1"/>
    <col min="15361" max="15362" width="12.42578125" style="4" customWidth="1"/>
    <col min="15363" max="15598" width="9.140625" style="4"/>
    <col min="15599" max="15599" width="11.140625" style="4" bestFit="1" customWidth="1"/>
    <col min="15600" max="15600" width="14.28515625" style="4" customWidth="1"/>
    <col min="15601" max="15601" width="11.85546875" style="4" customWidth="1"/>
    <col min="15602" max="15602" width="10.140625" style="4" customWidth="1"/>
    <col min="15603" max="15603" width="19" style="4" customWidth="1"/>
    <col min="15604" max="15604" width="11.85546875" style="4" customWidth="1"/>
    <col min="15605" max="15605" width="13.85546875" style="4" customWidth="1"/>
    <col min="15606" max="15606" width="12.28515625" style="4" customWidth="1"/>
    <col min="15607" max="15607" width="12" style="4" customWidth="1"/>
    <col min="15608" max="15608" width="11.42578125" style="4" customWidth="1"/>
    <col min="15609" max="15609" width="11.85546875" style="4" customWidth="1"/>
    <col min="15610" max="15610" width="10.85546875" style="4" customWidth="1"/>
    <col min="15611" max="15611" width="11.85546875" style="4" customWidth="1"/>
    <col min="15612" max="15612" width="11.28515625" style="4" customWidth="1"/>
    <col min="15613" max="15613" width="11.42578125" style="4" customWidth="1"/>
    <col min="15614" max="15614" width="12.140625" style="4" customWidth="1"/>
    <col min="15615" max="15615" width="10.85546875" style="4" bestFit="1" customWidth="1"/>
    <col min="15616" max="15616" width="12.42578125" style="4" bestFit="1" customWidth="1"/>
    <col min="15617" max="15618" width="12.42578125" style="4" customWidth="1"/>
    <col min="15619" max="15854" width="9.140625" style="4"/>
    <col min="15855" max="15855" width="11.140625" style="4" bestFit="1" customWidth="1"/>
    <col min="15856" max="15856" width="14.28515625" style="4" customWidth="1"/>
    <col min="15857" max="15857" width="11.85546875" style="4" customWidth="1"/>
    <col min="15858" max="15858" width="10.140625" style="4" customWidth="1"/>
    <col min="15859" max="15859" width="19" style="4" customWidth="1"/>
    <col min="15860" max="15860" width="11.85546875" style="4" customWidth="1"/>
    <col min="15861" max="15861" width="13.85546875" style="4" customWidth="1"/>
    <col min="15862" max="15862" width="12.28515625" style="4" customWidth="1"/>
    <col min="15863" max="15863" width="12" style="4" customWidth="1"/>
    <col min="15864" max="15864" width="11.42578125" style="4" customWidth="1"/>
    <col min="15865" max="15865" width="11.85546875" style="4" customWidth="1"/>
    <col min="15866" max="15866" width="10.85546875" style="4" customWidth="1"/>
    <col min="15867" max="15867" width="11.85546875" style="4" customWidth="1"/>
    <col min="15868" max="15868" width="11.28515625" style="4" customWidth="1"/>
    <col min="15869" max="15869" width="11.42578125" style="4" customWidth="1"/>
    <col min="15870" max="15870" width="12.140625" style="4" customWidth="1"/>
    <col min="15871" max="15871" width="10.85546875" style="4" bestFit="1" customWidth="1"/>
    <col min="15872" max="15872" width="12.42578125" style="4" bestFit="1" customWidth="1"/>
    <col min="15873" max="15874" width="12.42578125" style="4" customWidth="1"/>
    <col min="15875" max="16110" width="9.140625" style="4"/>
    <col min="16111" max="16111" width="11.140625" style="4" bestFit="1" customWidth="1"/>
    <col min="16112" max="16112" width="14.28515625" style="4" customWidth="1"/>
    <col min="16113" max="16113" width="11.85546875" style="4" customWidth="1"/>
    <col min="16114" max="16114" width="10.140625" style="4" customWidth="1"/>
    <col min="16115" max="16115" width="19" style="4" customWidth="1"/>
    <col min="16116" max="16116" width="11.85546875" style="4" customWidth="1"/>
    <col min="16117" max="16117" width="13.85546875" style="4" customWidth="1"/>
    <col min="16118" max="16118" width="12.28515625" style="4" customWidth="1"/>
    <col min="16119" max="16119" width="12" style="4" customWidth="1"/>
    <col min="16120" max="16120" width="11.42578125" style="4" customWidth="1"/>
    <col min="16121" max="16121" width="11.85546875" style="4" customWidth="1"/>
    <col min="16122" max="16122" width="10.85546875" style="4" customWidth="1"/>
    <col min="16123" max="16123" width="11.85546875" style="4" customWidth="1"/>
    <col min="16124" max="16124" width="11.28515625" style="4" customWidth="1"/>
    <col min="16125" max="16125" width="11.42578125" style="4" customWidth="1"/>
    <col min="16126" max="16126" width="12.140625" style="4" customWidth="1"/>
    <col min="16127" max="16127" width="10.85546875" style="4" bestFit="1" customWidth="1"/>
    <col min="16128" max="16128" width="12.42578125" style="4" bestFit="1" customWidth="1"/>
    <col min="16129" max="16130" width="12.42578125" style="4" customWidth="1"/>
    <col min="16131" max="16384" width="9.140625" style="4"/>
  </cols>
  <sheetData>
    <row r="1" spans="1:12" ht="14.25">
      <c r="A1" s="46" t="s">
        <v>0</v>
      </c>
    </row>
    <row r="2" spans="1:12" ht="14.25">
      <c r="A2" s="46" t="s">
        <v>1</v>
      </c>
      <c r="E2" s="5"/>
      <c r="F2" s="34"/>
    </row>
    <row r="3" spans="1:12" ht="14.25">
      <c r="A3" s="46"/>
    </row>
    <row r="4" spans="1:12">
      <c r="A4" s="5"/>
    </row>
    <row r="5" spans="1:12">
      <c r="A5" s="5"/>
    </row>
    <row r="6" spans="1:12">
      <c r="A6" s="45" t="s">
        <v>2</v>
      </c>
      <c r="B6" s="44"/>
      <c r="C6" s="66"/>
      <c r="D6" s="44"/>
      <c r="E6" s="43"/>
      <c r="F6" s="36" t="s">
        <v>3</v>
      </c>
      <c r="G6" s="36" t="s">
        <v>4</v>
      </c>
    </row>
    <row r="7" spans="1:12">
      <c r="A7" s="42"/>
      <c r="B7" s="37"/>
      <c r="C7" s="41"/>
      <c r="D7" s="40"/>
      <c r="E7" s="39"/>
      <c r="F7" s="38"/>
      <c r="G7" s="38"/>
      <c r="I7" s="52" t="s">
        <v>5</v>
      </c>
      <c r="J7" s="24"/>
      <c r="K7" s="52"/>
      <c r="L7" s="53"/>
    </row>
    <row r="8" spans="1:12">
      <c r="C8" s="5"/>
      <c r="D8" s="36"/>
      <c r="I8" s="52" t="s">
        <v>6</v>
      </c>
      <c r="J8" s="24" t="s">
        <v>7</v>
      </c>
      <c r="K8" s="54" t="s">
        <v>8</v>
      </c>
      <c r="L8" s="55" t="s">
        <v>9</v>
      </c>
    </row>
    <row r="9" spans="1:12">
      <c r="A9" s="4" t="s">
        <v>10</v>
      </c>
      <c r="I9" s="4">
        <v>26.5</v>
      </c>
      <c r="J9" s="4">
        <v>2</v>
      </c>
      <c r="K9" s="51">
        <v>875</v>
      </c>
      <c r="L9" s="51">
        <f>I9*J9*K9</f>
        <v>46375</v>
      </c>
    </row>
    <row r="10" spans="1:12" ht="15">
      <c r="B10" s="52" t="s">
        <v>5</v>
      </c>
      <c r="F10" s="11">
        <f>L9</f>
        <v>46375</v>
      </c>
      <c r="G10" s="11">
        <f>L9</f>
        <v>46375</v>
      </c>
    </row>
    <row r="11" spans="1:12" ht="15">
      <c r="B11" s="52" t="s">
        <v>13</v>
      </c>
      <c r="F11" s="11">
        <f>L13</f>
        <v>27125</v>
      </c>
      <c r="G11" s="11">
        <f>L13</f>
        <v>27125</v>
      </c>
      <c r="I11" s="52" t="s">
        <v>13</v>
      </c>
      <c r="J11" s="24"/>
      <c r="K11" s="52"/>
      <c r="L11" s="53"/>
    </row>
    <row r="12" spans="1:12" ht="15">
      <c r="B12" s="52" t="s">
        <v>17</v>
      </c>
      <c r="F12" s="50">
        <f>L17</f>
        <v>28875</v>
      </c>
      <c r="G12" s="50">
        <f>L17</f>
        <v>28875</v>
      </c>
      <c r="I12" s="52" t="s">
        <v>6</v>
      </c>
      <c r="J12" s="24" t="s">
        <v>7</v>
      </c>
      <c r="K12" s="54" t="s">
        <v>8</v>
      </c>
      <c r="L12" s="55" t="s">
        <v>9</v>
      </c>
    </row>
    <row r="13" spans="1:12">
      <c r="B13" s="4" t="s">
        <v>16</v>
      </c>
      <c r="F13" s="35">
        <f>SUM(F9:F12)</f>
        <v>102375</v>
      </c>
      <c r="G13" s="35">
        <f>SUM(G9:G12)</f>
        <v>102375</v>
      </c>
      <c r="I13" s="4">
        <v>15.5</v>
      </c>
      <c r="J13" s="4">
        <v>2</v>
      </c>
      <c r="K13" s="51">
        <v>875</v>
      </c>
      <c r="L13" s="51">
        <f>I13*J13*K13</f>
        <v>27125</v>
      </c>
    </row>
    <row r="15" spans="1:12">
      <c r="A15" s="24"/>
      <c r="F15" s="35"/>
      <c r="G15" s="35"/>
      <c r="I15" s="52" t="s">
        <v>17</v>
      </c>
      <c r="J15" s="24"/>
      <c r="K15" s="52"/>
      <c r="L15" s="53"/>
    </row>
    <row r="16" spans="1:12">
      <c r="B16" s="24"/>
      <c r="F16" s="56"/>
      <c r="G16" s="56"/>
      <c r="I16" s="52" t="s">
        <v>6</v>
      </c>
      <c r="J16" s="24" t="s">
        <v>7</v>
      </c>
      <c r="K16" s="54" t="s">
        <v>8</v>
      </c>
      <c r="L16" s="55" t="s">
        <v>9</v>
      </c>
    </row>
    <row r="17" spans="1:21">
      <c r="B17" s="24"/>
      <c r="F17" s="35"/>
      <c r="G17" s="35"/>
      <c r="I17" s="4">
        <v>11</v>
      </c>
      <c r="J17" s="4">
        <v>3</v>
      </c>
      <c r="K17" s="51">
        <v>875</v>
      </c>
      <c r="L17" s="51">
        <f>I17*J17*K17</f>
        <v>28875</v>
      </c>
    </row>
    <row r="18" spans="1:21" ht="15">
      <c r="A18" s="4" t="s">
        <v>19</v>
      </c>
      <c r="B18" s="26"/>
      <c r="C18" s="26"/>
      <c r="D18" s="33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</row>
    <row r="19" spans="1:21">
      <c r="A19" s="30" t="s">
        <v>20</v>
      </c>
      <c r="I19" s="52" t="s">
        <v>5</v>
      </c>
      <c r="J19" s="24"/>
      <c r="K19" s="52"/>
      <c r="L19" s="53"/>
      <c r="O19" s="52"/>
      <c r="P19" s="24"/>
      <c r="Q19" s="52"/>
      <c r="R19" s="53"/>
    </row>
    <row r="20" spans="1:21" ht="15">
      <c r="A20" s="30"/>
      <c r="B20" s="52" t="s">
        <v>5</v>
      </c>
      <c r="F20" s="11">
        <f>L21</f>
        <v>14840</v>
      </c>
      <c r="G20" s="11">
        <f>L21</f>
        <v>14840</v>
      </c>
      <c r="I20" s="52" t="s">
        <v>6</v>
      </c>
      <c r="J20" s="24" t="s">
        <v>7</v>
      </c>
      <c r="K20" s="54" t="s">
        <v>8</v>
      </c>
      <c r="L20" s="55" t="s">
        <v>9</v>
      </c>
      <c r="O20" s="52"/>
      <c r="P20" s="24"/>
      <c r="Q20" s="54"/>
      <c r="R20" s="55"/>
    </row>
    <row r="21" spans="1:21" ht="15">
      <c r="A21" s="30"/>
      <c r="B21" s="52" t="s">
        <v>13</v>
      </c>
      <c r="F21" s="11">
        <f>L25</f>
        <v>8680</v>
      </c>
      <c r="G21" s="11">
        <f>L25</f>
        <v>8680</v>
      </c>
      <c r="I21" s="4">
        <v>26.5</v>
      </c>
      <c r="J21" s="4">
        <v>2</v>
      </c>
      <c r="K21" s="51">
        <v>280</v>
      </c>
      <c r="L21" s="51">
        <f>I21*J21*K21</f>
        <v>14840</v>
      </c>
      <c r="Q21" s="51"/>
      <c r="R21" s="51"/>
    </row>
    <row r="22" spans="1:21" ht="15">
      <c r="A22" s="30"/>
      <c r="B22" s="52" t="s">
        <v>17</v>
      </c>
      <c r="F22" s="11">
        <f>L29</f>
        <v>9240</v>
      </c>
      <c r="G22" s="11">
        <f>L29</f>
        <v>9240</v>
      </c>
    </row>
    <row r="23" spans="1:21">
      <c r="A23" s="30"/>
      <c r="H23" s="5"/>
      <c r="I23" s="52" t="s">
        <v>13</v>
      </c>
      <c r="J23" s="24"/>
      <c r="K23" s="52"/>
      <c r="L23" s="53"/>
      <c r="M23" s="24"/>
      <c r="P23" s="24"/>
      <c r="Q23" s="24"/>
      <c r="R23" s="54"/>
    </row>
    <row r="24" spans="1:21">
      <c r="B24" s="4" t="s">
        <v>25</v>
      </c>
      <c r="C24" s="22"/>
      <c r="D24" s="22"/>
      <c r="F24" s="32">
        <f>SUM(F20:F23)</f>
        <v>32760</v>
      </c>
      <c r="G24" s="32">
        <f>SUM(G20:G23)</f>
        <v>32760</v>
      </c>
      <c r="I24" s="52" t="s">
        <v>6</v>
      </c>
      <c r="J24" s="24" t="s">
        <v>7</v>
      </c>
      <c r="K24" s="54" t="s">
        <v>8</v>
      </c>
      <c r="L24" s="55" t="s">
        <v>9</v>
      </c>
      <c r="M24" s="51"/>
      <c r="P24" s="51"/>
      <c r="R24" s="51"/>
    </row>
    <row r="25" spans="1:21">
      <c r="C25" s="22"/>
      <c r="D25" s="22"/>
      <c r="F25" s="7"/>
      <c r="G25" s="7"/>
      <c r="I25" s="4">
        <v>15.5</v>
      </c>
      <c r="J25" s="4">
        <v>2</v>
      </c>
      <c r="K25" s="51">
        <v>280</v>
      </c>
      <c r="L25" s="51">
        <f>I25*J25*K25</f>
        <v>8680</v>
      </c>
    </row>
    <row r="26" spans="1:21">
      <c r="B26" s="4" t="s">
        <v>26</v>
      </c>
      <c r="C26" s="22"/>
      <c r="D26" s="22"/>
      <c r="F26" s="7">
        <f>+F13-F24</f>
        <v>69615</v>
      </c>
      <c r="G26" s="7">
        <f>+G13-G24</f>
        <v>69615</v>
      </c>
    </row>
    <row r="27" spans="1:21">
      <c r="C27" s="22"/>
      <c r="D27" s="22"/>
      <c r="F27" s="7"/>
      <c r="G27" s="7"/>
      <c r="H27" s="1"/>
      <c r="I27" s="52" t="s">
        <v>17</v>
      </c>
      <c r="J27" s="24"/>
      <c r="K27" s="52"/>
      <c r="L27" s="53"/>
    </row>
    <row r="28" spans="1:21" ht="15">
      <c r="A28" s="24"/>
      <c r="B28" s="52"/>
      <c r="F28" s="11"/>
      <c r="G28" s="11"/>
      <c r="I28" s="52" t="s">
        <v>6</v>
      </c>
      <c r="J28" s="24" t="s">
        <v>7</v>
      </c>
      <c r="K28" s="54" t="s">
        <v>8</v>
      </c>
      <c r="L28" s="55" t="s">
        <v>9</v>
      </c>
    </row>
    <row r="29" spans="1:21">
      <c r="C29" s="22"/>
      <c r="D29" s="22"/>
      <c r="F29" s="7"/>
      <c r="G29" s="7"/>
      <c r="H29" s="1"/>
      <c r="I29" s="4">
        <v>11</v>
      </c>
      <c r="J29" s="4">
        <v>3</v>
      </c>
      <c r="K29" s="51">
        <v>280</v>
      </c>
      <c r="L29" s="51">
        <f>I29*J29*K29</f>
        <v>9240</v>
      </c>
    </row>
    <row r="30" spans="1:21" ht="15">
      <c r="B30" s="5" t="s">
        <v>28</v>
      </c>
      <c r="C30" s="31"/>
    </row>
    <row r="31" spans="1:21" ht="15">
      <c r="B31" s="29"/>
      <c r="C31" s="28"/>
      <c r="D31" s="27">
        <f>+E57</f>
        <v>0</v>
      </c>
      <c r="E31" s="26"/>
      <c r="F31" s="25">
        <f t="shared" ref="F31:G35" si="0">+$D31/5</f>
        <v>0</v>
      </c>
      <c r="G31" s="25">
        <f t="shared" si="0"/>
        <v>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 ht="15">
      <c r="D32" s="47"/>
      <c r="F32" s="11">
        <f t="shared" si="0"/>
        <v>0</v>
      </c>
      <c r="G32" s="11">
        <f t="shared" si="0"/>
        <v>0</v>
      </c>
    </row>
    <row r="33" spans="1:21" ht="15">
      <c r="D33" s="47"/>
      <c r="F33" s="11">
        <f t="shared" si="0"/>
        <v>0</v>
      </c>
      <c r="G33" s="11">
        <f t="shared" si="0"/>
        <v>0</v>
      </c>
    </row>
    <row r="34" spans="1:21" ht="15">
      <c r="D34" s="47"/>
      <c r="F34" s="11">
        <f t="shared" si="0"/>
        <v>0</v>
      </c>
      <c r="G34" s="11">
        <f t="shared" si="0"/>
        <v>0</v>
      </c>
    </row>
    <row r="35" spans="1:21" ht="15">
      <c r="D35" s="47"/>
      <c r="F35" s="11">
        <f t="shared" si="0"/>
        <v>0</v>
      </c>
      <c r="G35" s="11">
        <f t="shared" si="0"/>
        <v>0</v>
      </c>
    </row>
    <row r="36" spans="1:21">
      <c r="B36" s="5" t="s">
        <v>29</v>
      </c>
      <c r="C36" s="22"/>
      <c r="D36" s="23">
        <f>SUM(D31:D35)</f>
        <v>0</v>
      </c>
      <c r="F36" s="8">
        <f>SUM(F31:F35)</f>
        <v>0</v>
      </c>
      <c r="G36" s="8">
        <f>SUM(G31:G35)</f>
        <v>0</v>
      </c>
    </row>
    <row r="37" spans="1:21" ht="15">
      <c r="A37" s="30"/>
      <c r="B37" s="22"/>
      <c r="C37" s="22"/>
      <c r="D37" s="8"/>
      <c r="F37" s="11"/>
      <c r="G37" s="11"/>
    </row>
    <row r="38" spans="1:21" ht="15">
      <c r="A38" s="30"/>
      <c r="B38" s="22" t="s">
        <v>30</v>
      </c>
      <c r="C38" s="22"/>
      <c r="D38" s="8"/>
      <c r="F38" s="11">
        <f>+$D$36/5</f>
        <v>0</v>
      </c>
      <c r="G38" s="11">
        <f>+$D$36/5</f>
        <v>0</v>
      </c>
    </row>
    <row r="41" spans="1:21">
      <c r="A41" s="4" t="s">
        <v>31</v>
      </c>
      <c r="F41" s="21">
        <f>F26-F38</f>
        <v>69615</v>
      </c>
      <c r="G41" s="21">
        <f>G26-G38</f>
        <v>69615</v>
      </c>
    </row>
    <row r="42" spans="1:21" ht="15">
      <c r="A42" s="20" t="s">
        <v>32</v>
      </c>
      <c r="F42" s="19">
        <f>SUM(F41/F13)</f>
        <v>0.68</v>
      </c>
      <c r="G42" s="19">
        <f>SUM(G41/G13)</f>
        <v>0.68</v>
      </c>
    </row>
    <row r="43" spans="1:21" ht="15">
      <c r="A43" s="4" t="s">
        <v>33</v>
      </c>
      <c r="F43" s="19"/>
      <c r="G43" s="19"/>
    </row>
    <row r="44" spans="1:21" ht="15">
      <c r="B44" s="4" t="s">
        <v>34</v>
      </c>
      <c r="E44" s="11"/>
      <c r="F44" s="11">
        <f>$E$44*0.2</f>
        <v>0</v>
      </c>
      <c r="G44" s="11">
        <f>$E$44*0.2</f>
        <v>0</v>
      </c>
      <c r="I44" s="1"/>
      <c r="J44" s="1"/>
    </row>
    <row r="45" spans="1:21" ht="15.75" thickBot="1">
      <c r="A45" s="4" t="s">
        <v>35</v>
      </c>
      <c r="E45" s="11"/>
      <c r="F45" s="11">
        <f>F44+F41</f>
        <v>69615</v>
      </c>
      <c r="G45" s="11">
        <f>G44+G41</f>
        <v>69615</v>
      </c>
      <c r="H45" s="63"/>
      <c r="I45" s="64"/>
      <c r="J45" s="65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</row>
    <row r="46" spans="1:21" ht="15.75" thickBot="1">
      <c r="E46" s="11"/>
      <c r="F46" s="11"/>
      <c r="G46" s="11"/>
    </row>
    <row r="47" spans="1:21">
      <c r="A47" s="18" t="s">
        <v>36</v>
      </c>
      <c r="B47" s="17" t="s">
        <v>37</v>
      </c>
      <c r="C47" s="17"/>
      <c r="D47" s="17"/>
      <c r="E47" s="48"/>
      <c r="F47" s="48">
        <f>D36+F24</f>
        <v>32760</v>
      </c>
      <c r="G47" s="48">
        <f>E36+G24</f>
        <v>32760</v>
      </c>
      <c r="H47" s="59"/>
      <c r="I47" s="57"/>
      <c r="J47" s="58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</row>
    <row r="48" spans="1:21">
      <c r="A48" s="16"/>
      <c r="B48" s="15" t="s">
        <v>38</v>
      </c>
      <c r="C48" s="15"/>
      <c r="D48" s="15"/>
      <c r="E48" s="49"/>
      <c r="F48" s="49">
        <f>F13</f>
        <v>102375</v>
      </c>
      <c r="G48" s="49">
        <f>G13</f>
        <v>102375</v>
      </c>
      <c r="H48" s="59"/>
      <c r="I48" s="57"/>
      <c r="J48" s="58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</row>
    <row r="49" spans="1:21" ht="13.5" thickBot="1">
      <c r="A49" s="14"/>
      <c r="B49" s="13" t="s">
        <v>39</v>
      </c>
      <c r="C49" s="13"/>
      <c r="D49" s="13"/>
      <c r="E49" s="12"/>
      <c r="F49" s="12">
        <f>F48-F47</f>
        <v>69615</v>
      </c>
      <c r="G49" s="12">
        <f>G48-G47</f>
        <v>69615</v>
      </c>
      <c r="H49" s="60"/>
      <c r="I49" s="61"/>
      <c r="J49" s="62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5">
      <c r="E50" s="11"/>
      <c r="F50" s="11"/>
      <c r="I50" s="3"/>
      <c r="J50" s="2"/>
    </row>
    <row r="52" spans="1:21" ht="15">
      <c r="E52" s="10"/>
      <c r="F52" s="9"/>
    </row>
    <row r="54" spans="1:21" ht="15">
      <c r="D54" s="9"/>
      <c r="E54" s="9"/>
    </row>
    <row r="57" spans="1:21">
      <c r="E57" s="8"/>
      <c r="F57" s="7"/>
    </row>
    <row r="58" spans="1:21">
      <c r="F58" s="7"/>
    </row>
    <row r="59" spans="1:21">
      <c r="F59" s="7"/>
    </row>
    <row r="62" spans="1:21">
      <c r="B62" s="6"/>
    </row>
    <row r="73" spans="4:4">
      <c r="D73" s="5"/>
    </row>
  </sheetData>
  <phoneticPr fontId="11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BB0804A3A9D4D91D5569A7D5A1F39" ma:contentTypeVersion="10" ma:contentTypeDescription="Create a new document." ma:contentTypeScope="" ma:versionID="f91f19ab8e6180d168d8cd924006b8fe">
  <xsd:schema xmlns:xsd="http://www.w3.org/2001/XMLSchema" xmlns:xs="http://www.w3.org/2001/XMLSchema" xmlns:p="http://schemas.microsoft.com/office/2006/metadata/properties" xmlns:ns1="http://schemas.microsoft.com/sharepoint/v3" xmlns:ns2="e4701e84-4feb-43f3-8ea3-9fc36ceef80d" xmlns:ns3="17c5d3e2-e31c-4977-a240-0d78704119b0" targetNamespace="http://schemas.microsoft.com/office/2006/metadata/properties" ma:root="true" ma:fieldsID="baebd886836b708e4e6bab19c5eb580d" ns1:_="" ns2:_="" ns3:_="">
    <xsd:import namespace="http://schemas.microsoft.com/sharepoint/v3"/>
    <xsd:import namespace="e4701e84-4feb-43f3-8ea3-9fc36ceef80d"/>
    <xsd:import namespace="17c5d3e2-e31c-4977-a240-0d78704119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01e84-4feb-43f3-8ea3-9fc36ceef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5d3e2-e31c-4977-a240-0d78704119b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465D002-48B2-4667-AE48-2556EF3C4093}"/>
</file>

<file path=customXml/itemProps2.xml><?xml version="1.0" encoding="utf-8"?>
<ds:datastoreItem xmlns:ds="http://schemas.openxmlformats.org/officeDocument/2006/customXml" ds:itemID="{BD76993F-CF2D-4AEE-882D-02331FF692BC}"/>
</file>

<file path=customXml/itemProps3.xml><?xml version="1.0" encoding="utf-8"?>
<ds:datastoreItem xmlns:ds="http://schemas.openxmlformats.org/officeDocument/2006/customXml" ds:itemID="{B640BD71-B05E-4422-B62E-D7A11701A4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Colleen Brace</dc:creator>
  <cp:keywords/>
  <dc:description/>
  <cp:lastModifiedBy/>
  <cp:revision/>
  <dcterms:created xsi:type="dcterms:W3CDTF">2017-11-30T19:58:41Z</dcterms:created>
  <dcterms:modified xsi:type="dcterms:W3CDTF">2026-07-14T16:02:22Z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0x010100761BB0804A3A9D4D91D5569A7D5A1F39</vt:lpwstr>
  </property>
</Properties>
</file>