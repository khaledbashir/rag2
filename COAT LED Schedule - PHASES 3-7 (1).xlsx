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cny.sharepoint.com/sites/ANC/Sales/M/Monumental Sports &amp; Entertainment/Capital One Arena/2026 RFP - Clark Construction/RFP Issued Documents/1-22-26 Release/"/>
    </mc:Choice>
  </mc:AlternateContent>
  <xr:revisionPtr revIDLastSave="9" documentId="13_ncr:1_{35349CE6-70DC-4924-BCBA-B30DA1C15280}" xr6:coauthVersionLast="47" xr6:coauthVersionMax="47" xr10:uidLastSave="{545C128B-EEF5-489A-B1F7-755ECE6335E2}"/>
  <bookViews>
    <workbookView xWindow="-120" yWindow="-120" windowWidth="29040" windowHeight="15720" xr2:uid="{35043806-F442-46C6-B8A3-1A52134E7FBF}"/>
  </bookViews>
  <sheets>
    <sheet name="Sheet3" sheetId="3" r:id="rId1"/>
  </sheets>
  <definedNames>
    <definedName name="_xlnm.Print_Area" localSheetId="0">Sheet3!$A$1:$V$69</definedName>
    <definedName name="RavensLEDSchedule_Sheet1" comment="Excel2DWG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3" l="1"/>
</calcChain>
</file>

<file path=xl/sharedStrings.xml><?xml version="1.0" encoding="utf-8"?>
<sst xmlns="http://schemas.openxmlformats.org/spreadsheetml/2006/main" count="646" uniqueCount="134">
  <si>
    <t>LEVEL</t>
  </si>
  <si>
    <t>LOCATION</t>
  </si>
  <si>
    <t>IMAGE HEIGHT</t>
  </si>
  <si>
    <t>IMAGE WIDTH</t>
  </si>
  <si>
    <t>TOLERANCE</t>
  </si>
  <si>
    <t>MAX HEIGHT</t>
  </si>
  <si>
    <t>1. FIELD VERIFY ALL DIMENSIONS FOR ALL LED DISPLAYS.</t>
  </si>
  <si>
    <t>GENERAL NOTES:</t>
  </si>
  <si>
    <t>DISPLAY SPECIFIC NOTES</t>
  </si>
  <si>
    <t>INDOOR / OUTDOOR</t>
  </si>
  <si>
    <t>INDOOR</t>
  </si>
  <si>
    <t>1.2MM</t>
  </si>
  <si>
    <t>LED CMS RACK ROOM</t>
  </si>
  <si>
    <t>700 NITS</t>
  </si>
  <si>
    <t>LED HEADEND RACK ROOM</t>
  </si>
  <si>
    <t>UNIFORM BRIGHTNESS</t>
  </si>
  <si>
    <t>HDR</t>
  </si>
  <si>
    <t>FRONT</t>
  </si>
  <si>
    <t>1.9MM</t>
  </si>
  <si>
    <t>-FULL SCREEN LED CMS (LIVE VIDEO, ADVERTISING, ANIMATIONS, GAME-IN-PROGRESS)</t>
  </si>
  <si>
    <t>3.9MM</t>
  </si>
  <si>
    <t>ID</t>
  </si>
  <si>
    <t>BID PACKAGE</t>
  </si>
  <si>
    <t>INSTALL YEAR</t>
  </si>
  <si>
    <t>LED CMS TYPE</t>
  </si>
  <si>
    <t>--</t>
  </si>
  <si>
    <t>LED-EXT.SW-101</t>
  </si>
  <si>
    <t>N/A</t>
  </si>
  <si>
    <t>CONTINUOUS WRAP-AROUND CORNER</t>
  </si>
  <si>
    <t>OUTDOOR</t>
  </si>
  <si>
    <t>3000 NITS</t>
  </si>
  <si>
    <t>2.9MM</t>
  </si>
  <si>
    <t>LED-EXT.E-103</t>
  </si>
  <si>
    <t>EAST DISPLAY</t>
  </si>
  <si>
    <t>8MM</t>
  </si>
  <si>
    <t>LED-EXT.W-105</t>
  </si>
  <si>
    <t>WEST DISPLAY</t>
  </si>
  <si>
    <t>LED-L1-01</t>
  </si>
  <si>
    <t>LEVELS:</t>
  </si>
  <si>
    <t>EXT = EXTERIOR</t>
  </si>
  <si>
    <t>P1 = PARKING LEVEL 1</t>
  </si>
  <si>
    <t>E0 = EVENT LEVEL</t>
  </si>
  <si>
    <t>MZ = MEZZANINE LEVEL</t>
  </si>
  <si>
    <t>L1 = MAIN CONCOURSE</t>
  </si>
  <si>
    <t>L2 = SUITE CONCOURSE</t>
  </si>
  <si>
    <t>L3 = CLUB CONCOURSE</t>
  </si>
  <si>
    <t>L4 = UPPER CONCOURSE</t>
  </si>
  <si>
    <t>L6 = PRESS LEVEL</t>
  </si>
  <si>
    <t>B# = BOWL LED</t>
  </si>
  <si>
    <t>DISPLAY SPECIFIC NOTES:</t>
  </si>
  <si>
    <t>1. SINGLE MODE FIBER WILL BE PROVIDED BY OTHERS BETWEEN COA NORTH (LED CMS LOCATION - COLOSSEO) AND COA EVENT LEVEL RACK ROOM. LED BIDDER SHALL EXTEND VIDEO, DATA, AND CONTROL SIGNALS TO LED HEADEND RACK ROOM FOR EACH LED DISPLAY.</t>
  </si>
  <si>
    <t>2. ADD-ALT OPTIONS SHALL INCLUDE ALL ELECTRICAL, DATA, CMS, AND OTHER COSTS TO IMPLEMENT THESE OPTIONS.</t>
  </si>
  <si>
    <t xml:space="preserve">2. IN BID PACKAGE (TBD), INCLUDE NEW LED CMS TYPE (TBD) TO PROVIDE CONTENT FOR THESE LED DISPLAYS, AND REPLACE LED CMS TYPE 1 (COLOSSEO). PROVIDE ALL CABLING AND ACCESSORIES. REMOVE LED CMS TYPE 1 AND ALL CABLING NO LONGER REQUIRED. </t>
  </si>
  <si>
    <t>MAIN CONCOURSE</t>
  </si>
  <si>
    <t>SOUTH (F-STREET) ENTRY LOBBY, CEILING</t>
  </si>
  <si>
    <t>LED-L1-03</t>
  </si>
  <si>
    <t>EAST (6th ST) PREMIUM ENTRY LOBBY, BEHIND GLASS</t>
  </si>
  <si>
    <t>LED-L1-04</t>
  </si>
  <si>
    <t>GPL1 = GALLERY PLACE LEVEL 1</t>
  </si>
  <si>
    <t>GPL2 = GALLERY PLACE LEVEL 2</t>
  </si>
  <si>
    <t>LED-GPL2-01</t>
  </si>
  <si>
    <t>GPL LEVEL 2</t>
  </si>
  <si>
    <t>LED-GPL2-02</t>
  </si>
  <si>
    <t>LED-GPL2-03</t>
  </si>
  <si>
    <t>LED-EXT.S-106</t>
  </si>
  <si>
    <t>SOUTH DISPLAY NEAR ENTRY</t>
  </si>
  <si>
    <t>LED-GPL1-01</t>
  </si>
  <si>
    <t>GPL LEVEL 1</t>
  </si>
  <si>
    <t>ATRIUM LED 1</t>
  </si>
  <si>
    <t>LED-GPL1-02</t>
  </si>
  <si>
    <t>ATRIUM LED 2</t>
  </si>
  <si>
    <t>LED-GPL1-04</t>
  </si>
  <si>
    <t>ATRIUM LED 4</t>
  </si>
  <si>
    <t>LED.EXT.SW-201</t>
  </si>
  <si>
    <t>LED.EXT.SW-202</t>
  </si>
  <si>
    <t>LED.EXT.SW-203</t>
  </si>
  <si>
    <t>PIXEL PITCH</t>
  </si>
  <si>
    <t>DISPLAY IS AT PEDESTRIAN HEIGHT. BIDDER TO PROPOSE PHYSICAL PROTECTION</t>
  </si>
  <si>
    <t>AV/IT 1.5.208</t>
  </si>
  <si>
    <t>-FULL SCREEN LED CMS (LIVE VIDEO, ADVERTISING, ANIMATIONS, GAME-IN-PROGRESS)
- MINIMUM (1) SPARE 4K HDMI INPUT PER DISPLAY</t>
  </si>
  <si>
    <t xml:space="preserve">DISPLAY IS LOCATED ACROSS AN EXPANSION JOINT. ATTACH LED TO ONE SIDE ONLY. </t>
  </si>
  <si>
    <t>LED FIBER CONV RACK (IF REQUIRED)</t>
  </si>
  <si>
    <t>MPR - EAST WALL</t>
  </si>
  <si>
    <t>AV/IT 2.5.130</t>
  </si>
  <si>
    <t>PROVIDE SYNC INPUT FROM VIDEO PRODUCTION SYSTEM.
INTEGRATE CONTROL WITH 27 41 16 AV SYSTEM</t>
  </si>
  <si>
    <t>MPR - NORTH WALL - EAST SIDE</t>
  </si>
  <si>
    <t>MPR - NORTH WALL - WEST SIDE</t>
  </si>
  <si>
    <t>SW CORNER</t>
  </si>
  <si>
    <t>P1 LED HEADEND</t>
  </si>
  <si>
    <t>8000 NITS</t>
  </si>
  <si>
    <t>4000 NITS</t>
  </si>
  <si>
    <t>LED-EXT.N-107</t>
  </si>
  <si>
    <t>NORTH DISPLAY NEAR ENTRY</t>
  </si>
  <si>
    <t>SW WMATA VESTIBULE
INSIDE</t>
  </si>
  <si>
    <t>DISPLAY REMAINS FOR BASE BID.
1:1 REPLACEMENT OF EXISTING LED
ADD-ALT</t>
  </si>
  <si>
    <t>SW WMATA VESTIBULE</t>
  </si>
  <si>
    <t>LED.EXT.SW-204</t>
  </si>
  <si>
    <t>LED.EXT.SW-205</t>
  </si>
  <si>
    <t>CURVED CEILING</t>
  </si>
  <si>
    <t>LED-C1-01</t>
  </si>
  <si>
    <t>100 LEVEL</t>
  </si>
  <si>
    <t>LED-C1-02</t>
  </si>
  <si>
    <t>LED-C1-03</t>
  </si>
  <si>
    <t>LED-C1-04</t>
  </si>
  <si>
    <t>LED-C1-05</t>
  </si>
  <si>
    <t>LED-C1-06</t>
  </si>
  <si>
    <t>LED-C1-07</t>
  </si>
  <si>
    <t>LED-C1-08</t>
  </si>
  <si>
    <t>LED-C1-09</t>
  </si>
  <si>
    <t>LED-VB-01 - LED-VB-06</t>
  </si>
  <si>
    <t>VISIBOWL SOUTH
LED DISPLAY SHALL BE UNINTERUPTED FROM EDGE TO EDGE, CONTINIUNG OVER THE VOMS. 
REFER TO ARCHITECTURAL DRAWINGS FOR EXACT DIMENSIONS AND SHAPE</t>
  </si>
  <si>
    <t>LED-VB-07 - LED-VB-09</t>
  </si>
  <si>
    <t>VISIBOWL NORTH
LED DISPLAY SHALL BE UNINTERUPTED FROM EDGE TO EDGE, CONTINIUNG OVER THE VOMS. 
REFER TO ARCHITECTURAL DRAWINGS FOR EXACT DIMENSIONS AND SHAPE</t>
  </si>
  <si>
    <t>LED-C2-01</t>
  </si>
  <si>
    <t>200 LEVEL</t>
  </si>
  <si>
    <t>LED-C2-02</t>
  </si>
  <si>
    <t>LED-C2-03</t>
  </si>
  <si>
    <t>LED-C2-04</t>
  </si>
  <si>
    <t>LED-C2-05</t>
  </si>
  <si>
    <t>LED-C2-06</t>
  </si>
  <si>
    <t>LED-C4-01</t>
  </si>
  <si>
    <t>400 LEVEL</t>
  </si>
  <si>
    <t>LED-C4-02</t>
  </si>
  <si>
    <t>LED-C4-03</t>
  </si>
  <si>
    <t>LED-C4-04</t>
  </si>
  <si>
    <t>LED-C4-05</t>
  </si>
  <si>
    <t>LED-C4-06</t>
  </si>
  <si>
    <t>SERVICE</t>
  </si>
  <si>
    <t>- INPUTS FROM AV SYSTEM PER AV DRAWINGS. 
- INCLUDE (2) 12G-SDI INPUTS FOR IMAG INPUTS FROM VIDEO PRODUCTION SYSTEM</t>
  </si>
  <si>
    <t>DISPLAY REMAINS FOR BASE BID.
1:1 REPLACEMENT OF EXISTING LED IS ADD-ALT</t>
  </si>
  <si>
    <t>INDOOR LED MESH - TRANSPARENT, 45-55% OPEN.
DISPLAY IS EXCLUDED FROM BASE BID. ADD-ALT ONLY</t>
  </si>
  <si>
    <t>BIDDER TO PROPOSE</t>
  </si>
  <si>
    <t>CMS TYPE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</si>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</sst>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u/>
      <sz val="10"/>
      <color theme="1"/>
      <name val="Arial"/>
      <family val="2"/>
    </font>
    <font>
      <sz val="8"/>
      <name val="Aptos Narrow"/>
      <family val="2"/>
      <scheme val="minor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quotePrefix="1" applyFont="1" applyBorder="1" applyAlignment="1">
      <alignment vertical="center" wrapText="1"/>
    </xf>
    <xf numFmtId="1" fontId="1" fillId="0" borderId="1" xfId="0" applyNumberFormat="1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left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3" fillId="0" borderId="0" xfId="0" applyFont="1"/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quotePrefix="1" applyFont="1" applyBorder="1" applyAlignment="1">
      <alignment horizontal="left" vertical="center" wrapText="1"/>
    </xf>
    <xf numFmtId="0" fontId="5" fillId="0" borderId="1" xfId="0" quotePrefix="1" applyFont="1" applyBorder="1" applyAlignment="1">
      <alignment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quotePrefix="1" applyFont="1" applyFill="1" applyBorder="1" applyAlignment="1">
      <alignment horizontal="left" vertical="center" wrapText="1"/>
    </xf>
    <xf numFmtId="0" fontId="1" fillId="2" borderId="1" xfId="0" quotePrefix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5" fillId="0" borderId="1" xfId="0" quotePrefix="1" applyNumberFormat="1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E7AFF-2447-4235-929C-73566393EE8F}">
  <sheetPr>
    <pageSetUpPr fitToPage="1"/>
  </sheetPr>
  <dimension ref="A1:V69"/>
  <sheetViews>
    <sheetView tabSelected="1" zoomScale="80" zoomScaleNormal="80" workbookViewId="0">
      <selection sqref="A1:V69"/>
    </sheetView>
  </sheetViews>
  <sheetFormatPr defaultColWidth="8.7109375" defaultRowHeight="12.75" x14ac:dyDescent="0.2"/>
  <cols>
    <col min="1" max="1" width="16.140625" style="15" customWidth="1"/>
    <col min="2" max="2" width="11" style="15" customWidth="1"/>
    <col min="3" max="3" width="10.5703125" style="15" customWidth="1"/>
    <col min="4" max="4" width="18.5703125" style="4" bestFit="1" customWidth="1"/>
    <col min="5" max="5" width="31.28515625" style="4" customWidth="1"/>
    <col min="6" max="6" width="15" style="6" customWidth="1"/>
    <col min="7" max="7" width="17.140625" style="4" customWidth="1"/>
    <col min="8" max="8" width="14.140625" style="16" bestFit="1" customWidth="1"/>
    <col min="9" max="9" width="15.140625" style="4" bestFit="1" customWidth="1"/>
    <col min="10" max="10" width="57.5703125" style="4" customWidth="1"/>
    <col min="11" max="11" width="52.140625" style="6" customWidth="1"/>
    <col min="12" max="12" width="5.5703125" style="6" customWidth="1"/>
    <col min="13" max="13" width="5.28515625" style="6" customWidth="1"/>
    <col min="14" max="14" width="5" style="6" customWidth="1"/>
    <col min="15" max="15" width="8.140625" style="6" customWidth="1"/>
    <col min="16" max="16" width="12.85546875" style="6" customWidth="1"/>
    <col min="17" max="17" width="11" style="6" bestFit="1" customWidth="1"/>
    <col min="18" max="18" width="11.7109375" style="6" bestFit="1" customWidth="1"/>
    <col min="19" max="19" width="10" style="6" bestFit="1" customWidth="1"/>
    <col min="20" max="20" width="13.28515625" style="6" customWidth="1"/>
    <col min="21" max="21" width="14.42578125" style="6" customWidth="1"/>
    <col min="22" max="22" width="8.5703125" style="1" bestFit="1" customWidth="1"/>
    <col min="23" max="16384" width="8.7109375" style="1"/>
  </cols>
  <sheetData>
    <row r="1" spans="1:22" ht="50.1" customHeight="1" x14ac:dyDescent="0.2">
      <c r="A1" s="5" t="s">
        <v>21</v>
      </c>
      <c r="B1" s="5" t="s">
        <v>22</v>
      </c>
      <c r="C1" s="5" t="s">
        <v>23</v>
      </c>
      <c r="D1" s="2" t="s">
        <v>0</v>
      </c>
      <c r="E1" s="2" t="s">
        <v>1</v>
      </c>
      <c r="F1" s="3" t="s">
        <v>12</v>
      </c>
      <c r="G1" s="2" t="s">
        <v>14</v>
      </c>
      <c r="H1" s="2" t="s">
        <v>81</v>
      </c>
      <c r="I1" s="2" t="s">
        <v>132</v>
      </c>
      <c r="J1" s="3" t="s">
        <v>24</v>
      </c>
      <c r="K1" s="2" t="s">
        <v>8</v>
      </c>
      <c r="L1" s="37" t="s">
        <v>2</v>
      </c>
      <c r="M1" s="38"/>
      <c r="N1" s="37" t="s">
        <v>3</v>
      </c>
      <c r="O1" s="38"/>
      <c r="P1" s="5" t="s">
        <v>4</v>
      </c>
      <c r="Q1" s="5" t="s">
        <v>5</v>
      </c>
      <c r="R1" s="5" t="s">
        <v>76</v>
      </c>
      <c r="S1" s="5" t="s">
        <v>9</v>
      </c>
      <c r="T1" s="5" t="s">
        <v>15</v>
      </c>
      <c r="U1" s="5" t="s">
        <v>15</v>
      </c>
      <c r="V1" s="5" t="s">
        <v>127</v>
      </c>
    </row>
    <row r="2" spans="1:22" ht="38.25" x14ac:dyDescent="0.2">
      <c r="A2" s="5" t="s">
        <v>60</v>
      </c>
      <c r="B2" s="5">
        <v>4</v>
      </c>
      <c r="C2" s="5">
        <v>2026</v>
      </c>
      <c r="D2" s="2" t="s">
        <v>61</v>
      </c>
      <c r="E2" s="2" t="s">
        <v>82</v>
      </c>
      <c r="F2" s="2" t="s">
        <v>83</v>
      </c>
      <c r="G2" s="2" t="s">
        <v>83</v>
      </c>
      <c r="H2" s="2" t="s">
        <v>27</v>
      </c>
      <c r="I2" s="13" t="s">
        <v>133</v>
      </c>
      <c r="J2" s="7" t="s">
        <v>128</v>
      </c>
      <c r="K2" s="24" t="s">
        <v>84</v>
      </c>
      <c r="L2" s="8">
        <v>9</v>
      </c>
      <c r="M2" s="5">
        <v>0</v>
      </c>
      <c r="N2" s="5">
        <v>16</v>
      </c>
      <c r="O2" s="5">
        <v>0</v>
      </c>
      <c r="P2" s="9">
        <v>0.01</v>
      </c>
      <c r="Q2" s="14" t="s">
        <v>25</v>
      </c>
      <c r="R2" s="5" t="s">
        <v>11</v>
      </c>
      <c r="S2" s="5" t="s">
        <v>10</v>
      </c>
      <c r="T2" s="5" t="s">
        <v>13</v>
      </c>
      <c r="U2" s="5" t="s">
        <v>16</v>
      </c>
      <c r="V2" s="5" t="s">
        <v>17</v>
      </c>
    </row>
    <row r="3" spans="1:22" ht="38.25" x14ac:dyDescent="0.2">
      <c r="A3" s="5" t="s">
        <v>62</v>
      </c>
      <c r="B3" s="5">
        <v>4</v>
      </c>
      <c r="C3" s="5">
        <v>2026</v>
      </c>
      <c r="D3" s="2" t="s">
        <v>61</v>
      </c>
      <c r="E3" s="2" t="s">
        <v>85</v>
      </c>
      <c r="F3" s="2" t="s">
        <v>83</v>
      </c>
      <c r="G3" s="2" t="s">
        <v>83</v>
      </c>
      <c r="H3" s="2" t="s">
        <v>27</v>
      </c>
      <c r="I3" s="13" t="s">
        <v>133</v>
      </c>
      <c r="J3" s="7" t="s">
        <v>128</v>
      </c>
      <c r="K3" s="24" t="s">
        <v>84</v>
      </c>
      <c r="L3" s="12">
        <v>5</v>
      </c>
      <c r="M3" s="12">
        <v>4</v>
      </c>
      <c r="N3" s="12">
        <v>9</v>
      </c>
      <c r="O3" s="12">
        <v>6</v>
      </c>
      <c r="P3" s="9">
        <v>0.01</v>
      </c>
      <c r="Q3" s="14" t="s">
        <v>25</v>
      </c>
      <c r="R3" s="5" t="s">
        <v>11</v>
      </c>
      <c r="S3" s="5" t="s">
        <v>10</v>
      </c>
      <c r="T3" s="5" t="s">
        <v>13</v>
      </c>
      <c r="U3" s="5" t="s">
        <v>16</v>
      </c>
      <c r="V3" s="5" t="s">
        <v>17</v>
      </c>
    </row>
    <row r="4" spans="1:22" ht="38.25" x14ac:dyDescent="0.2">
      <c r="A4" s="5" t="s">
        <v>63</v>
      </c>
      <c r="B4" s="5">
        <v>4</v>
      </c>
      <c r="C4" s="5">
        <v>2026</v>
      </c>
      <c r="D4" s="2" t="s">
        <v>61</v>
      </c>
      <c r="E4" s="2" t="s">
        <v>86</v>
      </c>
      <c r="F4" s="2" t="s">
        <v>83</v>
      </c>
      <c r="G4" s="2" t="s">
        <v>83</v>
      </c>
      <c r="H4" s="2" t="s">
        <v>27</v>
      </c>
      <c r="I4" s="13" t="s">
        <v>133</v>
      </c>
      <c r="J4" s="7" t="s">
        <v>128</v>
      </c>
      <c r="K4" s="24" t="s">
        <v>84</v>
      </c>
      <c r="L4" s="12">
        <v>5</v>
      </c>
      <c r="M4" s="12">
        <v>4</v>
      </c>
      <c r="N4" s="12">
        <v>9</v>
      </c>
      <c r="O4" s="12">
        <v>6</v>
      </c>
      <c r="P4" s="9">
        <v>0.01</v>
      </c>
      <c r="Q4" s="14" t="s">
        <v>25</v>
      </c>
      <c r="R4" s="5" t="s">
        <v>11</v>
      </c>
      <c r="S4" s="5" t="s">
        <v>10</v>
      </c>
      <c r="T4" s="5" t="s">
        <v>13</v>
      </c>
      <c r="U4" s="5" t="s">
        <v>16</v>
      </c>
      <c r="V4" s="5" t="s">
        <v>17</v>
      </c>
    </row>
    <row r="5" spans="1:22" ht="25.5" x14ac:dyDescent="0.2">
      <c r="A5" s="5" t="s">
        <v>26</v>
      </c>
      <c r="B5" s="5">
        <v>6</v>
      </c>
      <c r="C5" s="5">
        <v>2026</v>
      </c>
      <c r="D5" s="2" t="s">
        <v>27</v>
      </c>
      <c r="E5" s="2" t="s">
        <v>87</v>
      </c>
      <c r="F5" s="2" t="s">
        <v>88</v>
      </c>
      <c r="G5" s="2" t="s">
        <v>88</v>
      </c>
      <c r="H5" s="2" t="s">
        <v>131</v>
      </c>
      <c r="I5" s="13" t="s">
        <v>133</v>
      </c>
      <c r="J5" s="7" t="s">
        <v>19</v>
      </c>
      <c r="K5" s="11" t="s">
        <v>28</v>
      </c>
      <c r="L5" s="8">
        <v>23</v>
      </c>
      <c r="M5" s="5">
        <v>10</v>
      </c>
      <c r="N5" s="5">
        <f>47+45</f>
        <v>92</v>
      </c>
      <c r="O5" s="5">
        <v>8</v>
      </c>
      <c r="P5" s="9">
        <v>0.01</v>
      </c>
      <c r="Q5" s="14" t="s">
        <v>25</v>
      </c>
      <c r="R5" s="5" t="s">
        <v>34</v>
      </c>
      <c r="S5" s="5" t="s">
        <v>29</v>
      </c>
      <c r="T5" s="5" t="s">
        <v>89</v>
      </c>
      <c r="U5" s="5" t="s">
        <v>16</v>
      </c>
      <c r="V5" s="5" t="s">
        <v>17</v>
      </c>
    </row>
    <row r="6" spans="1:22" ht="25.5" x14ac:dyDescent="0.2">
      <c r="A6" s="5" t="s">
        <v>32</v>
      </c>
      <c r="B6" s="5">
        <v>6</v>
      </c>
      <c r="C6" s="5">
        <v>2026</v>
      </c>
      <c r="D6" s="2" t="s">
        <v>27</v>
      </c>
      <c r="E6" s="2" t="s">
        <v>33</v>
      </c>
      <c r="F6" s="2" t="s">
        <v>88</v>
      </c>
      <c r="G6" s="2" t="s">
        <v>88</v>
      </c>
      <c r="H6" s="2" t="s">
        <v>131</v>
      </c>
      <c r="I6" s="13" t="s">
        <v>133</v>
      </c>
      <c r="J6" s="7" t="s">
        <v>19</v>
      </c>
      <c r="K6" s="11"/>
      <c r="L6" s="12">
        <v>20</v>
      </c>
      <c r="M6" s="12">
        <v>10</v>
      </c>
      <c r="N6" s="12">
        <v>30</v>
      </c>
      <c r="O6" s="12">
        <v>2</v>
      </c>
      <c r="P6" s="9">
        <v>0.01</v>
      </c>
      <c r="Q6" s="14" t="s">
        <v>25</v>
      </c>
      <c r="R6" s="5" t="s">
        <v>34</v>
      </c>
      <c r="S6" s="5" t="s">
        <v>29</v>
      </c>
      <c r="T6" s="5" t="s">
        <v>89</v>
      </c>
      <c r="U6" s="5" t="s">
        <v>16</v>
      </c>
      <c r="V6" s="5" t="s">
        <v>17</v>
      </c>
    </row>
    <row r="7" spans="1:22" ht="25.5" x14ac:dyDescent="0.2">
      <c r="A7" s="5" t="s">
        <v>35</v>
      </c>
      <c r="B7" s="5">
        <v>6</v>
      </c>
      <c r="C7" s="5">
        <v>2026</v>
      </c>
      <c r="D7" s="2" t="s">
        <v>27</v>
      </c>
      <c r="E7" s="2" t="s">
        <v>36</v>
      </c>
      <c r="F7" s="2" t="s">
        <v>88</v>
      </c>
      <c r="G7" s="2" t="s">
        <v>88</v>
      </c>
      <c r="H7" s="2" t="s">
        <v>131</v>
      </c>
      <c r="I7" s="13" t="s">
        <v>133</v>
      </c>
      <c r="J7" s="7" t="s">
        <v>19</v>
      </c>
      <c r="K7" s="11"/>
      <c r="L7" s="12">
        <v>23</v>
      </c>
      <c r="M7" s="12">
        <v>10</v>
      </c>
      <c r="N7" s="12">
        <v>57</v>
      </c>
      <c r="O7" s="12">
        <v>10</v>
      </c>
      <c r="P7" s="9">
        <v>0.01</v>
      </c>
      <c r="Q7" s="14" t="s">
        <v>25</v>
      </c>
      <c r="R7" s="5" t="s">
        <v>34</v>
      </c>
      <c r="S7" s="5" t="s">
        <v>29</v>
      </c>
      <c r="T7" s="5" t="s">
        <v>89</v>
      </c>
      <c r="U7" s="5" t="s">
        <v>16</v>
      </c>
      <c r="V7" s="5" t="s">
        <v>17</v>
      </c>
    </row>
    <row r="8" spans="1:22" ht="25.5" x14ac:dyDescent="0.2">
      <c r="A8" s="5" t="s">
        <v>64</v>
      </c>
      <c r="B8" s="5">
        <v>6</v>
      </c>
      <c r="C8" s="5">
        <v>2026</v>
      </c>
      <c r="D8" s="2" t="s">
        <v>27</v>
      </c>
      <c r="E8" s="2" t="s">
        <v>65</v>
      </c>
      <c r="F8" s="2" t="s">
        <v>88</v>
      </c>
      <c r="G8" s="2" t="s">
        <v>88</v>
      </c>
      <c r="H8" s="2" t="s">
        <v>131</v>
      </c>
      <c r="I8" s="13" t="s">
        <v>133</v>
      </c>
      <c r="J8" s="7" t="s">
        <v>19</v>
      </c>
      <c r="K8" s="11" t="s">
        <v>77</v>
      </c>
      <c r="L8" s="12">
        <v>7</v>
      </c>
      <c r="M8" s="12">
        <v>0</v>
      </c>
      <c r="N8" s="12">
        <v>22</v>
      </c>
      <c r="O8" s="12">
        <v>8</v>
      </c>
      <c r="P8" s="9">
        <v>0.01</v>
      </c>
      <c r="Q8" s="14" t="s">
        <v>25</v>
      </c>
      <c r="R8" s="5" t="s">
        <v>31</v>
      </c>
      <c r="S8" s="5" t="s">
        <v>29</v>
      </c>
      <c r="T8" s="5" t="s">
        <v>90</v>
      </c>
      <c r="U8" s="5" t="s">
        <v>16</v>
      </c>
      <c r="V8" s="5" t="s">
        <v>17</v>
      </c>
    </row>
    <row r="9" spans="1:22" ht="25.5" x14ac:dyDescent="0.2">
      <c r="A9" s="5" t="s">
        <v>91</v>
      </c>
      <c r="B9" s="5">
        <v>6</v>
      </c>
      <c r="C9" s="5">
        <v>2026</v>
      </c>
      <c r="D9" s="2" t="s">
        <v>27</v>
      </c>
      <c r="E9" s="2" t="s">
        <v>92</v>
      </c>
      <c r="F9" s="2" t="s">
        <v>88</v>
      </c>
      <c r="G9" s="2" t="s">
        <v>88</v>
      </c>
      <c r="H9" s="2" t="s">
        <v>131</v>
      </c>
      <c r="I9" s="13" t="s">
        <v>133</v>
      </c>
      <c r="J9" s="7" t="s">
        <v>19</v>
      </c>
      <c r="K9" s="11" t="s">
        <v>77</v>
      </c>
      <c r="L9" s="12">
        <v>6</v>
      </c>
      <c r="M9" s="12">
        <v>0</v>
      </c>
      <c r="N9" s="12">
        <v>15</v>
      </c>
      <c r="O9" s="12">
        <v>3</v>
      </c>
      <c r="P9" s="9">
        <v>0.01</v>
      </c>
      <c r="Q9" s="14"/>
      <c r="R9" s="5" t="s">
        <v>31</v>
      </c>
      <c r="S9" s="5" t="s">
        <v>29</v>
      </c>
      <c r="T9" s="5" t="s">
        <v>90</v>
      </c>
      <c r="U9" s="5" t="s">
        <v>16</v>
      </c>
      <c r="V9" s="5" t="s">
        <v>17</v>
      </c>
    </row>
    <row r="10" spans="1:22" ht="38.25" x14ac:dyDescent="0.2">
      <c r="A10" s="25" t="s">
        <v>73</v>
      </c>
      <c r="B10" s="25">
        <v>6</v>
      </c>
      <c r="C10" s="25">
        <v>2026</v>
      </c>
      <c r="D10" s="26" t="s">
        <v>27</v>
      </c>
      <c r="E10" s="26" t="s">
        <v>93</v>
      </c>
      <c r="F10" s="26" t="s">
        <v>88</v>
      </c>
      <c r="G10" s="26" t="s">
        <v>88</v>
      </c>
      <c r="H10" s="26" t="s">
        <v>131</v>
      </c>
      <c r="I10" s="27" t="s">
        <v>133</v>
      </c>
      <c r="J10" s="28" t="s">
        <v>19</v>
      </c>
      <c r="K10" s="29" t="s">
        <v>94</v>
      </c>
      <c r="L10" s="33">
        <v>5</v>
      </c>
      <c r="M10" s="33">
        <v>0</v>
      </c>
      <c r="N10" s="33">
        <v>21</v>
      </c>
      <c r="O10" s="33">
        <v>3</v>
      </c>
      <c r="P10" s="31">
        <v>0.01</v>
      </c>
      <c r="Q10" s="32"/>
      <c r="R10" s="25" t="s">
        <v>31</v>
      </c>
      <c r="S10" s="25" t="s">
        <v>29</v>
      </c>
      <c r="T10" s="25" t="s">
        <v>30</v>
      </c>
      <c r="U10" s="25" t="s">
        <v>16</v>
      </c>
      <c r="V10" s="25" t="s">
        <v>17</v>
      </c>
    </row>
    <row r="11" spans="1:22" ht="25.5" x14ac:dyDescent="0.2">
      <c r="A11" s="25" t="s">
        <v>74</v>
      </c>
      <c r="B11" s="25">
        <v>6</v>
      </c>
      <c r="C11" s="25">
        <v>2026</v>
      </c>
      <c r="D11" s="26" t="s">
        <v>27</v>
      </c>
      <c r="E11" s="26" t="s">
        <v>95</v>
      </c>
      <c r="F11" s="26" t="s">
        <v>88</v>
      </c>
      <c r="G11" s="26" t="s">
        <v>88</v>
      </c>
      <c r="H11" s="26" t="s">
        <v>131</v>
      </c>
      <c r="I11" s="27" t="s">
        <v>133</v>
      </c>
      <c r="J11" s="28" t="s">
        <v>19</v>
      </c>
      <c r="K11" s="29" t="s">
        <v>129</v>
      </c>
      <c r="L11" s="33">
        <v>2</v>
      </c>
      <c r="M11" s="33">
        <v>4</v>
      </c>
      <c r="N11" s="33">
        <v>21</v>
      </c>
      <c r="O11" s="33">
        <v>3</v>
      </c>
      <c r="P11" s="31">
        <v>0.01</v>
      </c>
      <c r="Q11" s="32"/>
      <c r="R11" s="25" t="s">
        <v>31</v>
      </c>
      <c r="S11" s="25" t="s">
        <v>29</v>
      </c>
      <c r="T11" s="25" t="s">
        <v>30</v>
      </c>
      <c r="U11" s="25" t="s">
        <v>16</v>
      </c>
      <c r="V11" s="25" t="s">
        <v>17</v>
      </c>
    </row>
    <row r="12" spans="1:22" ht="25.5" x14ac:dyDescent="0.2">
      <c r="A12" s="25" t="s">
        <v>75</v>
      </c>
      <c r="B12" s="25">
        <v>6</v>
      </c>
      <c r="C12" s="25">
        <v>2026</v>
      </c>
      <c r="D12" s="26" t="s">
        <v>27</v>
      </c>
      <c r="E12" s="26" t="s">
        <v>95</v>
      </c>
      <c r="F12" s="26" t="s">
        <v>88</v>
      </c>
      <c r="G12" s="26" t="s">
        <v>88</v>
      </c>
      <c r="H12" s="26" t="s">
        <v>131</v>
      </c>
      <c r="I12" s="27" t="s">
        <v>133</v>
      </c>
      <c r="J12" s="28" t="s">
        <v>19</v>
      </c>
      <c r="K12" s="29" t="s">
        <v>129</v>
      </c>
      <c r="L12" s="33">
        <v>2</v>
      </c>
      <c r="M12" s="33">
        <v>4</v>
      </c>
      <c r="N12" s="33">
        <v>21</v>
      </c>
      <c r="O12" s="33">
        <v>3</v>
      </c>
      <c r="P12" s="31">
        <v>0.01</v>
      </c>
      <c r="Q12" s="32"/>
      <c r="R12" s="25" t="s">
        <v>31</v>
      </c>
      <c r="S12" s="25" t="s">
        <v>29</v>
      </c>
      <c r="T12" s="25" t="s">
        <v>30</v>
      </c>
      <c r="U12" s="25" t="s">
        <v>16</v>
      </c>
      <c r="V12" s="25" t="s">
        <v>17</v>
      </c>
    </row>
    <row r="13" spans="1:22" ht="25.5" x14ac:dyDescent="0.2">
      <c r="A13" s="25" t="s">
        <v>96</v>
      </c>
      <c r="B13" s="25">
        <v>6</v>
      </c>
      <c r="C13" s="25">
        <v>2026</v>
      </c>
      <c r="D13" s="26" t="s">
        <v>27</v>
      </c>
      <c r="E13" s="26" t="s">
        <v>95</v>
      </c>
      <c r="F13" s="26" t="s">
        <v>88</v>
      </c>
      <c r="G13" s="26" t="s">
        <v>88</v>
      </c>
      <c r="H13" s="26" t="s">
        <v>131</v>
      </c>
      <c r="I13" s="27" t="s">
        <v>133</v>
      </c>
      <c r="J13" s="28" t="s">
        <v>19</v>
      </c>
      <c r="K13" s="29" t="s">
        <v>129</v>
      </c>
      <c r="L13" s="33">
        <v>2</v>
      </c>
      <c r="M13" s="33">
        <v>4</v>
      </c>
      <c r="N13" s="33">
        <v>21</v>
      </c>
      <c r="O13" s="33">
        <v>3</v>
      </c>
      <c r="P13" s="31">
        <v>0.01</v>
      </c>
      <c r="Q13" s="32"/>
      <c r="R13" s="25" t="s">
        <v>31</v>
      </c>
      <c r="S13" s="25" t="s">
        <v>29</v>
      </c>
      <c r="T13" s="25" t="s">
        <v>30</v>
      </c>
      <c r="U13" s="25" t="s">
        <v>16</v>
      </c>
      <c r="V13" s="25" t="s">
        <v>17</v>
      </c>
    </row>
    <row r="14" spans="1:22" ht="25.5" x14ac:dyDescent="0.2">
      <c r="A14" s="25" t="s">
        <v>97</v>
      </c>
      <c r="B14" s="25">
        <v>6</v>
      </c>
      <c r="C14" s="25">
        <v>2026</v>
      </c>
      <c r="D14" s="26" t="s">
        <v>27</v>
      </c>
      <c r="E14" s="26" t="s">
        <v>95</v>
      </c>
      <c r="F14" s="26" t="s">
        <v>88</v>
      </c>
      <c r="G14" s="26" t="s">
        <v>88</v>
      </c>
      <c r="H14" s="26" t="s">
        <v>131</v>
      </c>
      <c r="I14" s="27" t="s">
        <v>133</v>
      </c>
      <c r="J14" s="28" t="s">
        <v>19</v>
      </c>
      <c r="K14" s="29" t="s">
        <v>129</v>
      </c>
      <c r="L14" s="33">
        <v>2</v>
      </c>
      <c r="M14" s="33">
        <v>4</v>
      </c>
      <c r="N14" s="33">
        <v>21</v>
      </c>
      <c r="O14" s="33">
        <v>3</v>
      </c>
      <c r="P14" s="31">
        <v>0.01</v>
      </c>
      <c r="Q14" s="32"/>
      <c r="R14" s="25" t="s">
        <v>31</v>
      </c>
      <c r="S14" s="25" t="s">
        <v>29</v>
      </c>
      <c r="T14" s="25" t="s">
        <v>30</v>
      </c>
      <c r="U14" s="25" t="s">
        <v>16</v>
      </c>
      <c r="V14" s="25" t="s">
        <v>17</v>
      </c>
    </row>
    <row r="15" spans="1:22" ht="25.5" x14ac:dyDescent="0.2">
      <c r="A15" s="5" t="s">
        <v>37</v>
      </c>
      <c r="B15" s="5">
        <v>6</v>
      </c>
      <c r="C15" s="5">
        <v>2026</v>
      </c>
      <c r="D15" s="2" t="s">
        <v>53</v>
      </c>
      <c r="E15" s="2" t="s">
        <v>54</v>
      </c>
      <c r="F15" s="2" t="s">
        <v>88</v>
      </c>
      <c r="G15" s="2" t="s">
        <v>88</v>
      </c>
      <c r="H15" s="2" t="s">
        <v>131</v>
      </c>
      <c r="I15" s="13" t="s">
        <v>133</v>
      </c>
      <c r="J15" s="7" t="s">
        <v>19</v>
      </c>
      <c r="K15" s="11" t="s">
        <v>98</v>
      </c>
      <c r="L15" s="8">
        <v>43</v>
      </c>
      <c r="M15" s="5">
        <v>0</v>
      </c>
      <c r="N15" s="5">
        <v>68</v>
      </c>
      <c r="O15" s="5">
        <v>0</v>
      </c>
      <c r="P15" s="9">
        <v>0.01</v>
      </c>
      <c r="Q15" s="14" t="s">
        <v>25</v>
      </c>
      <c r="R15" s="5" t="s">
        <v>18</v>
      </c>
      <c r="S15" s="5" t="s">
        <v>10</v>
      </c>
      <c r="T15" s="5" t="s">
        <v>30</v>
      </c>
      <c r="U15" s="5" t="s">
        <v>16</v>
      </c>
      <c r="V15" s="5" t="s">
        <v>17</v>
      </c>
    </row>
    <row r="16" spans="1:22" ht="38.25" x14ac:dyDescent="0.2">
      <c r="A16" s="25" t="s">
        <v>55</v>
      </c>
      <c r="B16" s="25">
        <v>6</v>
      </c>
      <c r="C16" s="25">
        <v>2027</v>
      </c>
      <c r="D16" s="26" t="s">
        <v>53</v>
      </c>
      <c r="E16" s="26" t="s">
        <v>56</v>
      </c>
      <c r="F16" s="26" t="s">
        <v>88</v>
      </c>
      <c r="G16" s="26" t="s">
        <v>88</v>
      </c>
      <c r="H16" s="26" t="s">
        <v>131</v>
      </c>
      <c r="I16" s="27" t="s">
        <v>133</v>
      </c>
      <c r="J16" s="28" t="s">
        <v>19</v>
      </c>
      <c r="K16" s="29" t="s">
        <v>130</v>
      </c>
      <c r="L16" s="30">
        <v>14</v>
      </c>
      <c r="M16" s="25">
        <v>0</v>
      </c>
      <c r="N16" s="25">
        <v>63</v>
      </c>
      <c r="O16" s="25">
        <v>3</v>
      </c>
      <c r="P16" s="31">
        <v>0.01</v>
      </c>
      <c r="Q16" s="32" t="s">
        <v>25</v>
      </c>
      <c r="R16" s="25" t="s">
        <v>20</v>
      </c>
      <c r="S16" s="25" t="s">
        <v>10</v>
      </c>
      <c r="T16" s="25" t="s">
        <v>30</v>
      </c>
      <c r="U16" s="25" t="s">
        <v>16</v>
      </c>
      <c r="V16" s="25" t="s">
        <v>17</v>
      </c>
    </row>
    <row r="17" spans="1:22" ht="38.25" x14ac:dyDescent="0.2">
      <c r="A17" s="25" t="s">
        <v>57</v>
      </c>
      <c r="B17" s="25">
        <v>6</v>
      </c>
      <c r="C17" s="25">
        <v>2027</v>
      </c>
      <c r="D17" s="26" t="s">
        <v>53</v>
      </c>
      <c r="E17" s="26" t="s">
        <v>56</v>
      </c>
      <c r="F17" s="26" t="s">
        <v>88</v>
      </c>
      <c r="G17" s="26" t="s">
        <v>88</v>
      </c>
      <c r="H17" s="26" t="s">
        <v>131</v>
      </c>
      <c r="I17" s="27" t="s">
        <v>133</v>
      </c>
      <c r="J17" s="28" t="s">
        <v>19</v>
      </c>
      <c r="K17" s="29" t="s">
        <v>130</v>
      </c>
      <c r="L17" s="30">
        <v>14</v>
      </c>
      <c r="M17" s="25">
        <v>0</v>
      </c>
      <c r="N17" s="25">
        <v>21</v>
      </c>
      <c r="O17" s="25">
        <v>3</v>
      </c>
      <c r="P17" s="31">
        <v>0.01</v>
      </c>
      <c r="Q17" s="32" t="s">
        <v>25</v>
      </c>
      <c r="R17" s="25" t="s">
        <v>20</v>
      </c>
      <c r="S17" s="25" t="s">
        <v>10</v>
      </c>
      <c r="T17" s="25" t="s">
        <v>30</v>
      </c>
      <c r="U17" s="25" t="s">
        <v>16</v>
      </c>
      <c r="V17" s="25" t="s">
        <v>17</v>
      </c>
    </row>
    <row r="18" spans="1:22" ht="25.5" x14ac:dyDescent="0.2">
      <c r="A18" s="5" t="s">
        <v>99</v>
      </c>
      <c r="B18" s="5">
        <v>7</v>
      </c>
      <c r="C18" s="5">
        <v>2027</v>
      </c>
      <c r="D18" s="2" t="s">
        <v>100</v>
      </c>
      <c r="E18" s="2" t="s">
        <v>53</v>
      </c>
      <c r="F18" s="2" t="s">
        <v>88</v>
      </c>
      <c r="G18" s="2" t="s">
        <v>88</v>
      </c>
      <c r="H18" s="2" t="s">
        <v>131</v>
      </c>
      <c r="I18" s="13" t="s">
        <v>133</v>
      </c>
      <c r="J18" s="7" t="s">
        <v>19</v>
      </c>
      <c r="K18" s="2"/>
      <c r="L18" s="8">
        <v>6</v>
      </c>
      <c r="M18" s="5">
        <v>0</v>
      </c>
      <c r="N18" s="5">
        <v>12</v>
      </c>
      <c r="O18" s="5">
        <v>0</v>
      </c>
      <c r="P18" s="9">
        <v>0.01</v>
      </c>
      <c r="Q18" s="14" t="s">
        <v>25</v>
      </c>
      <c r="R18" s="5" t="s">
        <v>18</v>
      </c>
      <c r="S18" s="5" t="s">
        <v>10</v>
      </c>
      <c r="T18" s="5" t="s">
        <v>13</v>
      </c>
      <c r="U18" s="5" t="s">
        <v>16</v>
      </c>
      <c r="V18" s="5" t="s">
        <v>17</v>
      </c>
    </row>
    <row r="19" spans="1:22" ht="25.5" x14ac:dyDescent="0.2">
      <c r="A19" s="5" t="s">
        <v>101</v>
      </c>
      <c r="B19" s="5">
        <v>7</v>
      </c>
      <c r="C19" s="5">
        <v>2027</v>
      </c>
      <c r="D19" s="2" t="s">
        <v>100</v>
      </c>
      <c r="E19" s="2" t="s">
        <v>53</v>
      </c>
      <c r="F19" s="2" t="s">
        <v>88</v>
      </c>
      <c r="G19" s="2" t="s">
        <v>88</v>
      </c>
      <c r="H19" s="2" t="s">
        <v>131</v>
      </c>
      <c r="I19" s="13" t="s">
        <v>133</v>
      </c>
      <c r="J19" s="7" t="s">
        <v>19</v>
      </c>
      <c r="K19" s="2"/>
      <c r="L19" s="8">
        <v>6</v>
      </c>
      <c r="M19" s="5">
        <v>0</v>
      </c>
      <c r="N19" s="5">
        <v>21</v>
      </c>
      <c r="O19" s="5">
        <v>0</v>
      </c>
      <c r="P19" s="9">
        <v>0.01</v>
      </c>
      <c r="Q19" s="14" t="s">
        <v>25</v>
      </c>
      <c r="R19" s="5" t="s">
        <v>18</v>
      </c>
      <c r="S19" s="5" t="s">
        <v>10</v>
      </c>
      <c r="T19" s="5" t="s">
        <v>13</v>
      </c>
      <c r="U19" s="5" t="s">
        <v>16</v>
      </c>
      <c r="V19" s="5" t="s">
        <v>17</v>
      </c>
    </row>
    <row r="20" spans="1:22" ht="25.5" x14ac:dyDescent="0.2">
      <c r="A20" s="5" t="s">
        <v>102</v>
      </c>
      <c r="B20" s="5">
        <v>7</v>
      </c>
      <c r="C20" s="5">
        <v>2027</v>
      </c>
      <c r="D20" s="2" t="s">
        <v>100</v>
      </c>
      <c r="E20" s="2" t="s">
        <v>53</v>
      </c>
      <c r="F20" s="2" t="s">
        <v>88</v>
      </c>
      <c r="G20" s="2" t="s">
        <v>88</v>
      </c>
      <c r="H20" s="2" t="s">
        <v>131</v>
      </c>
      <c r="I20" s="13" t="s">
        <v>133</v>
      </c>
      <c r="J20" s="7" t="s">
        <v>19</v>
      </c>
      <c r="K20" s="2"/>
      <c r="L20" s="8">
        <v>6</v>
      </c>
      <c r="M20" s="5">
        <v>0</v>
      </c>
      <c r="N20" s="5">
        <v>8</v>
      </c>
      <c r="O20" s="5">
        <v>0</v>
      </c>
      <c r="P20" s="9">
        <v>0.01</v>
      </c>
      <c r="Q20" s="14" t="s">
        <v>25</v>
      </c>
      <c r="R20" s="5" t="s">
        <v>18</v>
      </c>
      <c r="S20" s="5" t="s">
        <v>10</v>
      </c>
      <c r="T20" s="5" t="s">
        <v>13</v>
      </c>
      <c r="U20" s="5" t="s">
        <v>16</v>
      </c>
      <c r="V20" s="5" t="s">
        <v>17</v>
      </c>
    </row>
    <row r="21" spans="1:22" ht="25.5" x14ac:dyDescent="0.2">
      <c r="A21" s="5" t="s">
        <v>103</v>
      </c>
      <c r="B21" s="5">
        <v>7</v>
      </c>
      <c r="C21" s="5">
        <v>2027</v>
      </c>
      <c r="D21" s="2" t="s">
        <v>100</v>
      </c>
      <c r="E21" s="2" t="s">
        <v>53</v>
      </c>
      <c r="F21" s="2" t="s">
        <v>88</v>
      </c>
      <c r="G21" s="2" t="s">
        <v>88</v>
      </c>
      <c r="H21" s="2" t="s">
        <v>131</v>
      </c>
      <c r="I21" s="13" t="s">
        <v>133</v>
      </c>
      <c r="J21" s="7" t="s">
        <v>19</v>
      </c>
      <c r="K21" s="2"/>
      <c r="L21" s="8">
        <v>6</v>
      </c>
      <c r="M21" s="5">
        <v>0</v>
      </c>
      <c r="N21" s="5">
        <v>21</v>
      </c>
      <c r="O21" s="5">
        <v>0</v>
      </c>
      <c r="P21" s="9">
        <v>0.01</v>
      </c>
      <c r="Q21" s="14" t="s">
        <v>25</v>
      </c>
      <c r="R21" s="5" t="s">
        <v>18</v>
      </c>
      <c r="S21" s="5" t="s">
        <v>10</v>
      </c>
      <c r="T21" s="5" t="s">
        <v>13</v>
      </c>
      <c r="U21" s="5" t="s">
        <v>16</v>
      </c>
      <c r="V21" s="5" t="s">
        <v>17</v>
      </c>
    </row>
    <row r="22" spans="1:22" ht="25.5" x14ac:dyDescent="0.2">
      <c r="A22" s="5" t="s">
        <v>104</v>
      </c>
      <c r="B22" s="5">
        <v>7</v>
      </c>
      <c r="C22" s="5">
        <v>2027</v>
      </c>
      <c r="D22" s="2" t="s">
        <v>100</v>
      </c>
      <c r="E22" s="2" t="s">
        <v>53</v>
      </c>
      <c r="F22" s="2" t="s">
        <v>88</v>
      </c>
      <c r="G22" s="2" t="s">
        <v>88</v>
      </c>
      <c r="H22" s="2" t="s">
        <v>131</v>
      </c>
      <c r="I22" s="13" t="s">
        <v>133</v>
      </c>
      <c r="J22" s="7" t="s">
        <v>19</v>
      </c>
      <c r="K22" s="2"/>
      <c r="L22" s="8">
        <v>6</v>
      </c>
      <c r="M22" s="5">
        <v>0</v>
      </c>
      <c r="N22" s="5">
        <v>12</v>
      </c>
      <c r="O22" s="5">
        <v>0</v>
      </c>
      <c r="P22" s="9">
        <v>0.01</v>
      </c>
      <c r="Q22" s="14" t="s">
        <v>25</v>
      </c>
      <c r="R22" s="5" t="s">
        <v>18</v>
      </c>
      <c r="S22" s="5" t="s">
        <v>10</v>
      </c>
      <c r="T22" s="5" t="s">
        <v>13</v>
      </c>
      <c r="U22" s="5" t="s">
        <v>16</v>
      </c>
      <c r="V22" s="5" t="s">
        <v>17</v>
      </c>
    </row>
    <row r="23" spans="1:22" ht="25.5" x14ac:dyDescent="0.2">
      <c r="A23" s="5" t="s">
        <v>105</v>
      </c>
      <c r="B23" s="5">
        <v>7</v>
      </c>
      <c r="C23" s="5">
        <v>2027</v>
      </c>
      <c r="D23" s="2" t="s">
        <v>100</v>
      </c>
      <c r="E23" s="2" t="s">
        <v>53</v>
      </c>
      <c r="F23" s="2" t="s">
        <v>88</v>
      </c>
      <c r="G23" s="2" t="s">
        <v>88</v>
      </c>
      <c r="H23" s="2" t="s">
        <v>131</v>
      </c>
      <c r="I23" s="13" t="s">
        <v>133</v>
      </c>
      <c r="J23" s="7" t="s">
        <v>19</v>
      </c>
      <c r="K23" s="2"/>
      <c r="L23" s="8">
        <v>6</v>
      </c>
      <c r="M23" s="5">
        <v>0</v>
      </c>
      <c r="N23" s="5">
        <v>12</v>
      </c>
      <c r="O23" s="5">
        <v>0</v>
      </c>
      <c r="P23" s="9">
        <v>0.01</v>
      </c>
      <c r="Q23" s="14" t="s">
        <v>25</v>
      </c>
      <c r="R23" s="5" t="s">
        <v>18</v>
      </c>
      <c r="S23" s="5" t="s">
        <v>10</v>
      </c>
      <c r="T23" s="5" t="s">
        <v>13</v>
      </c>
      <c r="U23" s="5" t="s">
        <v>16</v>
      </c>
      <c r="V23" s="5" t="s">
        <v>17</v>
      </c>
    </row>
    <row r="24" spans="1:22" ht="25.5" x14ac:dyDescent="0.2">
      <c r="A24" s="5" t="s">
        <v>106</v>
      </c>
      <c r="B24" s="5">
        <v>7</v>
      </c>
      <c r="C24" s="5">
        <v>2027</v>
      </c>
      <c r="D24" s="2" t="s">
        <v>100</v>
      </c>
      <c r="E24" s="2" t="s">
        <v>53</v>
      </c>
      <c r="F24" s="2" t="s">
        <v>88</v>
      </c>
      <c r="G24" s="2" t="s">
        <v>88</v>
      </c>
      <c r="H24" s="2" t="s">
        <v>131</v>
      </c>
      <c r="I24" s="13" t="s">
        <v>133</v>
      </c>
      <c r="J24" s="7" t="s">
        <v>19</v>
      </c>
      <c r="K24" s="2"/>
      <c r="L24" s="5">
        <v>10</v>
      </c>
      <c r="M24" s="5">
        <v>0</v>
      </c>
      <c r="N24" s="5">
        <v>70</v>
      </c>
      <c r="O24" s="5">
        <v>0</v>
      </c>
      <c r="P24" s="9">
        <v>0.01</v>
      </c>
      <c r="Q24" s="14" t="s">
        <v>25</v>
      </c>
      <c r="R24" s="5" t="s">
        <v>18</v>
      </c>
      <c r="S24" s="5" t="s">
        <v>10</v>
      </c>
      <c r="T24" s="5" t="s">
        <v>13</v>
      </c>
      <c r="U24" s="5" t="s">
        <v>16</v>
      </c>
      <c r="V24" s="5" t="s">
        <v>17</v>
      </c>
    </row>
    <row r="25" spans="1:22" ht="25.5" x14ac:dyDescent="0.2">
      <c r="A25" s="5" t="s">
        <v>107</v>
      </c>
      <c r="B25" s="5">
        <v>7</v>
      </c>
      <c r="C25" s="5">
        <v>2027</v>
      </c>
      <c r="D25" s="2" t="s">
        <v>100</v>
      </c>
      <c r="E25" s="2" t="s">
        <v>53</v>
      </c>
      <c r="F25" s="2" t="s">
        <v>88</v>
      </c>
      <c r="G25" s="2" t="s">
        <v>88</v>
      </c>
      <c r="H25" s="2" t="s">
        <v>131</v>
      </c>
      <c r="I25" s="13" t="s">
        <v>133</v>
      </c>
      <c r="J25" s="7" t="s">
        <v>19</v>
      </c>
      <c r="K25" s="2"/>
      <c r="L25" s="5">
        <v>10</v>
      </c>
      <c r="M25" s="5">
        <v>0</v>
      </c>
      <c r="N25" s="5">
        <v>70</v>
      </c>
      <c r="O25" s="5">
        <v>0</v>
      </c>
      <c r="P25" s="9">
        <v>0.01</v>
      </c>
      <c r="Q25" s="14" t="s">
        <v>25</v>
      </c>
      <c r="R25" s="5" t="s">
        <v>18</v>
      </c>
      <c r="S25" s="5" t="s">
        <v>10</v>
      </c>
      <c r="T25" s="5" t="s">
        <v>13</v>
      </c>
      <c r="U25" s="5" t="s">
        <v>16</v>
      </c>
      <c r="V25" s="5" t="s">
        <v>17</v>
      </c>
    </row>
    <row r="26" spans="1:22" ht="25.5" x14ac:dyDescent="0.2">
      <c r="A26" s="5" t="s">
        <v>108</v>
      </c>
      <c r="B26" s="5">
        <v>7</v>
      </c>
      <c r="C26" s="5">
        <v>2027</v>
      </c>
      <c r="D26" s="2" t="s">
        <v>100</v>
      </c>
      <c r="E26" s="2" t="s">
        <v>53</v>
      </c>
      <c r="F26" s="2" t="s">
        <v>88</v>
      </c>
      <c r="G26" s="2" t="s">
        <v>88</v>
      </c>
      <c r="H26" s="2" t="s">
        <v>131</v>
      </c>
      <c r="I26" s="13" t="s">
        <v>133</v>
      </c>
      <c r="J26" s="7" t="s">
        <v>19</v>
      </c>
      <c r="K26" s="2"/>
      <c r="L26" s="5">
        <v>10</v>
      </c>
      <c r="M26" s="5">
        <v>0</v>
      </c>
      <c r="N26" s="5">
        <v>70</v>
      </c>
      <c r="O26" s="5">
        <v>0</v>
      </c>
      <c r="P26" s="9">
        <v>0.01</v>
      </c>
      <c r="Q26" s="14" t="s">
        <v>25</v>
      </c>
      <c r="R26" s="5" t="s">
        <v>18</v>
      </c>
      <c r="S26" s="5" t="s">
        <v>10</v>
      </c>
      <c r="T26" s="5" t="s">
        <v>13</v>
      </c>
      <c r="U26" s="5" t="s">
        <v>16</v>
      </c>
      <c r="V26" s="5" t="s">
        <v>17</v>
      </c>
    </row>
    <row r="27" spans="1:22" ht="63.75" x14ac:dyDescent="0.2">
      <c r="A27" s="19" t="s">
        <v>109</v>
      </c>
      <c r="B27" s="19">
        <v>7</v>
      </c>
      <c r="C27" s="19">
        <v>2027</v>
      </c>
      <c r="D27" s="20" t="s">
        <v>100</v>
      </c>
      <c r="E27" s="20" t="s">
        <v>53</v>
      </c>
      <c r="F27" s="20" t="s">
        <v>88</v>
      </c>
      <c r="G27" s="20" t="s">
        <v>88</v>
      </c>
      <c r="H27" s="20" t="s">
        <v>131</v>
      </c>
      <c r="I27" s="21" t="s">
        <v>133</v>
      </c>
      <c r="J27" s="22" t="s">
        <v>19</v>
      </c>
      <c r="K27" s="20" t="s">
        <v>110</v>
      </c>
      <c r="L27" s="34" t="s">
        <v>25</v>
      </c>
      <c r="M27" s="34" t="s">
        <v>25</v>
      </c>
      <c r="N27" s="34" t="s">
        <v>25</v>
      </c>
      <c r="O27" s="34" t="s">
        <v>25</v>
      </c>
      <c r="P27" s="23">
        <v>0.01</v>
      </c>
      <c r="Q27" s="35" t="s">
        <v>25</v>
      </c>
      <c r="R27" s="19" t="s">
        <v>18</v>
      </c>
      <c r="S27" s="19" t="s">
        <v>10</v>
      </c>
      <c r="T27" s="19" t="s">
        <v>13</v>
      </c>
      <c r="U27" s="19" t="s">
        <v>16</v>
      </c>
      <c r="V27" s="19" t="s">
        <v>17</v>
      </c>
    </row>
    <row r="28" spans="1:22" ht="63.75" x14ac:dyDescent="0.2">
      <c r="A28" s="19" t="s">
        <v>111</v>
      </c>
      <c r="B28" s="19">
        <v>7</v>
      </c>
      <c r="C28" s="19">
        <v>2027</v>
      </c>
      <c r="D28" s="20" t="s">
        <v>100</v>
      </c>
      <c r="E28" s="20" t="s">
        <v>53</v>
      </c>
      <c r="F28" s="20" t="s">
        <v>88</v>
      </c>
      <c r="G28" s="20" t="s">
        <v>88</v>
      </c>
      <c r="H28" s="20" t="s">
        <v>131</v>
      </c>
      <c r="I28" s="21" t="s">
        <v>133</v>
      </c>
      <c r="J28" s="22" t="s">
        <v>19</v>
      </c>
      <c r="K28" s="20" t="s">
        <v>112</v>
      </c>
      <c r="L28" s="34" t="s">
        <v>25</v>
      </c>
      <c r="M28" s="34" t="s">
        <v>25</v>
      </c>
      <c r="N28" s="34" t="s">
        <v>25</v>
      </c>
      <c r="O28" s="34" t="s">
        <v>25</v>
      </c>
      <c r="P28" s="23">
        <v>0.01</v>
      </c>
      <c r="Q28" s="35" t="s">
        <v>25</v>
      </c>
      <c r="R28" s="19" t="s">
        <v>18</v>
      </c>
      <c r="S28" s="19" t="s">
        <v>10</v>
      </c>
      <c r="T28" s="19" t="s">
        <v>13</v>
      </c>
      <c r="U28" s="19" t="s">
        <v>16</v>
      </c>
      <c r="V28" s="19" t="s">
        <v>17</v>
      </c>
    </row>
    <row r="29" spans="1:22" ht="25.5" x14ac:dyDescent="0.2">
      <c r="A29" s="5" t="s">
        <v>113</v>
      </c>
      <c r="B29" s="5">
        <v>7</v>
      </c>
      <c r="C29" s="5">
        <v>2027</v>
      </c>
      <c r="D29" s="2" t="s">
        <v>114</v>
      </c>
      <c r="E29" s="2" t="s">
        <v>53</v>
      </c>
      <c r="F29" s="2" t="s">
        <v>88</v>
      </c>
      <c r="G29" s="2" t="s">
        <v>88</v>
      </c>
      <c r="H29" s="2" t="s">
        <v>131</v>
      </c>
      <c r="I29" s="13" t="s">
        <v>133</v>
      </c>
      <c r="J29" s="7" t="s">
        <v>19</v>
      </c>
      <c r="K29" s="2"/>
      <c r="L29" s="8">
        <v>30</v>
      </c>
      <c r="M29" s="5">
        <v>0</v>
      </c>
      <c r="N29" s="5">
        <v>6</v>
      </c>
      <c r="O29" s="5">
        <v>0</v>
      </c>
      <c r="P29" s="9">
        <v>0.01</v>
      </c>
      <c r="Q29" s="14" t="s">
        <v>25</v>
      </c>
      <c r="R29" s="5" t="s">
        <v>18</v>
      </c>
      <c r="S29" s="5" t="s">
        <v>10</v>
      </c>
      <c r="T29" s="5" t="s">
        <v>13</v>
      </c>
      <c r="U29" s="5" t="s">
        <v>16</v>
      </c>
      <c r="V29" s="5" t="s">
        <v>17</v>
      </c>
    </row>
    <row r="30" spans="1:22" ht="25.5" x14ac:dyDescent="0.2">
      <c r="A30" s="5" t="s">
        <v>115</v>
      </c>
      <c r="B30" s="5">
        <v>7</v>
      </c>
      <c r="C30" s="5">
        <v>2027</v>
      </c>
      <c r="D30" s="2" t="s">
        <v>114</v>
      </c>
      <c r="E30" s="2" t="s">
        <v>53</v>
      </c>
      <c r="F30" s="2" t="s">
        <v>88</v>
      </c>
      <c r="G30" s="2" t="s">
        <v>88</v>
      </c>
      <c r="H30" s="2" t="s">
        <v>131</v>
      </c>
      <c r="I30" s="13" t="s">
        <v>133</v>
      </c>
      <c r="J30" s="7" t="s">
        <v>19</v>
      </c>
      <c r="K30" s="2"/>
      <c r="L30" s="8">
        <v>30</v>
      </c>
      <c r="M30" s="5">
        <v>0</v>
      </c>
      <c r="N30" s="5">
        <v>6</v>
      </c>
      <c r="O30" s="5">
        <v>0</v>
      </c>
      <c r="P30" s="9">
        <v>0.01</v>
      </c>
      <c r="Q30" s="14" t="s">
        <v>25</v>
      </c>
      <c r="R30" s="5" t="s">
        <v>18</v>
      </c>
      <c r="S30" s="5" t="s">
        <v>10</v>
      </c>
      <c r="T30" s="5" t="s">
        <v>13</v>
      </c>
      <c r="U30" s="5" t="s">
        <v>16</v>
      </c>
      <c r="V30" s="5" t="s">
        <v>17</v>
      </c>
    </row>
    <row r="31" spans="1:22" ht="25.5" x14ac:dyDescent="0.2">
      <c r="A31" s="5" t="s">
        <v>116</v>
      </c>
      <c r="B31" s="5">
        <v>7</v>
      </c>
      <c r="C31" s="5">
        <v>2027</v>
      </c>
      <c r="D31" s="2" t="s">
        <v>114</v>
      </c>
      <c r="E31" s="2" t="s">
        <v>53</v>
      </c>
      <c r="F31" s="2" t="s">
        <v>88</v>
      </c>
      <c r="G31" s="2" t="s">
        <v>88</v>
      </c>
      <c r="H31" s="2" t="s">
        <v>131</v>
      </c>
      <c r="I31" s="13" t="s">
        <v>133</v>
      </c>
      <c r="J31" s="7" t="s">
        <v>19</v>
      </c>
      <c r="K31" s="2"/>
      <c r="L31" s="8">
        <v>21</v>
      </c>
      <c r="M31" s="5">
        <v>0</v>
      </c>
      <c r="N31" s="5">
        <v>6</v>
      </c>
      <c r="O31" s="5">
        <v>0</v>
      </c>
      <c r="P31" s="9">
        <v>0.01</v>
      </c>
      <c r="Q31" s="14" t="s">
        <v>25</v>
      </c>
      <c r="R31" s="5" t="s">
        <v>18</v>
      </c>
      <c r="S31" s="5" t="s">
        <v>10</v>
      </c>
      <c r="T31" s="5" t="s">
        <v>13</v>
      </c>
      <c r="U31" s="5" t="s">
        <v>16</v>
      </c>
      <c r="V31" s="5" t="s">
        <v>17</v>
      </c>
    </row>
    <row r="32" spans="1:22" ht="25.5" x14ac:dyDescent="0.2">
      <c r="A32" s="5" t="s">
        <v>117</v>
      </c>
      <c r="B32" s="5">
        <v>7</v>
      </c>
      <c r="C32" s="5">
        <v>2027</v>
      </c>
      <c r="D32" s="2" t="s">
        <v>114</v>
      </c>
      <c r="E32" s="2" t="s">
        <v>53</v>
      </c>
      <c r="F32" s="2" t="s">
        <v>88</v>
      </c>
      <c r="G32" s="2" t="s">
        <v>88</v>
      </c>
      <c r="H32" s="2" t="s">
        <v>131</v>
      </c>
      <c r="I32" s="13" t="s">
        <v>133</v>
      </c>
      <c r="J32" s="7" t="s">
        <v>19</v>
      </c>
      <c r="K32" s="2"/>
      <c r="L32" s="8">
        <v>30</v>
      </c>
      <c r="M32" s="5">
        <v>0</v>
      </c>
      <c r="N32" s="5">
        <v>6</v>
      </c>
      <c r="O32" s="5">
        <v>0</v>
      </c>
      <c r="P32" s="9">
        <v>0.01</v>
      </c>
      <c r="Q32" s="14" t="s">
        <v>25</v>
      </c>
      <c r="R32" s="5" t="s">
        <v>18</v>
      </c>
      <c r="S32" s="5" t="s">
        <v>10</v>
      </c>
      <c r="T32" s="5" t="s">
        <v>13</v>
      </c>
      <c r="U32" s="5" t="s">
        <v>16</v>
      </c>
      <c r="V32" s="5" t="s">
        <v>17</v>
      </c>
    </row>
    <row r="33" spans="1:22" ht="25.5" x14ac:dyDescent="0.2">
      <c r="A33" s="5" t="s">
        <v>118</v>
      </c>
      <c r="B33" s="5">
        <v>7</v>
      </c>
      <c r="C33" s="5">
        <v>2027</v>
      </c>
      <c r="D33" s="2" t="s">
        <v>114</v>
      </c>
      <c r="E33" s="2" t="s">
        <v>53</v>
      </c>
      <c r="F33" s="2" t="s">
        <v>88</v>
      </c>
      <c r="G33" s="2" t="s">
        <v>88</v>
      </c>
      <c r="H33" s="2" t="s">
        <v>131</v>
      </c>
      <c r="I33" s="13" t="s">
        <v>133</v>
      </c>
      <c r="J33" s="7" t="s">
        <v>19</v>
      </c>
      <c r="K33" s="2"/>
      <c r="L33" s="8">
        <v>30</v>
      </c>
      <c r="M33" s="5">
        <v>0</v>
      </c>
      <c r="N33" s="5">
        <v>6</v>
      </c>
      <c r="O33" s="5">
        <v>0</v>
      </c>
      <c r="P33" s="9">
        <v>0.01</v>
      </c>
      <c r="Q33" s="14" t="s">
        <v>25</v>
      </c>
      <c r="R33" s="5" t="s">
        <v>18</v>
      </c>
      <c r="S33" s="5" t="s">
        <v>10</v>
      </c>
      <c r="T33" s="5" t="s">
        <v>13</v>
      </c>
      <c r="U33" s="5" t="s">
        <v>16</v>
      </c>
      <c r="V33" s="5" t="s">
        <v>17</v>
      </c>
    </row>
    <row r="34" spans="1:22" ht="25.5" x14ac:dyDescent="0.2">
      <c r="A34" s="5" t="s">
        <v>119</v>
      </c>
      <c r="B34" s="5">
        <v>7</v>
      </c>
      <c r="C34" s="5">
        <v>2027</v>
      </c>
      <c r="D34" s="2" t="s">
        <v>114</v>
      </c>
      <c r="E34" s="2" t="s">
        <v>53</v>
      </c>
      <c r="F34" s="2" t="s">
        <v>88</v>
      </c>
      <c r="G34" s="2" t="s">
        <v>88</v>
      </c>
      <c r="H34" s="2" t="s">
        <v>131</v>
      </c>
      <c r="I34" s="13" t="s">
        <v>133</v>
      </c>
      <c r="J34" s="7" t="s">
        <v>19</v>
      </c>
      <c r="K34" s="2"/>
      <c r="L34" s="8">
        <v>18</v>
      </c>
      <c r="M34" s="5">
        <v>0</v>
      </c>
      <c r="N34" s="5">
        <v>6</v>
      </c>
      <c r="O34" s="5">
        <v>0</v>
      </c>
      <c r="P34" s="9">
        <v>0.01</v>
      </c>
      <c r="Q34" s="14" t="s">
        <v>25</v>
      </c>
      <c r="R34" s="5" t="s">
        <v>18</v>
      </c>
      <c r="S34" s="5" t="s">
        <v>10</v>
      </c>
      <c r="T34" s="5" t="s">
        <v>13</v>
      </c>
      <c r="U34" s="5" t="s">
        <v>16</v>
      </c>
      <c r="V34" s="5" t="s">
        <v>17</v>
      </c>
    </row>
    <row r="35" spans="1:22" ht="25.5" x14ac:dyDescent="0.2">
      <c r="A35" s="5" t="s">
        <v>120</v>
      </c>
      <c r="B35" s="5">
        <v>7</v>
      </c>
      <c r="C35" s="5">
        <v>2027</v>
      </c>
      <c r="D35" s="2" t="s">
        <v>121</v>
      </c>
      <c r="E35" s="2" t="s">
        <v>53</v>
      </c>
      <c r="F35" s="2" t="s">
        <v>88</v>
      </c>
      <c r="G35" s="2" t="s">
        <v>88</v>
      </c>
      <c r="H35" s="2" t="s">
        <v>131</v>
      </c>
      <c r="I35" s="13" t="s">
        <v>133</v>
      </c>
      <c r="J35" s="7" t="s">
        <v>19</v>
      </c>
      <c r="K35" s="2"/>
      <c r="L35" s="8">
        <v>21</v>
      </c>
      <c r="M35" s="5">
        <v>0</v>
      </c>
      <c r="N35" s="5">
        <v>6</v>
      </c>
      <c r="O35" s="5">
        <v>0</v>
      </c>
      <c r="P35" s="9">
        <v>0.01</v>
      </c>
      <c r="Q35" s="14" t="s">
        <v>25</v>
      </c>
      <c r="R35" s="5" t="s">
        <v>18</v>
      </c>
      <c r="S35" s="5" t="s">
        <v>10</v>
      </c>
      <c r="T35" s="5" t="s">
        <v>13</v>
      </c>
      <c r="U35" s="5" t="s">
        <v>16</v>
      </c>
      <c r="V35" s="5" t="s">
        <v>17</v>
      </c>
    </row>
    <row r="36" spans="1:22" ht="25.5" x14ac:dyDescent="0.2">
      <c r="A36" s="5" t="s">
        <v>122</v>
      </c>
      <c r="B36" s="5">
        <v>7</v>
      </c>
      <c r="C36" s="5">
        <v>2027</v>
      </c>
      <c r="D36" s="2" t="s">
        <v>121</v>
      </c>
      <c r="E36" s="2" t="s">
        <v>53</v>
      </c>
      <c r="F36" s="2" t="s">
        <v>88</v>
      </c>
      <c r="G36" s="2" t="s">
        <v>88</v>
      </c>
      <c r="H36" s="2" t="s">
        <v>131</v>
      </c>
      <c r="I36" s="13" t="s">
        <v>133</v>
      </c>
      <c r="J36" s="7" t="s">
        <v>19</v>
      </c>
      <c r="K36" s="2"/>
      <c r="L36" s="8">
        <v>12</v>
      </c>
      <c r="M36" s="5">
        <v>0</v>
      </c>
      <c r="N36" s="5">
        <v>6</v>
      </c>
      <c r="O36" s="5">
        <v>0</v>
      </c>
      <c r="P36" s="9">
        <v>0.01</v>
      </c>
      <c r="Q36" s="14" t="s">
        <v>25</v>
      </c>
      <c r="R36" s="5" t="s">
        <v>18</v>
      </c>
      <c r="S36" s="5" t="s">
        <v>10</v>
      </c>
      <c r="T36" s="5" t="s">
        <v>13</v>
      </c>
      <c r="U36" s="5" t="s">
        <v>16</v>
      </c>
      <c r="V36" s="5" t="s">
        <v>17</v>
      </c>
    </row>
    <row r="37" spans="1:22" ht="25.5" x14ac:dyDescent="0.2">
      <c r="A37" s="5" t="s">
        <v>123</v>
      </c>
      <c r="B37" s="5">
        <v>7</v>
      </c>
      <c r="C37" s="5">
        <v>2027</v>
      </c>
      <c r="D37" s="2" t="s">
        <v>121</v>
      </c>
      <c r="E37" s="2" t="s">
        <v>53</v>
      </c>
      <c r="F37" s="2" t="s">
        <v>88</v>
      </c>
      <c r="G37" s="2" t="s">
        <v>88</v>
      </c>
      <c r="H37" s="2" t="s">
        <v>131</v>
      </c>
      <c r="I37" s="13" t="s">
        <v>133</v>
      </c>
      <c r="J37" s="7" t="s">
        <v>19</v>
      </c>
      <c r="K37" s="2"/>
      <c r="L37" s="8">
        <v>12</v>
      </c>
      <c r="M37" s="5">
        <v>0</v>
      </c>
      <c r="N37" s="5">
        <v>6</v>
      </c>
      <c r="O37" s="5">
        <v>0</v>
      </c>
      <c r="P37" s="9">
        <v>0.01</v>
      </c>
      <c r="Q37" s="14" t="s">
        <v>25</v>
      </c>
      <c r="R37" s="5" t="s">
        <v>18</v>
      </c>
      <c r="S37" s="5" t="s">
        <v>10</v>
      </c>
      <c r="T37" s="5" t="s">
        <v>13</v>
      </c>
      <c r="U37" s="5" t="s">
        <v>16</v>
      </c>
      <c r="V37" s="5" t="s">
        <v>17</v>
      </c>
    </row>
    <row r="38" spans="1:22" ht="25.5" x14ac:dyDescent="0.2">
      <c r="A38" s="5" t="s">
        <v>124</v>
      </c>
      <c r="B38" s="5">
        <v>7</v>
      </c>
      <c r="C38" s="5">
        <v>2027</v>
      </c>
      <c r="D38" s="2" t="s">
        <v>121</v>
      </c>
      <c r="E38" s="2" t="s">
        <v>53</v>
      </c>
      <c r="F38" s="2" t="s">
        <v>88</v>
      </c>
      <c r="G38" s="2" t="s">
        <v>88</v>
      </c>
      <c r="H38" s="2" t="s">
        <v>131</v>
      </c>
      <c r="I38" s="13" t="s">
        <v>133</v>
      </c>
      <c r="J38" s="7" t="s">
        <v>19</v>
      </c>
      <c r="K38" s="2"/>
      <c r="L38" s="8">
        <v>40</v>
      </c>
      <c r="M38" s="5">
        <v>0</v>
      </c>
      <c r="N38" s="5">
        <v>6</v>
      </c>
      <c r="O38" s="5">
        <v>0</v>
      </c>
      <c r="P38" s="9">
        <v>0.01</v>
      </c>
      <c r="Q38" s="14" t="s">
        <v>25</v>
      </c>
      <c r="R38" s="5" t="s">
        <v>18</v>
      </c>
      <c r="S38" s="5" t="s">
        <v>10</v>
      </c>
      <c r="T38" s="5" t="s">
        <v>13</v>
      </c>
      <c r="U38" s="5" t="s">
        <v>16</v>
      </c>
      <c r="V38" s="5" t="s">
        <v>17</v>
      </c>
    </row>
    <row r="39" spans="1:22" ht="25.5" x14ac:dyDescent="0.2">
      <c r="A39" s="5" t="s">
        <v>125</v>
      </c>
      <c r="B39" s="5">
        <v>7</v>
      </c>
      <c r="C39" s="5">
        <v>2027</v>
      </c>
      <c r="D39" s="2" t="s">
        <v>121</v>
      </c>
      <c r="E39" s="2" t="s">
        <v>53</v>
      </c>
      <c r="F39" s="2" t="s">
        <v>88</v>
      </c>
      <c r="G39" s="2" t="s">
        <v>88</v>
      </c>
      <c r="H39" s="2" t="s">
        <v>131</v>
      </c>
      <c r="I39" s="13" t="s">
        <v>133</v>
      </c>
      <c r="J39" s="7" t="s">
        <v>19</v>
      </c>
      <c r="K39" s="2"/>
      <c r="L39" s="8">
        <v>12</v>
      </c>
      <c r="M39" s="5">
        <v>0</v>
      </c>
      <c r="N39" s="5">
        <v>6</v>
      </c>
      <c r="O39" s="5">
        <v>0</v>
      </c>
      <c r="P39" s="9">
        <v>0.01</v>
      </c>
      <c r="Q39" s="14" t="s">
        <v>25</v>
      </c>
      <c r="R39" s="5" t="s">
        <v>18</v>
      </c>
      <c r="S39" s="5" t="s">
        <v>10</v>
      </c>
      <c r="T39" s="5" t="s">
        <v>13</v>
      </c>
      <c r="U39" s="5" t="s">
        <v>16</v>
      </c>
      <c r="V39" s="5" t="s">
        <v>17</v>
      </c>
    </row>
    <row r="40" spans="1:22" ht="25.5" x14ac:dyDescent="0.2">
      <c r="A40" s="5" t="s">
        <v>126</v>
      </c>
      <c r="B40" s="5">
        <v>7</v>
      </c>
      <c r="C40" s="5">
        <v>2027</v>
      </c>
      <c r="D40" s="2" t="s">
        <v>121</v>
      </c>
      <c r="E40" s="2" t="s">
        <v>53</v>
      </c>
      <c r="F40" s="2" t="s">
        <v>88</v>
      </c>
      <c r="G40" s="2" t="s">
        <v>88</v>
      </c>
      <c r="H40" s="2" t="s">
        <v>131</v>
      </c>
      <c r="I40" s="13" t="s">
        <v>133</v>
      </c>
      <c r="J40" s="7" t="s">
        <v>19</v>
      </c>
      <c r="K40" s="2"/>
      <c r="L40" s="8">
        <v>21</v>
      </c>
      <c r="M40" s="5">
        <v>0</v>
      </c>
      <c r="N40" s="5">
        <v>6</v>
      </c>
      <c r="O40" s="5">
        <v>0</v>
      </c>
      <c r="P40" s="9">
        <v>0.01</v>
      </c>
      <c r="Q40" s="14" t="s">
        <v>25</v>
      </c>
      <c r="R40" s="5" t="s">
        <v>18</v>
      </c>
      <c r="S40" s="5" t="s">
        <v>10</v>
      </c>
      <c r="T40" s="5" t="s">
        <v>13</v>
      </c>
      <c r="U40" s="5" t="s">
        <v>16</v>
      </c>
      <c r="V40" s="5" t="s">
        <v>17</v>
      </c>
    </row>
    <row r="41" spans="1:22" ht="38.25" x14ac:dyDescent="0.2">
      <c r="A41" s="5" t="s">
        <v>66</v>
      </c>
      <c r="B41" s="5">
        <v>7</v>
      </c>
      <c r="C41" s="5">
        <v>2027</v>
      </c>
      <c r="D41" s="2" t="s">
        <v>61</v>
      </c>
      <c r="E41" s="2" t="s">
        <v>68</v>
      </c>
      <c r="F41" s="2" t="s">
        <v>78</v>
      </c>
      <c r="G41" s="2" t="s">
        <v>78</v>
      </c>
      <c r="H41" s="2" t="s">
        <v>27</v>
      </c>
      <c r="I41" s="13" t="s">
        <v>133</v>
      </c>
      <c r="J41" s="7" t="s">
        <v>79</v>
      </c>
      <c r="K41" s="2"/>
      <c r="L41" s="8">
        <v>11</v>
      </c>
      <c r="M41" s="5">
        <v>8</v>
      </c>
      <c r="N41" s="5">
        <v>20</v>
      </c>
      <c r="O41" s="5">
        <v>2</v>
      </c>
      <c r="P41" s="9">
        <v>0.01</v>
      </c>
      <c r="Q41" s="14" t="s">
        <v>25</v>
      </c>
      <c r="R41" s="5" t="s">
        <v>31</v>
      </c>
      <c r="S41" s="5" t="s">
        <v>10</v>
      </c>
      <c r="T41" s="5" t="s">
        <v>13</v>
      </c>
      <c r="U41" s="5" t="s">
        <v>16</v>
      </c>
      <c r="V41" s="5" t="s">
        <v>17</v>
      </c>
    </row>
    <row r="42" spans="1:22" ht="38.25" x14ac:dyDescent="0.2">
      <c r="A42" s="5" t="s">
        <v>69</v>
      </c>
      <c r="B42" s="5">
        <v>7</v>
      </c>
      <c r="C42" s="5">
        <v>2027</v>
      </c>
      <c r="D42" s="2" t="s">
        <v>67</v>
      </c>
      <c r="E42" s="2" t="s">
        <v>70</v>
      </c>
      <c r="F42" s="2" t="s">
        <v>78</v>
      </c>
      <c r="G42" s="2" t="s">
        <v>78</v>
      </c>
      <c r="H42" s="2" t="s">
        <v>27</v>
      </c>
      <c r="I42" s="13" t="s">
        <v>133</v>
      </c>
      <c r="J42" s="7" t="s">
        <v>79</v>
      </c>
      <c r="K42" s="2"/>
      <c r="L42" s="8">
        <v>7</v>
      </c>
      <c r="M42" s="5">
        <v>0</v>
      </c>
      <c r="N42" s="5">
        <v>13</v>
      </c>
      <c r="O42" s="5">
        <v>1</v>
      </c>
      <c r="P42" s="9">
        <v>0.01</v>
      </c>
      <c r="Q42" s="14" t="s">
        <v>25</v>
      </c>
      <c r="R42" s="5" t="s">
        <v>18</v>
      </c>
      <c r="S42" s="5" t="s">
        <v>10</v>
      </c>
      <c r="T42" s="5" t="s">
        <v>13</v>
      </c>
      <c r="U42" s="5" t="s">
        <v>16</v>
      </c>
      <c r="V42" s="5" t="s">
        <v>17</v>
      </c>
    </row>
    <row r="43" spans="1:22" ht="38.25" x14ac:dyDescent="0.2">
      <c r="A43" s="5" t="s">
        <v>71</v>
      </c>
      <c r="B43" s="5">
        <v>7</v>
      </c>
      <c r="C43" s="5">
        <v>2027</v>
      </c>
      <c r="D43" s="2" t="s">
        <v>67</v>
      </c>
      <c r="E43" s="2" t="s">
        <v>72</v>
      </c>
      <c r="F43" s="2" t="s">
        <v>78</v>
      </c>
      <c r="G43" s="2" t="s">
        <v>78</v>
      </c>
      <c r="H43" s="2" t="s">
        <v>27</v>
      </c>
      <c r="I43" s="13" t="s">
        <v>133</v>
      </c>
      <c r="J43" s="7" t="s">
        <v>79</v>
      </c>
      <c r="K43" s="2" t="s">
        <v>80</v>
      </c>
      <c r="L43" s="8">
        <v>7</v>
      </c>
      <c r="M43" s="5">
        <v>0</v>
      </c>
      <c r="N43" s="5">
        <v>13</v>
      </c>
      <c r="O43" s="5">
        <v>1</v>
      </c>
      <c r="P43" s="9">
        <v>0.01</v>
      </c>
      <c r="Q43" s="14" t="s">
        <v>25</v>
      </c>
      <c r="R43" s="5" t="s">
        <v>18</v>
      </c>
      <c r="S43" s="5" t="s">
        <v>10</v>
      </c>
      <c r="T43" s="5" t="s">
        <v>13</v>
      </c>
      <c r="U43" s="5" t="s">
        <v>16</v>
      </c>
      <c r="V43" s="5" t="s">
        <v>17</v>
      </c>
    </row>
    <row r="44" spans="1:22" x14ac:dyDescent="0.2">
      <c r="A44" s="5"/>
      <c r="B44" s="5"/>
      <c r="C44" s="5"/>
      <c r="D44" s="2"/>
      <c r="E44" s="2"/>
      <c r="F44" s="2"/>
      <c r="G44" s="2"/>
      <c r="H44" s="13"/>
      <c r="I44" s="7"/>
      <c r="J44" s="11"/>
      <c r="K44" s="8"/>
      <c r="L44" s="5"/>
      <c r="M44" s="5"/>
      <c r="N44" s="5"/>
      <c r="O44" s="9"/>
      <c r="P44" s="5"/>
      <c r="Q44" s="5"/>
      <c r="R44" s="5"/>
      <c r="S44" s="5"/>
      <c r="T44" s="5"/>
      <c r="U44" s="5"/>
      <c r="V44" s="36"/>
    </row>
    <row r="45" spans="1:22" x14ac:dyDescent="0.2">
      <c r="F45" s="4"/>
    </row>
    <row r="46" spans="1:22" x14ac:dyDescent="0.2">
      <c r="A46" s="17" t="s">
        <v>38</v>
      </c>
      <c r="B46" s="1"/>
      <c r="D46" s="1"/>
    </row>
    <row r="47" spans="1:22" x14ac:dyDescent="0.2">
      <c r="A47" s="1" t="s">
        <v>39</v>
      </c>
      <c r="B47" s="1"/>
      <c r="D47" s="1"/>
    </row>
    <row r="48" spans="1:22" x14ac:dyDescent="0.2">
      <c r="A48" s="1" t="s">
        <v>40</v>
      </c>
      <c r="B48" s="1"/>
      <c r="D48" s="1"/>
    </row>
    <row r="49" spans="1:4" x14ac:dyDescent="0.2">
      <c r="A49" s="1" t="s">
        <v>41</v>
      </c>
      <c r="B49" s="1"/>
      <c r="D49" s="1"/>
    </row>
    <row r="50" spans="1:4" x14ac:dyDescent="0.2">
      <c r="A50" s="1" t="s">
        <v>42</v>
      </c>
      <c r="B50" s="1"/>
      <c r="D50" s="1"/>
    </row>
    <row r="51" spans="1:4" x14ac:dyDescent="0.2">
      <c r="A51" s="18" t="s">
        <v>43</v>
      </c>
      <c r="B51" s="1"/>
    </row>
    <row r="52" spans="1:4" x14ac:dyDescent="0.2">
      <c r="A52" s="18" t="s">
        <v>44</v>
      </c>
      <c r="B52" s="1"/>
    </row>
    <row r="53" spans="1:4" x14ac:dyDescent="0.2">
      <c r="A53" s="18" t="s">
        <v>45</v>
      </c>
      <c r="B53" s="1"/>
    </row>
    <row r="54" spans="1:4" x14ac:dyDescent="0.2">
      <c r="A54" s="18" t="s">
        <v>46</v>
      </c>
      <c r="B54" s="1"/>
    </row>
    <row r="55" spans="1:4" x14ac:dyDescent="0.2">
      <c r="A55" s="18" t="s">
        <v>47</v>
      </c>
      <c r="B55" s="1"/>
    </row>
    <row r="56" spans="1:4" x14ac:dyDescent="0.2">
      <c r="A56" s="18" t="s">
        <v>48</v>
      </c>
      <c r="B56" s="1"/>
    </row>
    <row r="57" spans="1:4" x14ac:dyDescent="0.2">
      <c r="A57" s="18" t="s">
        <v>58</v>
      </c>
      <c r="B57" s="1"/>
    </row>
    <row r="58" spans="1:4" x14ac:dyDescent="0.2">
      <c r="A58" s="18" t="s">
        <v>59</v>
      </c>
      <c r="B58" s="1"/>
    </row>
    <row r="60" spans="1:4" x14ac:dyDescent="0.2">
      <c r="A60" s="10" t="s">
        <v>7</v>
      </c>
      <c r="B60" s="1"/>
    </row>
    <row r="61" spans="1:4" x14ac:dyDescent="0.2">
      <c r="A61" s="4" t="s">
        <v>6</v>
      </c>
      <c r="B61" s="1"/>
    </row>
    <row r="62" spans="1:4" x14ac:dyDescent="0.2">
      <c r="A62" s="16" t="s">
        <v>51</v>
      </c>
      <c r="B62" s="1"/>
    </row>
    <row r="63" spans="1:4" x14ac:dyDescent="0.2">
      <c r="A63" s="4"/>
      <c r="B63" s="1"/>
    </row>
    <row r="64" spans="1:4" x14ac:dyDescent="0.2">
      <c r="B64" s="18"/>
    </row>
    <row r="65" spans="1:1" x14ac:dyDescent="0.2">
      <c r="A65" s="10" t="s">
        <v>49</v>
      </c>
    </row>
    <row r="66" spans="1:1" x14ac:dyDescent="0.2">
      <c r="A66" s="18" t="s">
        <v>50</v>
      </c>
    </row>
    <row r="67" spans="1:1" x14ac:dyDescent="0.2">
      <c r="A67" s="18" t="s">
        <v>52</v>
      </c>
    </row>
    <row r="68" spans="1:1" x14ac:dyDescent="0.2">
      <c r="A68" s="18"/>
    </row>
    <row r="69" spans="1:1" x14ac:dyDescent="0.2">
      <c r="A69" s="18"/>
    </row>
  </sheetData>
  <mergeCells count="2">
    <mergeCell ref="L1:M1"/>
    <mergeCell ref="N1:O1"/>
  </mergeCells>
  <phoneticPr fontId="4" type="noConversion"/>
  <pageMargins left="0.7" right="0.7" top="0.75" bottom="0.75" header="0.3" footer="0.3"/>
  <pageSetup scale="3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2cacbf-97a4-4730-b8b2-6ae9adff5725">
      <Terms xmlns="http://schemas.microsoft.com/office/infopath/2007/PartnerControls"/>
    </lcf76f155ced4ddcb4097134ff3c332f>
    <MigrationWizIdPermissions xmlns="912cacbf-97a4-4730-b8b2-6ae9adff5725" xsi:nil="true"/>
    <TaxCatchAll xmlns="0ca60982-8454-4f81-8091-07a5d1f7fc2a" xsi:nil="true"/>
    <MigrationWizId xmlns="912cacbf-97a4-4730-b8b2-6ae9adff5725" xsi:nil="true"/>
    <MigrationWizIdVersion xmlns="912cacbf-97a4-4730-b8b2-6ae9adff572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81FF054CD1264AA1B056CFE5CBAEE3" ma:contentTypeVersion="19" ma:contentTypeDescription="Create a new document." ma:contentTypeScope="" ma:versionID="4804b031893c8c0373a41be8535a866a">
  <xsd:schema xmlns:xsd="http://www.w3.org/2001/XMLSchema" xmlns:xs="http://www.w3.org/2001/XMLSchema" xmlns:p="http://schemas.microsoft.com/office/2006/metadata/properties" xmlns:ns2="912cacbf-97a4-4730-b8b2-6ae9adff5725" xmlns:ns3="0ca60982-8454-4f81-8091-07a5d1f7fc2a" targetNamespace="http://schemas.microsoft.com/office/2006/metadata/properties" ma:root="true" ma:fieldsID="df84ff65951c6a18fa30fa41af84c54e" ns2:_="" ns3:_="">
    <xsd:import namespace="912cacbf-97a4-4730-b8b2-6ae9adff5725"/>
    <xsd:import namespace="0ca60982-8454-4f81-8091-07a5d1f7fc2a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2cacbf-97a4-4730-b8b2-6ae9adff5725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a7a3944-df26-4da5-a18a-cb2338e9f7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a60982-8454-4f81-8091-07a5d1f7fc2a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0400af9f-7f83-48f8-83e8-314c9bb04082}" ma:internalName="TaxCatchAll" ma:showField="CatchAllData" ma:web="0ca60982-8454-4f81-8091-07a5d1f7fc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0E22CB-88D7-40C9-A87E-4E05068EBCB2}">
  <ds:schemaRefs>
    <ds:schemaRef ds:uri="http://schemas.microsoft.com/office/2006/metadata/properties"/>
    <ds:schemaRef ds:uri="http://schemas.microsoft.com/office/infopath/2007/PartnerControls"/>
    <ds:schemaRef ds:uri="912cacbf-97a4-4730-b8b2-6ae9adff5725"/>
    <ds:schemaRef ds:uri="0ca60982-8454-4f81-8091-07a5d1f7fc2a"/>
  </ds:schemaRefs>
</ds:datastoreItem>
</file>

<file path=customXml/itemProps2.xml><?xml version="1.0" encoding="utf-8"?>
<ds:datastoreItem xmlns:ds="http://schemas.openxmlformats.org/officeDocument/2006/customXml" ds:itemID="{E92A7675-D3F4-4DE2-9CD0-360CEDD35F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2cacbf-97a4-4730-b8b2-6ae9adff5725"/>
    <ds:schemaRef ds:uri="0ca60982-8454-4f81-8091-07a5d1f7fc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738C04-EA74-4093-8BDA-9B40B49174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Sheet3</vt:lpstr>
      <vt:lpstr>Sheet3!Print_Area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Donkle</dc:creator>
  <cp:lastModifiedBy>Jeremy Riley</cp:lastModifiedBy>
  <cp:lastPrinted>2026-01-27T00:00:04Z</cp:lastPrinted>
  <dcterms:created xsi:type="dcterms:W3CDTF">2024-08-19T20:16:53Z</dcterms:created>
  <dcterms:modified xsi:type="dcterms:W3CDTF">2026-01-27T00:00:35Z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0x0101003A81FF054CD1264AA1B056CFE5CBAEE3</vt:lpwstr>
  </property>
  <property fmtid="{D5CDD505-2E9C-101B-9397-08002B2CF9AE}" pid="3" name="MediaServiceImageTags">
    <vt:lpwstr/>
  </property>
</Properties>
</file>