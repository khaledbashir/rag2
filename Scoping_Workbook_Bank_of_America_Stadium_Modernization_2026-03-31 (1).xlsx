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39" name="Margin Analysis" state="visible" r:id="rId5"/>
    <sheet sheetId="40" name="Budget Summary" state="visible" r:id="rId6"/>
    <sheet sheetId="2" name="LED Cost Sheet" state="visible" r:id="rId7"/>
    <sheet sheetId="3" name="Tech Specs (Installers)" state="visible" r:id="rId8"/>
    <sheet sheetId="4" name="Team Room - Install" state="visible" r:id="rId9"/>
    <sheet sheetId="5" name="Incident Command - Install" state="visible" r:id="rId10"/>
    <sheet sheetId="6" name="Def. Unit - Install" state="visible" r:id="rId11"/>
    <sheet sheetId="7" name="North Corridor - Install" state="visible" r:id="rId12"/>
    <sheet sheetId="8" name="South Corridor - Install" state="visible" r:id="rId13"/>
    <sheet sheetId="9" name="S.E Corridor - Install" state="visible" r:id="rId14"/>
    <sheet sheetId="10" name="East Corridor - Install" state="visible" r:id="rId15"/>
    <sheet sheetId="11" name="N.E Corridor - Install" state="visible" r:id="rId16"/>
    <sheet sheetId="12" name="Elev Lobby - Install" state="visible" r:id="rId17"/>
    <sheet sheetId="13" name="North Club - Install" state="visible" r:id="rId18"/>
    <sheet sheetId="14" name="Panthers Den - Install" state="visible" r:id="rId19"/>
    <sheet sheetId="15" name="Panthers Den12 - Install" state="visible" r:id="rId20"/>
    <sheet sheetId="16" name="Panthers Den13 - Install" state="visible" r:id="rId21"/>
    <sheet sheetId="17" name="Panthers Den14 - Install" state="visible" r:id="rId22"/>
    <sheet sheetId="18" name="South Club - Install" state="visible" r:id="rId23"/>
    <sheet sheetId="19" name="S.E Corridor16 - Install" state="visible" r:id="rId24"/>
    <sheet sheetId="20" name="N.E Corridor17 - Install" state="visible" r:id="rId25"/>
    <sheet sheetId="21" name="Panthers Den18 - Install" state="visible" r:id="rId26"/>
    <sheet sheetId="22" name="Panthers Den19 - Install" state="visible" r:id="rId27"/>
    <sheet sheetId="23" name="Panthers Den20 - Install" state="visible" r:id="rId28"/>
    <sheet sheetId="24" name="Elev Lobby21 - Install" state="visible" r:id="rId29"/>
    <sheet sheetId="25" name="Elev Lobby22 - Install" state="visible" r:id="rId30"/>
    <sheet sheetId="26" name="Elev Lobby23 - Install" state="visible" r:id="rId31"/>
    <sheet sheetId="27" name="North Club24 - Install" state="visible" r:id="rId32"/>
    <sheet sheetId="28" name="South Club25 - Install" state="visible" r:id="rId33"/>
    <sheet sheetId="29" name="Processor Count" state="visible" r:id="rId34"/>
    <sheet sheetId="30" name="Bundle Equipment" state="visible" r:id="rId35"/>
    <sheet sheetId="31" name="ANC Travel" state="visible" r:id="rId36"/>
    <sheet sheetId="32" name="CMS" state="visible" r:id="rId37"/>
    <sheet sheetId="33" name="Scoring" state="visible" r:id="rId38"/>
    <sheet sheetId="34" name="Venue Services" state="visible" r:id="rId39"/>
    <sheet sheetId="35" name="Additional Items" state="visible" r:id="rId40"/>
    <sheet sheetId="36" name="Resp Matrix" state="visible" r:id="rId41"/>
    <sheet sheetId="37" name="P&amp;L" state="visible" r:id="rId42"/>
    <sheet sheetId="38" name="Cash Flow" state="visible" r:id="rId43"/>
    <sheet sheetId="41" name="PO's" state="visible" r:id="rId44"/>
  </sheets>
  <calcPr calcId="171027" fullCalcOnLoad="1"/>
</workbook>
</file>

<file path=xl/sharedStrings.xml><?xml version="1.0" encoding="utf-8"?>
<sst xmlns="http://schemas.openxmlformats.org/spreadsheetml/2006/main" count="3475" uniqueCount="395">
  <si>
    <t>Bank of America Stadium Modernization — Project Overview</t>
  </si>
  <si>
    <t>Panthers Stadium, LLC | 2026-03-31 | ANC Proposal Engine</t>
  </si>
  <si>
    <t>PROJECT INFORMATION</t>
  </si>
  <si>
    <t>Client</t>
  </si>
  <si>
    <t>Panthers Stadium, LLC</t>
  </si>
  <si>
    <t>Project Name</t>
  </si>
  <si>
    <t>Bank of America Stadium Modernization</t>
  </si>
  <si>
    <t>Location</t>
  </si>
  <si>
    <t>800 South Mint St., Charlotte, NC 28202</t>
  </si>
  <si>
    <t>Date Created</t>
  </si>
  <si>
    <t>2026-03-31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</si>
  <si>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</si>
  <si>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</si>
  <si>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</si>
  <si>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</si>
  <si>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</si>
  <si>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</si>
  <si>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</si>
  <si>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</si>
  <si>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</si>
  <si>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</si>
  <si>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15%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</si>
  <si>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</si>
  <si>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</si>
  <si>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</si>
  <si>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</si>
  <si>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</si>
  <si>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</si>
  <si>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</si>
  <si>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</si>
  <si>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</si>
  <si>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</si>
  <si>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</si>
  <si>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</si>
  <si>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</si>
  <si>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</si>
  <si>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</si>
  <si>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Bank of America Stadium Modernization — Margin Analysis</t>
  </si>
  <si>
    <t/>
  </si>
  <si>
    <t>Zone / Category</t>
  </si>
  <si>
    <t>Cost</t>
  </si>
  <si>
    <t>Selling Price</t>
  </si>
  <si>
    <t>Margin $</t>
  </si>
  <si>
    <t>Margin %</t>
  </si>
  <si>
    <t>Team Room — Team Room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</si>
  <si>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</si>
  <si>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</si>
  <si>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</si>
  <si>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</si>
  <si>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</si>
  <si>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</si>
  <si>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</si>
  <si>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</si>
  <si>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</si>
  <si>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</si>
  <si>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</si>
  <si>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Incident Command — Incident Command</t>
  </si>
  <si>
    <t>Def. Unit — Def. Unit</t>
  </si>
  <si>
    <t>North Corridor — North Corridor</t>
  </si>
  <si>
    <t>South Corridor — South Corridor</t>
  </si>
  <si>
    <t>S.E Corridor — S.E Corridor</t>
  </si>
  <si>
    <t>East Corridor — East Corridor</t>
  </si>
  <si>
    <t>N.E Corridor — N.E Corridor</t>
  </si>
  <si>
    <t>Elev Lobby — Elev Lobby</t>
  </si>
  <si>
    <t>North Club — North Club</t>
  </si>
  <si>
    <t>Panthers Den — Panthers Den</t>
  </si>
  <si>
    <t>South Club — South Club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</si>
  <si>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</si>
  <si>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</si>
  <si>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</si>
  <si>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</si>
  <si>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</si>
  <si>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</si>
  <si>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</si>
  <si>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</si>
  <si>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</si>
  <si>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Bank of America Stadium Modernization — Budget Summary</t>
  </si>
  <si>
    <t>Panthers Stadium, LLC | 2026-03-31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</si>
  <si>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</si>
  <si>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</si>
  <si>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</si>
  <si>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</si>
  <si>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</si>
  <si>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</si>
  <si>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</si>
  <si>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</si>
  <si>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</si>
  <si>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</si>
  <si>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</si>
  <si>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</si>
  <si>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Bank of America Stadium Modernization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</si>
  <si>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</si>
  <si>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</si>
  <si>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</si>
  <si>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</si>
  <si>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</si>
  <si>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</si>
  <si>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</si>
  <si>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</si>
  <si>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</si>
  <si>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</si>
  <si>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</si>
  <si>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</si>
  <si>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</si>
  <si>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</si>
  <si>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</si>
  <si>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</si>
  <si>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</si>
  <si>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</si>
  <si>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</si>
  <si>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</si>
  <si>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</si>
  <si>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</si>
  <si>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</si>
  <si>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</si>
  <si>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Yaham</t>
  </si>
  <si>
    <t>Yaham Corona C2.5-MIP Indoor</t>
  </si>
  <si>
    <t>3.9mm</t>
  </si>
  <si>
    <t>Front</t>
  </si>
  <si>
    <t>LG</t>
  </si>
  <si>
    <t>LG GSQA 3.9mm Indoor</t>
  </si>
  <si>
    <t>TOTAL (25 displays)</t>
  </si>
  <si>
    <t>Bank of America Stadium Modernization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</si>
  <si>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</si>
  <si>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</si>
  <si>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</si>
  <si>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</si>
  <si>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</si>
  <si>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</si>
  <si>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</si>
  <si>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</si>
  <si>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</si>
  <si>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</si>
  <si>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</si>
  <si>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Project Name: Bank of America Stadium Modernization</t>
  </si>
  <si>
    <t>Revised By: ANC Proposal Engine</t>
  </si>
  <si>
    <t>Linked Margin Assignment</t>
  </si>
  <si>
    <t>Install Margin</t>
  </si>
  <si>
    <t>Electrical Margin</t>
  </si>
  <si>
    <t>Engineering and Permits</t>
  </si>
  <si>
    <t>Team Room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</si>
  <si>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</si>
  <si>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</si>
  <si>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</si>
  <si>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</si>
  <si>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</si>
  <si>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</si>
  <si>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</si>
  <si>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</si>
  <si>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</si>
  <si>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</si>
  <si>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</si>
  <si>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</si>
  <si>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</si>
  <si>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</si>
  <si>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</si>
  <si>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</si>
  <si>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</si>
  <si>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</si>
  <si>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</si>
  <si>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</si>
  <si>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</si>
  <si>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</si>
  <si>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</si>
  <si>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</si>
  <si>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</si>
  <si>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</si>
  <si>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</si>
  <si>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</si>
  <si>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</si>
  <si>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</si>
  <si>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</si>
  <si>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</si>
  <si>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</si>
  <si>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</si>
  <si>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</si>
  <si>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</si>
  <si>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Incident Command</t>
  </si>
  <si>
    <t>Def. Unit</t>
  </si>
  <si>
    <t>North Corridor</t>
  </si>
  <si>
    <t>South Corridor</t>
  </si>
  <si>
    <t>S.E Corridor</t>
  </si>
  <si>
    <t>East Corridor</t>
  </si>
  <si>
    <t>N.E Corridor</t>
  </si>
  <si>
    <t>Elev Lobby</t>
  </si>
  <si>
    <t>North Club</t>
  </si>
  <si>
    <t>Panthers Den</t>
  </si>
  <si>
    <t>South Club</t>
  </si>
  <si>
    <t>Bank of America Stadium Modernization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</si>
  <si>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</si>
  <si>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</si>
  <si>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</si>
  <si>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</si>
  <si>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</si>
  <si>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</si>
  <si>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</si>
  <si>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</si>
  <si>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</si>
  <si>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</si>
  <si>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</si>
  <si>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</si>
  <si>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</si>
  <si>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</si>
  <si>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</si>
  <si>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</si>
  <si>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Bank of America Stadium Modernization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</si>
  <si>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</si>
  <si>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</si>
  <si>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</si>
  <si>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</si>
  <si>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</si>
  <si>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</si>
  <si>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</si>
  <si>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Backup Video Processor</t>
  </si>
  <si>
    <t>EQUIPMENT GRAND TOTAL</t>
  </si>
  <si>
    <t>Bank of America Stadium Modernization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</si>
  <si>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</si>
  <si>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</si>
  <si>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</si>
  <si>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</si>
  <si>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</si>
  <si>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</si>
  <si>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</si>
  <si>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</si>
  <si>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</si>
  <si>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</si>
  <si>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</si>
  <si>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</si>
  <si>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</si>
  <si>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Bank of America Stadium Modernization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</si>
  <si>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</si>
  <si>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</si>
  <si>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</si>
  <si>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</si>
  <si>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</si>
  <si>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</si>
  <si>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</si>
  <si>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</si>
  <si>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</si>
  <si>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</si>
  <si>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</si>
  <si>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</si>
  <si>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</si>
  <si>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</si>
  <si>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</si>
  <si>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</si>
  <si>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</si>
  <si>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</si>
  <si>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Bank of America Stadium Modernization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</si>
  <si>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</si>
  <si>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</si>
  <si>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</si>
  <si>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</si>
  <si>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</si>
  <si>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</si>
  <si>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</si>
  <si>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</si>
  <si>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</si>
  <si>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</si>
  <si>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</si>
  <si>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</si>
  <si>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</si>
  <si>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</si>
  <si>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Bank of America Stadium Modernization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</si>
  <si>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</si>
  <si>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</si>
  <si>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</si>
  <si>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</si>
  <si>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</si>
  <si>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</si>
  <si>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</si>
  <si>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</si>
  <si>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</si>
  <si>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</si>
  <si>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</si>
  <si>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</si>
  <si>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Bank of America Stadium Modernization — Additional Non-LED Items</t>
  </si>
  <si>
    <t>GAME CLOCK</t>
  </si>
  <si>
    <t>Six-Digit Game Clocks</t>
  </si>
  <si>
    <t>PITCH CLOCK</t>
  </si>
  <si>
    <t>OES / MIS</t>
  </si>
  <si>
    <t>ADDITIONAL ITEMS TOTAL</t>
  </si>
  <si>
    <t>Project: Bank of America Stadium Modernization</t>
  </si>
  <si>
    <t>Date: 3/31/2026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</si>
  <si>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</si>
  <si>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</si>
  <si>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</si>
  <si>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</si>
  <si>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</si>
  <si>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</si>
  <si>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</si>
  <si>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</si>
  <si>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</si>
  <si>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</si>
  <si>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</si>
  <si>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</si>
  <si>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</si>
  <si>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</si>
  <si>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</si>
  <si>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</si>
  <si>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</si>
  <si>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</si>
  <si>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</si>
  <si>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</si>
  <si>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</si>
  <si>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</si>
  <si>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</si>
  <si>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</si>
  <si>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</si>
  <si>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</si>
  <si>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</si>
  <si>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</si>
  <si>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</si>
  <si>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</si>
  <si>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</si>
  <si>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</si>
  <si>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</si>
  <si>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</si>
  <si>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</si>
  <si>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</si>
  <si>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</si>
  <si>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</si>
  <si>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</si>
  <si>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</si>
  <si>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</si>
  <si>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</si>
  <si>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</si>
  <si>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</si>
  <si>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</si>
  <si>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</si>
  <si>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</si>
  <si>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</si>
  <si>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</si>
  <si>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</si>
  <si>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</si>
  <si>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Bank of America Stadium Modernization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</si>
  <si>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</si>
  <si>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</si>
  <si>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</si>
  <si>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</si>
  <si>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</si>
  <si>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</si>
  <si>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</si>
  <si>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</si>
  <si>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</si>
  <si>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</si>
  <si>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</si>
  <si>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</si>
  <si>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</si>
  <si>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</si>
  <si>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</si>
  <si>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</si>
  <si>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</si>
  <si>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</si>
  <si>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</si>
  <si>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</si>
  <si>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</si>
  <si>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</si>
  <si>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</si>
  <si>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</si>
  <si>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</si>
  <si>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</si>
  <si>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Bank of America Stadium Modernization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</si>
  <si>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</si>
  <si>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</si>
  <si>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</si>
  <si>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</si>
  <si>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</si>
  <si>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</si>
  <si>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</si>
  <si>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</si>
  <si>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</si>
  <si>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</si>
  <si>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</si>
  <si>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</si>
  <si>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</si>
  <si>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</si>
  <si>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</si>
  <si>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</si>
  <si>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</si>
  <si>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</si>
  <si>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</si>
  <si>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</si>
  <si>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</si>
  <si>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</si>
  <si>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</si>
  <si>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</si>
  <si>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</si>
  <si>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</si>
  <si>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</si>
  <si>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</si>
  <si>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Bank of America Stadium Modernization — Purchase Orders</t>
  </si>
  <si>
    <t>PO Number</t>
  </si>
  <si>
    <t>Title / Description</t>
  </si>
  <si>
    <t>Original Contract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</si>
</sst>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0.0%"/>
    <numFmt numFmtId="166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4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4" fontId="0" fillId="0" borderId="0" xfId="0" applyNumberFormat="1"/>
    <xf numFmtId="165" fontId="0" fillId="5" borderId="2" xfId="0" applyNumberFormat="1" applyFill="1" applyBorder="1"/>
    <xf numFmtId="0" fontId="7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5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4" fontId="6" fillId="2" borderId="4" xfId="0" applyNumberFormat="1" applyFont="1" applyFill="1" applyBorder="1"/>
    <xf numFmtId="165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7" fillId="7" borderId="4" xfId="0" applyFont="1" applyFill="1" applyBorder="1"/>
    <xf numFmtId="164" fontId="7" fillId="7" borderId="4" xfId="0" applyNumberFormat="1" applyFont="1" applyFill="1" applyBorder="1"/>
    <xf numFmtId="165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5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0" fontId="0" fillId="3" borderId="0" xfId="0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164" fontId="8" fillId="3" borderId="0" xfId="0" applyNumberFormat="1" applyFont="1" applyFill="1"/>
    <xf numFmtId="2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164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4" fontId="7" fillId="9" borderId="4" xfId="0" applyNumberFormat="1" applyFont="1" applyFill="1" applyBorder="1"/>
    <xf numFmtId="165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6" fontId="0" fillId="3" borderId="0" xfId="0" applyNumberFormat="1" applyFill="1"/>
    <xf numFmtId="166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4" fontId="0" fillId="3" borderId="2" xfId="0" applyNumberFormat="1" applyFill="1" applyBorder="1"/>
    <xf numFmtId="164" fontId="0" fillId="5" borderId="2" xfId="0" applyNumberFormat="1" applyFill="1" applyBorder="1"/>
    <xf numFmtId="0" fontId="8" fillId="0" borderId="6" xfId="0" applyFont="1" applyBorder="1"/>
    <xf numFmtId="164" fontId="8" fillId="0" borderId="6" xfId="0" applyNumberFormat="1" applyFont="1" applyBorder="1"/>
    <xf numFmtId="165" fontId="0" fillId="3" borderId="2" xfId="0" applyNumberFormat="1" applyFill="1" applyBorder="1"/>
    <xf numFmtId="164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4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9.xml"/><Relationship Id="rId6" Type="http://schemas.openxmlformats.org/officeDocument/2006/relationships/worksheet" Target="worksheets/sheet40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Relationship Id="rId13" Type="http://schemas.openxmlformats.org/officeDocument/2006/relationships/worksheet" Target="worksheets/sheet8.xml"/><Relationship Id="rId14" Type="http://schemas.openxmlformats.org/officeDocument/2006/relationships/worksheet" Target="worksheets/sheet9.xml"/><Relationship Id="rId15" Type="http://schemas.openxmlformats.org/officeDocument/2006/relationships/worksheet" Target="worksheets/sheet10.xml"/><Relationship Id="rId16" Type="http://schemas.openxmlformats.org/officeDocument/2006/relationships/worksheet" Target="worksheets/sheet11.xml"/><Relationship Id="rId17" Type="http://schemas.openxmlformats.org/officeDocument/2006/relationships/worksheet" Target="worksheets/sheet12.xml"/><Relationship Id="rId18" Type="http://schemas.openxmlformats.org/officeDocument/2006/relationships/worksheet" Target="worksheets/sheet13.xml"/><Relationship Id="rId19" Type="http://schemas.openxmlformats.org/officeDocument/2006/relationships/worksheet" Target="worksheets/sheet14.xml"/><Relationship Id="rId20" Type="http://schemas.openxmlformats.org/officeDocument/2006/relationships/worksheet" Target="worksheets/sheet15.xml"/><Relationship Id="rId21" Type="http://schemas.openxmlformats.org/officeDocument/2006/relationships/worksheet" Target="worksheets/sheet16.xml"/><Relationship Id="rId22" Type="http://schemas.openxmlformats.org/officeDocument/2006/relationships/worksheet" Target="worksheets/sheet17.xml"/><Relationship Id="rId23" Type="http://schemas.openxmlformats.org/officeDocument/2006/relationships/worksheet" Target="worksheets/sheet18.xml"/><Relationship Id="rId24" Type="http://schemas.openxmlformats.org/officeDocument/2006/relationships/worksheet" Target="worksheets/sheet19.xml"/><Relationship Id="rId25" Type="http://schemas.openxmlformats.org/officeDocument/2006/relationships/worksheet" Target="worksheets/sheet20.xml"/><Relationship Id="rId26" Type="http://schemas.openxmlformats.org/officeDocument/2006/relationships/worksheet" Target="worksheets/sheet21.xml"/><Relationship Id="rId27" Type="http://schemas.openxmlformats.org/officeDocument/2006/relationships/worksheet" Target="worksheets/sheet22.xml"/><Relationship Id="rId28" Type="http://schemas.openxmlformats.org/officeDocument/2006/relationships/worksheet" Target="worksheets/sheet23.xml"/><Relationship Id="rId29" Type="http://schemas.openxmlformats.org/officeDocument/2006/relationships/worksheet" Target="worksheets/sheet24.xml"/><Relationship Id="rId30" Type="http://schemas.openxmlformats.org/officeDocument/2006/relationships/worksheet" Target="worksheets/sheet25.xml"/><Relationship Id="rId31" Type="http://schemas.openxmlformats.org/officeDocument/2006/relationships/worksheet" Target="worksheets/sheet26.xml"/><Relationship Id="rId32" Type="http://schemas.openxmlformats.org/officeDocument/2006/relationships/worksheet" Target="worksheets/sheet27.xml"/><Relationship Id="rId33" Type="http://schemas.openxmlformats.org/officeDocument/2006/relationships/worksheet" Target="worksheets/sheet28.xml"/><Relationship Id="rId34" Type="http://schemas.openxmlformats.org/officeDocument/2006/relationships/worksheet" Target="worksheets/sheet29.xml"/><Relationship Id="rId35" Type="http://schemas.openxmlformats.org/officeDocument/2006/relationships/worksheet" Target="worksheets/sheet30.xml"/><Relationship Id="rId36" Type="http://schemas.openxmlformats.org/officeDocument/2006/relationships/worksheet" Target="worksheets/sheet31.xml"/><Relationship Id="rId37" Type="http://schemas.openxmlformats.org/officeDocument/2006/relationships/worksheet" Target="worksheets/sheet32.xml"/><Relationship Id="rId38" Type="http://schemas.openxmlformats.org/officeDocument/2006/relationships/worksheet" Target="worksheets/sheet33.xml"/><Relationship Id="rId39" Type="http://schemas.openxmlformats.org/officeDocument/2006/relationships/worksheet" Target="worksheets/sheet34.xml"/><Relationship Id="rId40" Type="http://schemas.openxmlformats.org/officeDocument/2006/relationships/worksheet" Target="worksheets/sheet35.xml"/><Relationship Id="rId41" Type="http://schemas.openxmlformats.org/officeDocument/2006/relationships/worksheet" Target="worksheets/sheet36.xml"/><Relationship Id="rId42" Type="http://schemas.openxmlformats.org/officeDocument/2006/relationships/worksheet" Target="worksheets/sheet37.xml"/><Relationship Id="rId43" Type="http://schemas.openxmlformats.org/officeDocument/2006/relationships/worksheet" Target="worksheets/sheet38.xml"/><Relationship Id="rId44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4</v>
      </c>
    </row>
    <row r="6" spans="2:3" x14ac:dyDescent="0.25">
      <c r="B6" s="6" t="s">
        <v>5</v>
      </c>
      <c r="C6" s="7" t="s">
        <v>6</v>
      </c>
    </row>
    <row r="7" spans="2:3" x14ac:dyDescent="0.25">
      <c r="B7" s="4" t="s">
        <v>7</v>
      </c>
      <c r="C7" s="5" t="s">
        <v>8</v>
      </c>
    </row>
    <row r="8" spans="2:3" x14ac:dyDescent="0.25">
      <c r="B8" s="6" t="s">
        <v>9</v>
      </c>
      <c r="C8" s="7" t="s">
        <v>10</v>
      </c>
    </row>
    <row r="9" spans="2:3" x14ac:dyDescent="0.25">
      <c r="B9" s="4" t="s">
        <v>11</v>
      </c>
      <c r="C9" s="5" t="s">
        <v>12</v>
      </c>
    </row>
    <row r="10" spans="2:3" x14ac:dyDescent="0.25">
      <c r="B10" s="6" t="s">
        <v>13</v>
      </c>
      <c r="C10" s="7" t="s">
        <v>14</v>
      </c>
    </row>
    <row r="11" spans="2:3" x14ac:dyDescent="0.25">
      <c r="B11" s="4" t="s">
        <v>15</v>
      </c>
      <c r="C11" s="5" t="s">
        <v>16</v>
      </c>
    </row>
    <row r="12" spans="2:3" x14ac:dyDescent="0.25">
      <c r="B12" s="6" t="s">
        <v>17</v>
      </c>
      <c r="C12" s="7" t="s">
        <v>16</v>
      </c>
    </row>
    <row r="13" spans="2:3" x14ac:dyDescent="0.25">
      <c r="B13" s="4" t="s">
        <v>18</v>
      </c>
      <c r="C13" s="5">
        <f>SUM('LED Cost Sheet'!I4:I28)</f>
        <v>34</v>
      </c>
    </row>
    <row r="15" spans="2:3" x14ac:dyDescent="0.25">
      <c r="B15" s="3" t="s">
        <v>19</v>
      </c>
      <c r="C15" s="3"/>
    </row>
    <row r="16" spans="2:3" x14ac:dyDescent="0.25">
      <c r="B16" s="6" t="s">
        <v>20</v>
      </c>
      <c r="C16" s="7" t="s">
        <v>21</v>
      </c>
    </row>
    <row r="17" spans="2:3" x14ac:dyDescent="0.25">
      <c r="B17" s="4" t="s">
        <v>22</v>
      </c>
      <c r="C17" s="5" t="s">
        <v>21</v>
      </c>
    </row>
    <row r="18" spans="2:3" x14ac:dyDescent="0.25">
      <c r="B18" s="6" t="s">
        <v>23</v>
      </c>
      <c r="C18" s="7" t="s">
        <v>21</v>
      </c>
    </row>
    <row r="19" spans="2:3" x14ac:dyDescent="0.25">
      <c r="B19" s="4" t="s">
        <v>24</v>
      </c>
      <c r="C19" s="5" t="s">
        <v>21</v>
      </c>
    </row>
    <row r="20" spans="2:3" x14ac:dyDescent="0.25">
      <c r="B20" s="6" t="s">
        <v>25</v>
      </c>
      <c r="C20" s="7" t="s">
        <v>21</v>
      </c>
    </row>
    <row r="21" spans="2:3" x14ac:dyDescent="0.25">
      <c r="B21" s="4" t="s">
        <v>26</v>
      </c>
      <c r="C21" s="5" t="s">
        <v>27</v>
      </c>
    </row>
    <row r="22" spans="2:3" x14ac:dyDescent="0.25">
      <c r="B22" s="6" t="s">
        <v>28</v>
      </c>
      <c r="C22" s="7" t="s">
        <v>29</v>
      </c>
    </row>
    <row r="23" spans="2:3" x14ac:dyDescent="0.25">
      <c r="B23" s="4" t="s">
        <v>30</v>
      </c>
      <c r="C23" s="5" t="s">
        <v>29</v>
      </c>
    </row>
    <row r="25" spans="2:3" x14ac:dyDescent="0.25">
      <c r="B25" s="3" t="s">
        <v>31</v>
      </c>
      <c r="C25" s="3"/>
    </row>
    <row r="26" spans="2:3" x14ac:dyDescent="0.25">
      <c r="B26" s="4" t="s">
        <v>32</v>
      </c>
      <c r="C26" s="8">
        <f>'Margin Analysis'!C340</f>
        <v>3218418.220000002</v>
      </c>
    </row>
    <row r="27" spans="2:3" x14ac:dyDescent="0.25">
      <c r="B27" s="4" t="s">
        <v>33</v>
      </c>
      <c r="C27" s="8">
        <f>'Margin Analysis'!D340</f>
        <v>3706135.22</v>
      </c>
    </row>
    <row r="28" spans="2:3" x14ac:dyDescent="0.25">
      <c r="B28" s="4" t="s">
        <v>34</v>
      </c>
      <c r="C28" s="8">
        <f>'Margin Analysis'!E340</f>
        <v>487717</v>
      </c>
    </row>
    <row r="29" spans="2:3" x14ac:dyDescent="0.25">
      <c r="B29" s="4" t="s">
        <v>35</v>
      </c>
      <c r="C29" s="9">
        <f>'Margin Analysis'!F340</f>
        <v>0.13</v>
      </c>
    </row>
    <row r="30" spans="2:3" x14ac:dyDescent="0.25">
      <c r="B30" s="10" t="s">
        <v>36</v>
      </c>
      <c r="C30" s="11">
        <f>'Margin Analysis'!D340</f>
        <v>3706135.22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30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8" t="s">
        <v>91</v>
      </c>
      <c r="V2" s="39">
        <v>0.15</v>
      </c>
    </row>
    <row r="3" ht="28" customHeight="1" spans="1:26" x14ac:dyDescent="0.25">
      <c r="A3" s="24" t="s">
        <v>92</v>
      </c>
      <c r="B3" s="24" t="s">
        <v>93</v>
      </c>
      <c r="C3" s="24" t="s">
        <v>94</v>
      </c>
      <c r="D3" s="24" t="s">
        <v>95</v>
      </c>
      <c r="E3" s="24" t="s">
        <v>96</v>
      </c>
      <c r="F3" s="24" t="s">
        <v>97</v>
      </c>
      <c r="G3" s="24" t="s">
        <v>98</v>
      </c>
      <c r="H3" s="24" t="s">
        <v>99</v>
      </c>
      <c r="I3" s="24" t="s">
        <v>100</v>
      </c>
      <c r="J3" s="24" t="s">
        <v>101</v>
      </c>
      <c r="K3" s="24" t="s">
        <v>102</v>
      </c>
      <c r="L3" s="24" t="s">
        <v>103</v>
      </c>
      <c r="M3" s="24" t="s">
        <v>104</v>
      </c>
      <c r="N3" s="24" t="s">
        <v>105</v>
      </c>
      <c r="O3" s="24" t="s">
        <v>106</v>
      </c>
      <c r="P3" s="24" t="s">
        <v>107</v>
      </c>
      <c r="Q3" s="24" t="s">
        <v>108</v>
      </c>
      <c r="R3" s="24" t="s">
        <v>109</v>
      </c>
      <c r="S3" s="24" t="s">
        <v>110</v>
      </c>
      <c r="T3" s="24" t="s">
        <v>32</v>
      </c>
      <c r="U3" s="24" t="s">
        <v>43</v>
      </c>
      <c r="V3" s="24" t="s">
        <v>41</v>
      </c>
      <c r="W3" s="24" t="s">
        <v>111</v>
      </c>
      <c r="X3" s="24" t="s">
        <v>112</v>
      </c>
      <c r="Y3" s="24" t="s">
        <v>113</v>
      </c>
      <c r="Z3" s="24" t="s">
        <v>114</v>
      </c>
    </row>
    <row r="4" spans="1:26" x14ac:dyDescent="0.25">
      <c r="A4" s="40" t="s">
        <v>44</v>
      </c>
      <c r="B4" s="41">
        <v>8</v>
      </c>
      <c r="C4" s="41">
        <v>14</v>
      </c>
      <c r="D4" s="32">
        <v>8000</v>
      </c>
      <c r="E4" s="32" t="s">
        <v>115</v>
      </c>
      <c r="F4" s="32" t="s">
        <v>116</v>
      </c>
      <c r="G4" s="42" t="s">
        <v>117</v>
      </c>
      <c r="H4" s="41">
        <v>8</v>
      </c>
      <c r="I4" s="41">
        <v>14</v>
      </c>
      <c r="J4" s="43">
        <v>625</v>
      </c>
      <c r="K4" s="43">
        <v>1094</v>
      </c>
      <c r="L4" s="44">
        <v>1</v>
      </c>
      <c r="M4" s="45">
        <f>H4*I4*L4</f>
        <v>112</v>
      </c>
      <c r="N4" s="42">
        <v>7500</v>
      </c>
      <c r="O4" s="42" t="s">
        <v>118</v>
      </c>
      <c r="P4" s="33">
        <v>244.16</v>
      </c>
      <c r="Q4" s="33">
        <v>27345.53</v>
      </c>
      <c r="R4" s="33">
        <f>SUM('Bundle Equipment'!E10:E10)</f>
        <v>517.2</v>
      </c>
      <c r="S4" s="33">
        <v>1120</v>
      </c>
      <c r="T4" s="46">
        <v>28982.73</v>
      </c>
      <c r="U4" s="34">
        <f>V$2</f>
        <v>0.135464</v>
      </c>
      <c r="V4" s="46">
        <v>77048.19</v>
      </c>
      <c r="W4" s="33">
        <v>10437.23</v>
      </c>
      <c r="X4" s="45">
        <v>523</v>
      </c>
      <c r="Y4" s="45">
        <v>4177</v>
      </c>
      <c r="Z4" s="45">
        <f>Y4*3.412</f>
        <v>14252</v>
      </c>
    </row>
    <row r="5" spans="1:26" x14ac:dyDescent="0.25">
      <c r="A5" s="25" t="s">
        <v>56</v>
      </c>
      <c r="B5" s="47">
        <v>5.3333</v>
      </c>
      <c r="C5" s="47">
        <v>22.6667</v>
      </c>
      <c r="D5">
        <v>8000</v>
      </c>
      <c r="E5" t="s">
        <v>115</v>
      </c>
      <c r="F5" t="s">
        <v>116</v>
      </c>
      <c r="G5" s="48" t="s">
        <v>117</v>
      </c>
      <c r="H5" s="47">
        <v>5.3333</v>
      </c>
      <c r="I5" s="47">
        <v>22.6667</v>
      </c>
      <c r="J5" s="49">
        <v>417</v>
      </c>
      <c r="K5" s="49">
        <v>1771</v>
      </c>
      <c r="L5" s="50">
        <v>1</v>
      </c>
      <c r="M5" s="51">
        <f>H5*I5*L5</f>
        <v>120.89</v>
      </c>
      <c r="N5" s="48">
        <v>7500</v>
      </c>
      <c r="O5" s="48" t="s">
        <v>118</v>
      </c>
      <c r="P5" s="19">
        <v>244.16</v>
      </c>
      <c r="Q5" s="19">
        <v>29516.08</v>
      </c>
      <c r="R5" s="19">
        <f>SUM('Bundle Equipment'!E15:E15)</f>
        <v>522.53</v>
      </c>
      <c r="S5" s="19">
        <v>1208.9</v>
      </c>
      <c r="T5" s="52">
        <v>31247.51</v>
      </c>
      <c r="U5" s="26">
        <f>V$2</f>
        <v>0.135023</v>
      </c>
      <c r="V5" s="52">
        <v>80719.82</v>
      </c>
      <c r="W5" s="19">
        <v>10899.07</v>
      </c>
      <c r="X5" s="51">
        <v>564</v>
      </c>
      <c r="Y5" s="51">
        <v>4509</v>
      </c>
      <c r="Z5" s="51">
        <f>Y5*3.412</f>
        <v>15385</v>
      </c>
    </row>
    <row r="6" spans="1:26" x14ac:dyDescent="0.25">
      <c r="A6" s="40" t="s">
        <v>57</v>
      </c>
      <c r="B6" s="41">
        <v>8</v>
      </c>
      <c r="C6" s="41">
        <v>14</v>
      </c>
      <c r="D6" s="32">
        <v>8000</v>
      </c>
      <c r="E6" s="32" t="s">
        <v>115</v>
      </c>
      <c r="F6" s="32" t="s">
        <v>116</v>
      </c>
      <c r="G6" s="42" t="s">
        <v>117</v>
      </c>
      <c r="H6" s="41">
        <v>8</v>
      </c>
      <c r="I6" s="41">
        <v>14</v>
      </c>
      <c r="J6" s="43">
        <v>625</v>
      </c>
      <c r="K6" s="43">
        <v>1094</v>
      </c>
      <c r="L6" s="44">
        <v>1</v>
      </c>
      <c r="M6" s="45">
        <f>H6*I6*L6</f>
        <v>112</v>
      </c>
      <c r="N6" s="42">
        <v>7500</v>
      </c>
      <c r="O6" s="42" t="s">
        <v>118</v>
      </c>
      <c r="P6" s="33">
        <v>244.16</v>
      </c>
      <c r="Q6" s="33">
        <v>27345.53</v>
      </c>
      <c r="R6" s="33">
        <f>SUM('Bundle Equipment'!E20:E20)</f>
        <v>517.2</v>
      </c>
      <c r="S6" s="33">
        <v>1120</v>
      </c>
      <c r="T6" s="46">
        <v>28982.73</v>
      </c>
      <c r="U6" s="34">
        <f>V$2</f>
        <v>0.135464</v>
      </c>
      <c r="V6" s="46">
        <v>77048.19</v>
      </c>
      <c r="W6" s="33">
        <v>10437.23</v>
      </c>
      <c r="X6" s="45">
        <v>523</v>
      </c>
      <c r="Y6" s="45">
        <v>4177</v>
      </c>
      <c r="Z6" s="45">
        <f>Y6*3.412</f>
        <v>14252</v>
      </c>
    </row>
    <row r="7" spans="1:26" x14ac:dyDescent="0.25">
      <c r="A7" s="25" t="s">
        <v>58</v>
      </c>
      <c r="B7" s="47">
        <v>11</v>
      </c>
      <c r="C7" s="47">
        <v>100</v>
      </c>
      <c r="D7">
        <v>8000</v>
      </c>
      <c r="E7" t="s">
        <v>115</v>
      </c>
      <c r="F7" t="s">
        <v>116</v>
      </c>
      <c r="G7" s="48" t="s">
        <v>117</v>
      </c>
      <c r="H7" s="47">
        <v>11</v>
      </c>
      <c r="I7" s="47">
        <v>100</v>
      </c>
      <c r="J7" s="49">
        <v>860</v>
      </c>
      <c r="K7" s="49">
        <v>7815</v>
      </c>
      <c r="L7" s="50">
        <v>1</v>
      </c>
      <c r="M7" s="51">
        <f>H7*I7*L7</f>
        <v>1100</v>
      </c>
      <c r="N7" s="48">
        <v>7500</v>
      </c>
      <c r="O7" s="48" t="s">
        <v>118</v>
      </c>
      <c r="P7" s="19">
        <v>244.16</v>
      </c>
      <c r="Q7" s="19">
        <v>268572.15</v>
      </c>
      <c r="R7" s="19">
        <f>SUM('Bundle Equipment'!E26:E26)</f>
        <v>21060</v>
      </c>
      <c r="S7" s="19">
        <v>11000</v>
      </c>
      <c r="T7" s="52">
        <v>300632.15</v>
      </c>
      <c r="U7" s="26">
        <f>V$2</f>
        <v>0.128434</v>
      </c>
      <c r="V7" s="52">
        <v>510065.17</v>
      </c>
      <c r="W7" s="19">
        <v>65509.78</v>
      </c>
      <c r="X7" s="51">
        <v>5135</v>
      </c>
      <c r="Y7" s="51">
        <v>41028</v>
      </c>
      <c r="Z7" s="51">
        <f>Y7*3.412</f>
        <v>139988</v>
      </c>
    </row>
    <row r="8" spans="1:26" x14ac:dyDescent="0.25">
      <c r="A8" s="40" t="s">
        <v>59</v>
      </c>
      <c r="B8" s="41">
        <v>11</v>
      </c>
      <c r="C8" s="41">
        <v>85</v>
      </c>
      <c r="D8" s="32">
        <v>8000</v>
      </c>
      <c r="E8" s="32" t="s">
        <v>115</v>
      </c>
      <c r="F8" s="32" t="s">
        <v>116</v>
      </c>
      <c r="G8" s="42" t="s">
        <v>117</v>
      </c>
      <c r="H8" s="41">
        <v>11</v>
      </c>
      <c r="I8" s="41">
        <v>85</v>
      </c>
      <c r="J8" s="43">
        <v>860</v>
      </c>
      <c r="K8" s="43">
        <v>6643</v>
      </c>
      <c r="L8" s="44">
        <v>1</v>
      </c>
      <c r="M8" s="45">
        <f>H8*I8*L8</f>
        <v>935</v>
      </c>
      <c r="N8" s="42">
        <v>7500</v>
      </c>
      <c r="O8" s="42" t="s">
        <v>118</v>
      </c>
      <c r="P8" s="33">
        <v>244.16</v>
      </c>
      <c r="Q8" s="33">
        <v>228286.33</v>
      </c>
      <c r="R8" s="33">
        <f>SUM('Bundle Equipment'!E32:E32)</f>
        <v>20961</v>
      </c>
      <c r="S8" s="33">
        <v>9350</v>
      </c>
      <c r="T8" s="46">
        <v>258597.33</v>
      </c>
      <c r="U8" s="34">
        <f>V$2</f>
        <v>0.128831</v>
      </c>
      <c r="V8" s="46">
        <v>441677.13</v>
      </c>
      <c r="W8" s="33">
        <v>56901.57</v>
      </c>
      <c r="X8" s="45">
        <v>4364</v>
      </c>
      <c r="Y8" s="45">
        <v>34874</v>
      </c>
      <c r="Z8" s="45">
        <f>Y8*3.412</f>
        <v>118990</v>
      </c>
    </row>
    <row r="9" spans="1:26" x14ac:dyDescent="0.25">
      <c r="A9" s="25" t="s">
        <v>60</v>
      </c>
      <c r="B9" s="47">
        <v>10</v>
      </c>
      <c r="C9" s="47">
        <v>34</v>
      </c>
      <c r="D9">
        <v>8000</v>
      </c>
      <c r="E9" t="s">
        <v>115</v>
      </c>
      <c r="F9" t="s">
        <v>116</v>
      </c>
      <c r="G9" s="48" t="s">
        <v>117</v>
      </c>
      <c r="H9" s="47">
        <v>10</v>
      </c>
      <c r="I9" s="47">
        <v>34</v>
      </c>
      <c r="J9" s="49">
        <v>782</v>
      </c>
      <c r="K9" s="49">
        <v>2657</v>
      </c>
      <c r="L9" s="50">
        <v>2</v>
      </c>
      <c r="M9" s="51">
        <f>H9*I9*L9</f>
        <v>680</v>
      </c>
      <c r="N9" s="48">
        <v>7500</v>
      </c>
      <c r="O9" s="48" t="s">
        <v>118</v>
      </c>
      <c r="P9" s="19">
        <v>244.16</v>
      </c>
      <c r="Q9" s="19">
        <v>166026.42</v>
      </c>
      <c r="R9" s="19">
        <f>SUM('Bundle Equipment'!E38:E38)</f>
        <v>12858</v>
      </c>
      <c r="S9" s="19">
        <v>6800</v>
      </c>
      <c r="T9" s="52">
        <v>185684.42</v>
      </c>
      <c r="U9" s="26">
        <f>V$2</f>
        <v>0.12918</v>
      </c>
      <c r="V9" s="52">
        <v>326614.88</v>
      </c>
      <c r="W9" s="19">
        <v>42192.23</v>
      </c>
      <c r="X9" s="51">
        <v>3174</v>
      </c>
      <c r="Y9" s="51">
        <v>25363</v>
      </c>
      <c r="Z9" s="51">
        <f>Y9*3.412</f>
        <v>86539</v>
      </c>
    </row>
    <row r="10" spans="1:26" x14ac:dyDescent="0.25">
      <c r="A10" s="40" t="s">
        <v>61</v>
      </c>
      <c r="B10" s="41">
        <v>10</v>
      </c>
      <c r="C10" s="41">
        <v>36</v>
      </c>
      <c r="D10" s="32">
        <v>8000</v>
      </c>
      <c r="E10" s="32" t="s">
        <v>115</v>
      </c>
      <c r="F10" s="32" t="s">
        <v>116</v>
      </c>
      <c r="G10" s="42" t="s">
        <v>117</v>
      </c>
      <c r="H10" s="41">
        <v>10</v>
      </c>
      <c r="I10" s="41">
        <v>36</v>
      </c>
      <c r="J10" s="43">
        <v>782</v>
      </c>
      <c r="K10" s="43">
        <v>2814</v>
      </c>
      <c r="L10" s="44">
        <v>1</v>
      </c>
      <c r="M10" s="45">
        <f>H10*I10*L10</f>
        <v>360</v>
      </c>
      <c r="N10" s="42">
        <v>7500</v>
      </c>
      <c r="O10" s="42" t="s">
        <v>118</v>
      </c>
      <c r="P10" s="33">
        <v>244.16</v>
      </c>
      <c r="Q10" s="33">
        <v>87896.34</v>
      </c>
      <c r="R10" s="33">
        <f>SUM('Bundle Equipment'!E44:E44)</f>
        <v>12666</v>
      </c>
      <c r="S10" s="33">
        <v>3600</v>
      </c>
      <c r="T10" s="46">
        <v>104162.34</v>
      </c>
      <c r="U10" s="34">
        <f>V$2</f>
        <v>0.131443</v>
      </c>
      <c r="V10" s="46">
        <v>193994.8</v>
      </c>
      <c r="W10" s="33">
        <v>25499.22</v>
      </c>
      <c r="X10" s="45">
        <v>1680</v>
      </c>
      <c r="Y10" s="45">
        <v>13427</v>
      </c>
      <c r="Z10" s="45">
        <f>Y10*3.412</f>
        <v>45813</v>
      </c>
    </row>
    <row r="11" spans="1:26" x14ac:dyDescent="0.25">
      <c r="A11" s="25" t="s">
        <v>62</v>
      </c>
      <c r="B11" s="47">
        <v>10</v>
      </c>
      <c r="C11" s="47">
        <v>34</v>
      </c>
      <c r="D11">
        <v>8000</v>
      </c>
      <c r="E11" t="s">
        <v>115</v>
      </c>
      <c r="F11" t="s">
        <v>116</v>
      </c>
      <c r="G11" s="48" t="s">
        <v>117</v>
      </c>
      <c r="H11" s="47">
        <v>10</v>
      </c>
      <c r="I11" s="47">
        <v>34</v>
      </c>
      <c r="J11" s="49">
        <v>782</v>
      </c>
      <c r="K11" s="49">
        <v>2657</v>
      </c>
      <c r="L11" s="50">
        <v>2</v>
      </c>
      <c r="M11" s="51">
        <f>H11*I11*L11</f>
        <v>680</v>
      </c>
      <c r="N11" s="48">
        <v>7500</v>
      </c>
      <c r="O11" s="48" t="s">
        <v>118</v>
      </c>
      <c r="P11" s="19">
        <v>244.16</v>
      </c>
      <c r="Q11" s="19">
        <v>166026.42</v>
      </c>
      <c r="R11" s="19">
        <f>SUM('Bundle Equipment'!E50:E50)</f>
        <v>12858</v>
      </c>
      <c r="S11" s="19">
        <v>6800</v>
      </c>
      <c r="T11" s="52">
        <v>185684.42</v>
      </c>
      <c r="U11" s="26">
        <f>V$2</f>
        <v>0.12918</v>
      </c>
      <c r="V11" s="52">
        <v>326614.88</v>
      </c>
      <c r="W11" s="19">
        <v>42192.23</v>
      </c>
      <c r="X11" s="51">
        <v>3174</v>
      </c>
      <c r="Y11" s="51">
        <v>25363</v>
      </c>
      <c r="Z11" s="51">
        <f>Y11*3.412</f>
        <v>86539</v>
      </c>
    </row>
    <row r="12" spans="1:26" x14ac:dyDescent="0.25">
      <c r="A12" s="40" t="s">
        <v>63</v>
      </c>
      <c r="B12" s="41">
        <v>4</v>
      </c>
      <c r="C12" s="41">
        <v>6</v>
      </c>
      <c r="D12" s="32">
        <v>8000</v>
      </c>
      <c r="E12" s="32" t="s">
        <v>115</v>
      </c>
      <c r="F12" s="32" t="s">
        <v>116</v>
      </c>
      <c r="G12" s="42" t="s">
        <v>117</v>
      </c>
      <c r="H12" s="41">
        <v>4</v>
      </c>
      <c r="I12" s="41">
        <v>6</v>
      </c>
      <c r="J12" s="43">
        <v>313</v>
      </c>
      <c r="K12" s="43">
        <v>469</v>
      </c>
      <c r="L12" s="44">
        <v>4</v>
      </c>
      <c r="M12" s="45">
        <f>H12*I12*L12</f>
        <v>96</v>
      </c>
      <c r="N12" s="42">
        <v>7500</v>
      </c>
      <c r="O12" s="42" t="s">
        <v>118</v>
      </c>
      <c r="P12" s="33">
        <v>244.16</v>
      </c>
      <c r="Q12" s="33">
        <v>23439.02</v>
      </c>
      <c r="R12" s="33">
        <f>SUM('Bundle Equipment'!E55:E55)</f>
        <v>507.6</v>
      </c>
      <c r="S12" s="33">
        <v>960</v>
      </c>
      <c r="T12" s="46">
        <v>24906.62</v>
      </c>
      <c r="U12" s="34">
        <f>V$2</f>
        <v>0.136376</v>
      </c>
      <c r="V12" s="46">
        <v>70464.54</v>
      </c>
      <c r="W12" s="33">
        <v>9609.69</v>
      </c>
      <c r="X12" s="45">
        <v>448</v>
      </c>
      <c r="Y12" s="45">
        <v>3581</v>
      </c>
      <c r="Z12" s="45">
        <f>Y12*3.412</f>
        <v>12218</v>
      </c>
    </row>
    <row r="13" spans="1:26" x14ac:dyDescent="0.25">
      <c r="A13" s="25" t="s">
        <v>64</v>
      </c>
      <c r="B13" s="47">
        <v>10</v>
      </c>
      <c r="C13" s="47">
        <v>16</v>
      </c>
      <c r="D13">
        <v>8000</v>
      </c>
      <c r="E13" t="s">
        <v>115</v>
      </c>
      <c r="F13" t="s">
        <v>116</v>
      </c>
      <c r="G13" s="48" t="s">
        <v>117</v>
      </c>
      <c r="H13" s="47">
        <v>10</v>
      </c>
      <c r="I13" s="47">
        <v>16</v>
      </c>
      <c r="J13" s="49">
        <v>782</v>
      </c>
      <c r="K13" s="49">
        <v>1250</v>
      </c>
      <c r="L13" s="50">
        <v>2</v>
      </c>
      <c r="M13" s="51">
        <f>H13*I13*L13</f>
        <v>320</v>
      </c>
      <c r="N13" s="48">
        <v>7500</v>
      </c>
      <c r="O13" s="48" t="s">
        <v>118</v>
      </c>
      <c r="P13" s="19">
        <v>244.16</v>
      </c>
      <c r="Q13" s="19">
        <v>78130.08</v>
      </c>
      <c r="R13" s="19">
        <f>SUM('Bundle Equipment'!E61:E61)</f>
        <v>12642</v>
      </c>
      <c r="S13" s="19">
        <v>3200</v>
      </c>
      <c r="T13" s="52">
        <v>93972.08</v>
      </c>
      <c r="U13" s="26">
        <f>V$2</f>
        <v>0.13196300000000002</v>
      </c>
      <c r="V13" s="52">
        <v>177412.13</v>
      </c>
      <c r="W13" s="19">
        <v>23411.82</v>
      </c>
      <c r="X13" s="51">
        <v>1494</v>
      </c>
      <c r="Y13" s="51">
        <v>11935</v>
      </c>
      <c r="Z13" s="51">
        <f>Y13*3.412</f>
        <v>40722</v>
      </c>
    </row>
    <row r="14" spans="1:26" x14ac:dyDescent="0.25">
      <c r="A14" s="40" t="s">
        <v>65</v>
      </c>
      <c r="B14" s="41">
        <v>22</v>
      </c>
      <c r="C14" s="41">
        <v>3</v>
      </c>
      <c r="D14" s="32">
        <v>8000</v>
      </c>
      <c r="E14" s="32" t="s">
        <v>115</v>
      </c>
      <c r="F14" s="32" t="s">
        <v>116</v>
      </c>
      <c r="G14" s="42" t="s">
        <v>117</v>
      </c>
      <c r="H14" s="41">
        <v>22</v>
      </c>
      <c r="I14" s="41">
        <v>3</v>
      </c>
      <c r="J14" s="43">
        <v>1719</v>
      </c>
      <c r="K14" s="43">
        <v>234</v>
      </c>
      <c r="L14" s="44">
        <v>3</v>
      </c>
      <c r="M14" s="45">
        <f>H14*I14*L14</f>
        <v>198</v>
      </c>
      <c r="N14" s="42">
        <v>7500</v>
      </c>
      <c r="O14" s="42" t="s">
        <v>118</v>
      </c>
      <c r="P14" s="33">
        <v>244.16</v>
      </c>
      <c r="Q14" s="33">
        <v>48342.99</v>
      </c>
      <c r="R14" s="33">
        <f>SUM('Bundle Equipment'!E66:E66)</f>
        <v>568.8</v>
      </c>
      <c r="S14" s="33">
        <v>1980</v>
      </c>
      <c r="T14" s="46">
        <v>50891.79</v>
      </c>
      <c r="U14" s="34">
        <f>V$2</f>
        <v>0.132416</v>
      </c>
      <c r="V14" s="46">
        <v>112600.03</v>
      </c>
      <c r="W14" s="33">
        <v>14910.01</v>
      </c>
      <c r="X14" s="45">
        <v>924</v>
      </c>
      <c r="Y14" s="45">
        <v>7385</v>
      </c>
      <c r="Z14" s="45">
        <f>Y14*3.412</f>
        <v>25198</v>
      </c>
    </row>
    <row r="15" spans="1:26" x14ac:dyDescent="0.25">
      <c r="A15" s="25" t="s">
        <v>65</v>
      </c>
      <c r="B15" s="47">
        <v>19</v>
      </c>
      <c r="C15" s="47">
        <v>3.1667</v>
      </c>
      <c r="D15">
        <v>8000</v>
      </c>
      <c r="E15" t="s">
        <v>119</v>
      </c>
      <c r="F15" t="s">
        <v>120</v>
      </c>
      <c r="G15" s="48" t="s">
        <v>117</v>
      </c>
      <c r="H15" s="47">
        <v>19</v>
      </c>
      <c r="I15" s="47">
        <v>3.1667</v>
      </c>
      <c r="J15" s="49">
        <v>1485</v>
      </c>
      <c r="K15" s="49">
        <v>247</v>
      </c>
      <c r="L15" s="50">
        <v>1</v>
      </c>
      <c r="M15" s="51">
        <f>H15*I15*L15</f>
        <v>60.17</v>
      </c>
      <c r="N15" s="48">
        <v>7500</v>
      </c>
      <c r="O15" s="48" t="s">
        <v>118</v>
      </c>
      <c r="P15" s="19">
        <v>244.16</v>
      </c>
      <c r="Q15" s="19">
        <v>14690.9</v>
      </c>
      <c r="R15" s="19">
        <f>SUM('Bundle Equipment'!E71:E71)</f>
        <v>486.1</v>
      </c>
      <c r="S15" s="19">
        <v>601.7</v>
      </c>
      <c r="T15" s="52">
        <v>15778.7</v>
      </c>
      <c r="U15" s="26">
        <f>V$2</f>
        <v>0.139165</v>
      </c>
      <c r="V15" s="52">
        <v>55535.56</v>
      </c>
      <c r="W15" s="19">
        <v>7728.63</v>
      </c>
      <c r="X15" s="51">
        <v>254</v>
      </c>
      <c r="Y15" s="51">
        <v>2730</v>
      </c>
      <c r="Z15" s="51">
        <f>Y15*3.412</f>
        <v>9315</v>
      </c>
    </row>
    <row r="16" spans="1:26" x14ac:dyDescent="0.25">
      <c r="A16" s="40" t="s">
        <v>65</v>
      </c>
      <c r="B16" s="41">
        <v>22</v>
      </c>
      <c r="C16" s="41">
        <v>3</v>
      </c>
      <c r="D16" s="32">
        <v>8000</v>
      </c>
      <c r="E16" s="32" t="s">
        <v>119</v>
      </c>
      <c r="F16" s="32" t="s">
        <v>120</v>
      </c>
      <c r="G16" s="42" t="s">
        <v>117</v>
      </c>
      <c r="H16" s="41">
        <v>22</v>
      </c>
      <c r="I16" s="41">
        <v>3</v>
      </c>
      <c r="J16" s="43">
        <v>1719</v>
      </c>
      <c r="K16" s="43">
        <v>234</v>
      </c>
      <c r="L16" s="44">
        <v>1</v>
      </c>
      <c r="M16" s="45">
        <f>H16*I16*L16</f>
        <v>66</v>
      </c>
      <c r="N16" s="42">
        <v>7500</v>
      </c>
      <c r="O16" s="42" t="s">
        <v>118</v>
      </c>
      <c r="P16" s="33">
        <v>244.16</v>
      </c>
      <c r="Q16" s="33">
        <v>16114.33</v>
      </c>
      <c r="R16" s="33">
        <f>SUM('Bundle Equipment'!E76:E76)</f>
        <v>489.6</v>
      </c>
      <c r="S16" s="33">
        <v>660</v>
      </c>
      <c r="T16" s="46">
        <v>17263.93</v>
      </c>
      <c r="U16" s="34">
        <f>V$2</f>
        <v>0.13861199999999999</v>
      </c>
      <c r="V16" s="46">
        <v>57955.49</v>
      </c>
      <c r="W16" s="33">
        <v>8033.33</v>
      </c>
      <c r="X16" s="45">
        <v>278</v>
      </c>
      <c r="Y16" s="45">
        <v>2994</v>
      </c>
      <c r="Z16" s="45">
        <f>Y16*3.412</f>
        <v>10216</v>
      </c>
    </row>
    <row r="17" spans="1:26" x14ac:dyDescent="0.25">
      <c r="A17" s="25" t="s">
        <v>65</v>
      </c>
      <c r="B17" s="47">
        <v>19</v>
      </c>
      <c r="C17" s="47">
        <v>3.1667</v>
      </c>
      <c r="D17">
        <v>8000</v>
      </c>
      <c r="E17" t="s">
        <v>119</v>
      </c>
      <c r="F17" t="s">
        <v>120</v>
      </c>
      <c r="G17" s="48" t="s">
        <v>117</v>
      </c>
      <c r="H17" s="47">
        <v>19</v>
      </c>
      <c r="I17" s="47">
        <v>3.1667</v>
      </c>
      <c r="J17" s="49">
        <v>1485</v>
      </c>
      <c r="K17" s="49">
        <v>247</v>
      </c>
      <c r="L17" s="50">
        <v>1</v>
      </c>
      <c r="M17" s="51">
        <f>H17*I17*L17</f>
        <v>60.17</v>
      </c>
      <c r="N17" s="48">
        <v>7500</v>
      </c>
      <c r="O17" s="48" t="s">
        <v>118</v>
      </c>
      <c r="P17" s="19">
        <v>244.16</v>
      </c>
      <c r="Q17" s="19">
        <v>14690.9</v>
      </c>
      <c r="R17" s="19">
        <f>SUM('Bundle Equipment'!E81:E81)</f>
        <v>486.1</v>
      </c>
      <c r="S17" s="19">
        <v>601.7</v>
      </c>
      <c r="T17" s="52">
        <v>15778.7</v>
      </c>
      <c r="U17" s="26">
        <f>V$2</f>
        <v>0.139165</v>
      </c>
      <c r="V17" s="52">
        <v>55535.56</v>
      </c>
      <c r="W17" s="19">
        <v>7728.63</v>
      </c>
      <c r="X17" s="51">
        <v>254</v>
      </c>
      <c r="Y17" s="51">
        <v>2730</v>
      </c>
      <c r="Z17" s="51">
        <f>Y17*3.412</f>
        <v>9315</v>
      </c>
    </row>
    <row r="18" spans="1:26" x14ac:dyDescent="0.25">
      <c r="A18" s="40" t="s">
        <v>66</v>
      </c>
      <c r="B18" s="41">
        <v>10</v>
      </c>
      <c r="C18" s="41">
        <v>16</v>
      </c>
      <c r="D18" s="32">
        <v>8000</v>
      </c>
      <c r="E18" s="32" t="s">
        <v>115</v>
      </c>
      <c r="F18" s="32" t="s">
        <v>116</v>
      </c>
      <c r="G18" s="42" t="s">
        <v>117</v>
      </c>
      <c r="H18" s="41">
        <v>10</v>
      </c>
      <c r="I18" s="41">
        <v>16</v>
      </c>
      <c r="J18" s="43">
        <v>782</v>
      </c>
      <c r="K18" s="43">
        <v>1250</v>
      </c>
      <c r="L18" s="44">
        <v>2</v>
      </c>
      <c r="M18" s="45">
        <f>H18*I18*L18</f>
        <v>320</v>
      </c>
      <c r="N18" s="42">
        <v>7500</v>
      </c>
      <c r="O18" s="42" t="s">
        <v>118</v>
      </c>
      <c r="P18" s="33">
        <v>244.16</v>
      </c>
      <c r="Q18" s="33">
        <v>78130.08</v>
      </c>
      <c r="R18" s="33">
        <f>SUM('Bundle Equipment'!E87:E87)</f>
        <v>12642</v>
      </c>
      <c r="S18" s="33">
        <v>3200</v>
      </c>
      <c r="T18" s="46">
        <v>93972.08</v>
      </c>
      <c r="U18" s="34">
        <f>V$2</f>
        <v>0.13196300000000002</v>
      </c>
      <c r="V18" s="46">
        <v>177412.13</v>
      </c>
      <c r="W18" s="33">
        <v>23411.82</v>
      </c>
      <c r="X18" s="45">
        <v>1494</v>
      </c>
      <c r="Y18" s="45">
        <v>11935</v>
      </c>
      <c r="Z18" s="45">
        <f>Y18*3.412</f>
        <v>40722</v>
      </c>
    </row>
    <row r="19" spans="1:26" x14ac:dyDescent="0.25">
      <c r="A19" s="25" t="s">
        <v>60</v>
      </c>
      <c r="B19" s="47">
        <v>10</v>
      </c>
      <c r="C19" s="47">
        <v>34</v>
      </c>
      <c r="D19">
        <v>8000</v>
      </c>
      <c r="E19" t="s">
        <v>119</v>
      </c>
      <c r="F19" t="s">
        <v>120</v>
      </c>
      <c r="G19" s="48" t="s">
        <v>117</v>
      </c>
      <c r="H19" s="47">
        <v>10</v>
      </c>
      <c r="I19" s="47">
        <v>34</v>
      </c>
      <c r="J19" s="49">
        <v>782</v>
      </c>
      <c r="K19" s="49">
        <v>2657</v>
      </c>
      <c r="L19" s="50">
        <v>1</v>
      </c>
      <c r="M19" s="51">
        <f>H19*I19*L19</f>
        <v>340</v>
      </c>
      <c r="N19" s="48">
        <v>7500</v>
      </c>
      <c r="O19" s="48" t="s">
        <v>118</v>
      </c>
      <c r="P19" s="19">
        <v>244.16</v>
      </c>
      <c r="Q19" s="19">
        <v>83013.21</v>
      </c>
      <c r="R19" s="19">
        <f>SUM('Bundle Equipment'!E93:E93)</f>
        <v>12654</v>
      </c>
      <c r="S19" s="19">
        <v>3400</v>
      </c>
      <c r="T19" s="52">
        <v>99067.21</v>
      </c>
      <c r="U19" s="26">
        <f>V$2</f>
        <v>0.131689</v>
      </c>
      <c r="V19" s="52">
        <v>185682.88</v>
      </c>
      <c r="W19" s="19">
        <v>24452.43</v>
      </c>
      <c r="X19" s="51">
        <v>1434</v>
      </c>
      <c r="Y19" s="51">
        <v>15424</v>
      </c>
      <c r="Z19" s="51">
        <f>Y19*3.412</f>
        <v>52627</v>
      </c>
    </row>
    <row r="20" spans="1:26" x14ac:dyDescent="0.25">
      <c r="A20" s="40" t="s">
        <v>62</v>
      </c>
      <c r="B20" s="41">
        <v>10</v>
      </c>
      <c r="C20" s="41">
        <v>34</v>
      </c>
      <c r="D20" s="32">
        <v>8000</v>
      </c>
      <c r="E20" s="32" t="s">
        <v>119</v>
      </c>
      <c r="F20" s="32" t="s">
        <v>120</v>
      </c>
      <c r="G20" s="42" t="s">
        <v>117</v>
      </c>
      <c r="H20" s="41">
        <v>10</v>
      </c>
      <c r="I20" s="41">
        <v>34</v>
      </c>
      <c r="J20" s="43">
        <v>782</v>
      </c>
      <c r="K20" s="43">
        <v>2657</v>
      </c>
      <c r="L20" s="44">
        <v>1</v>
      </c>
      <c r="M20" s="45">
        <f>H20*I20*L20</f>
        <v>340</v>
      </c>
      <c r="N20" s="42">
        <v>7500</v>
      </c>
      <c r="O20" s="42" t="s">
        <v>118</v>
      </c>
      <c r="P20" s="33">
        <v>244.16</v>
      </c>
      <c r="Q20" s="33">
        <v>83013.21</v>
      </c>
      <c r="R20" s="33">
        <f>SUM('Bundle Equipment'!E99:E99)</f>
        <v>12654</v>
      </c>
      <c r="S20" s="33">
        <v>3400</v>
      </c>
      <c r="T20" s="46">
        <v>99067.21</v>
      </c>
      <c r="U20" s="34">
        <f>V$2</f>
        <v>0.131689</v>
      </c>
      <c r="V20" s="46">
        <v>185682.88</v>
      </c>
      <c r="W20" s="33">
        <v>24452.43</v>
      </c>
      <c r="X20" s="45">
        <v>1434</v>
      </c>
      <c r="Y20" s="45">
        <v>15424</v>
      </c>
      <c r="Z20" s="45">
        <f>Y20*3.412</f>
        <v>52627</v>
      </c>
    </row>
    <row r="21" spans="1:26" x14ac:dyDescent="0.25">
      <c r="A21" s="25" t="s">
        <v>65</v>
      </c>
      <c r="B21" s="47">
        <v>22</v>
      </c>
      <c r="C21" s="47">
        <v>3</v>
      </c>
      <c r="D21">
        <v>8000</v>
      </c>
      <c r="E21" t="s">
        <v>119</v>
      </c>
      <c r="F21" t="s">
        <v>120</v>
      </c>
      <c r="G21" s="48" t="s">
        <v>117</v>
      </c>
      <c r="H21" s="47">
        <v>22</v>
      </c>
      <c r="I21" s="47">
        <v>3</v>
      </c>
      <c r="J21" s="49">
        <v>1719</v>
      </c>
      <c r="K21" s="49">
        <v>234</v>
      </c>
      <c r="L21" s="50">
        <v>1</v>
      </c>
      <c r="M21" s="51">
        <f>H21*I21*L21</f>
        <v>66</v>
      </c>
      <c r="N21" s="48">
        <v>7500</v>
      </c>
      <c r="O21" s="48" t="s">
        <v>118</v>
      </c>
      <c r="P21" s="19">
        <v>244.16</v>
      </c>
      <c r="Q21" s="19">
        <v>16114.33</v>
      </c>
      <c r="R21" s="19">
        <f>SUM('Bundle Equipment'!E104:E104)</f>
        <v>489.6</v>
      </c>
      <c r="S21" s="19">
        <v>660</v>
      </c>
      <c r="T21" s="52">
        <v>17263.93</v>
      </c>
      <c r="U21" s="26">
        <f>V$2</f>
        <v>0.13861199999999999</v>
      </c>
      <c r="V21" s="52">
        <v>57955.49</v>
      </c>
      <c r="W21" s="19">
        <v>8033.33</v>
      </c>
      <c r="X21" s="51">
        <v>278</v>
      </c>
      <c r="Y21" s="51">
        <v>2994</v>
      </c>
      <c r="Z21" s="51">
        <f>Y21*3.412</f>
        <v>10216</v>
      </c>
    </row>
    <row r="22" spans="1:26" x14ac:dyDescent="0.25">
      <c r="A22" s="40" t="s">
        <v>65</v>
      </c>
      <c r="B22" s="41">
        <v>8</v>
      </c>
      <c r="C22" s="41">
        <v>29</v>
      </c>
      <c r="D22" s="32">
        <v>8000</v>
      </c>
      <c r="E22" s="32" t="s">
        <v>119</v>
      </c>
      <c r="F22" s="32" t="s">
        <v>120</v>
      </c>
      <c r="G22" s="42" t="s">
        <v>117</v>
      </c>
      <c r="H22" s="41">
        <v>8</v>
      </c>
      <c r="I22" s="41">
        <v>29</v>
      </c>
      <c r="J22" s="43">
        <v>625</v>
      </c>
      <c r="K22" s="43">
        <v>2266</v>
      </c>
      <c r="L22" s="44">
        <v>1</v>
      </c>
      <c r="M22" s="45">
        <f>H22*I22*L22</f>
        <v>232</v>
      </c>
      <c r="N22" s="42">
        <v>7500</v>
      </c>
      <c r="O22" s="42" t="s">
        <v>118</v>
      </c>
      <c r="P22" s="33">
        <v>244.16</v>
      </c>
      <c r="Q22" s="33">
        <v>56644.31</v>
      </c>
      <c r="R22" s="33">
        <f>SUM('Bundle Equipment'!E109:E109)</f>
        <v>589.2</v>
      </c>
      <c r="S22" s="33">
        <v>2320</v>
      </c>
      <c r="T22" s="46">
        <v>59553.51</v>
      </c>
      <c r="U22" s="34">
        <f>V$2</f>
        <v>0.131697</v>
      </c>
      <c r="V22" s="46">
        <v>126754.99</v>
      </c>
      <c r="W22" s="33">
        <v>16693.25</v>
      </c>
      <c r="X22" s="45">
        <v>979</v>
      </c>
      <c r="Y22" s="45">
        <v>10525</v>
      </c>
      <c r="Z22" s="45">
        <f>Y22*3.412</f>
        <v>35911</v>
      </c>
    </row>
    <row r="23" spans="1:26" x14ac:dyDescent="0.25">
      <c r="A23" s="25" t="s">
        <v>65</v>
      </c>
      <c r="B23" s="47">
        <v>4.0833</v>
      </c>
      <c r="C23" s="47">
        <v>37.25</v>
      </c>
      <c r="D23">
        <v>8000</v>
      </c>
      <c r="E23" t="s">
        <v>119</v>
      </c>
      <c r="F23" t="s">
        <v>120</v>
      </c>
      <c r="G23" s="48" t="s">
        <v>117</v>
      </c>
      <c r="H23" s="47">
        <v>4.0833</v>
      </c>
      <c r="I23" s="47">
        <v>37.25</v>
      </c>
      <c r="J23" s="49">
        <v>319</v>
      </c>
      <c r="K23" s="49">
        <v>2911</v>
      </c>
      <c r="L23" s="50">
        <v>1</v>
      </c>
      <c r="M23" s="51">
        <f>H23*I23*L23</f>
        <v>152.1</v>
      </c>
      <c r="N23" s="48">
        <v>7500</v>
      </c>
      <c r="O23" s="48" t="s">
        <v>118</v>
      </c>
      <c r="P23" s="19">
        <v>244.16</v>
      </c>
      <c r="Q23" s="19">
        <v>37136.2</v>
      </c>
      <c r="R23" s="19">
        <f>SUM('Bundle Equipment'!E114:E114)</f>
        <v>541.26</v>
      </c>
      <c r="S23" s="19">
        <v>1521</v>
      </c>
      <c r="T23" s="52">
        <v>39198.46</v>
      </c>
      <c r="U23" s="26">
        <f>V$2</f>
        <v>0.13376</v>
      </c>
      <c r="V23" s="52">
        <v>93659.65</v>
      </c>
      <c r="W23" s="19">
        <v>12527.95</v>
      </c>
      <c r="X23" s="51">
        <v>642</v>
      </c>
      <c r="Y23" s="51">
        <v>6900</v>
      </c>
      <c r="Z23" s="51">
        <f>Y23*3.412</f>
        <v>23543</v>
      </c>
    </row>
    <row r="24" spans="1:26" x14ac:dyDescent="0.25">
      <c r="A24" s="40" t="s">
        <v>63</v>
      </c>
      <c r="B24" s="41">
        <v>4</v>
      </c>
      <c r="C24" s="41">
        <v>6</v>
      </c>
      <c r="D24" s="32">
        <v>8000</v>
      </c>
      <c r="E24" s="32" t="s">
        <v>119</v>
      </c>
      <c r="F24" s="32" t="s">
        <v>120</v>
      </c>
      <c r="G24" s="42" t="s">
        <v>117</v>
      </c>
      <c r="H24" s="41">
        <v>4</v>
      </c>
      <c r="I24" s="41">
        <v>6</v>
      </c>
      <c r="J24" s="43">
        <v>313</v>
      </c>
      <c r="K24" s="43">
        <v>469</v>
      </c>
      <c r="L24" s="44">
        <v>1</v>
      </c>
      <c r="M24" s="45">
        <f>H24*I24*L24</f>
        <v>24</v>
      </c>
      <c r="N24" s="42">
        <v>7500</v>
      </c>
      <c r="O24" s="42" t="s">
        <v>118</v>
      </c>
      <c r="P24" s="33">
        <v>244.16</v>
      </c>
      <c r="Q24" s="33">
        <v>5859.76</v>
      </c>
      <c r="R24" s="33">
        <f>SUM('Bundle Equipment'!E119:E119)</f>
        <v>464.4</v>
      </c>
      <c r="S24" s="33">
        <v>500</v>
      </c>
      <c r="T24" s="46">
        <v>6824.16</v>
      </c>
      <c r="U24" s="34">
        <f>V$2</f>
        <v>0.137682</v>
      </c>
      <c r="V24" s="46">
        <v>40591.05</v>
      </c>
      <c r="W24" s="33">
        <v>5588.66</v>
      </c>
      <c r="X24" s="45">
        <v>101</v>
      </c>
      <c r="Y24" s="45">
        <v>1089</v>
      </c>
      <c r="Z24" s="45">
        <f>Y24*3.412</f>
        <v>3716</v>
      </c>
    </row>
    <row r="25" spans="1:26" x14ac:dyDescent="0.25">
      <c r="A25" s="25" t="s">
        <v>63</v>
      </c>
      <c r="B25" s="47">
        <v>4</v>
      </c>
      <c r="C25" s="47">
        <v>6</v>
      </c>
      <c r="D25">
        <v>8000</v>
      </c>
      <c r="E25" t="s">
        <v>119</v>
      </c>
      <c r="F25" t="s">
        <v>120</v>
      </c>
      <c r="G25" s="48" t="s">
        <v>117</v>
      </c>
      <c r="H25" s="47">
        <v>4</v>
      </c>
      <c r="I25" s="47">
        <v>6</v>
      </c>
      <c r="J25" s="49">
        <v>313</v>
      </c>
      <c r="K25" s="49">
        <v>469</v>
      </c>
      <c r="L25" s="50">
        <v>1</v>
      </c>
      <c r="M25" s="51">
        <f>H25*I25*L25</f>
        <v>24</v>
      </c>
      <c r="N25" s="48">
        <v>7500</v>
      </c>
      <c r="O25" s="48" t="s">
        <v>118</v>
      </c>
      <c r="P25" s="19">
        <v>244.16</v>
      </c>
      <c r="Q25" s="19">
        <v>5859.76</v>
      </c>
      <c r="R25" s="19">
        <f>SUM('Bundle Equipment'!E124:E124)</f>
        <v>464.4</v>
      </c>
      <c r="S25" s="19">
        <v>500</v>
      </c>
      <c r="T25" s="52">
        <v>6824.16</v>
      </c>
      <c r="U25" s="26">
        <f>V$2</f>
        <v>0.137682</v>
      </c>
      <c r="V25" s="52">
        <v>40591.05</v>
      </c>
      <c r="W25" s="19">
        <v>5588.66</v>
      </c>
      <c r="X25" s="51">
        <v>101</v>
      </c>
      <c r="Y25" s="51">
        <v>1089</v>
      </c>
      <c r="Z25" s="51">
        <f>Y25*3.412</f>
        <v>3716</v>
      </c>
    </row>
    <row r="26" spans="1:26" x14ac:dyDescent="0.25">
      <c r="A26" s="40" t="s">
        <v>63</v>
      </c>
      <c r="B26" s="41">
        <v>4</v>
      </c>
      <c r="C26" s="41">
        <v>6</v>
      </c>
      <c r="D26" s="32">
        <v>8000</v>
      </c>
      <c r="E26" s="32" t="s">
        <v>119</v>
      </c>
      <c r="F26" s="32" t="s">
        <v>120</v>
      </c>
      <c r="G26" s="42" t="s">
        <v>117</v>
      </c>
      <c r="H26" s="41">
        <v>4</v>
      </c>
      <c r="I26" s="41">
        <v>6</v>
      </c>
      <c r="J26" s="43">
        <v>313</v>
      </c>
      <c r="K26" s="43">
        <v>469</v>
      </c>
      <c r="L26" s="44">
        <v>1</v>
      </c>
      <c r="M26" s="45">
        <f>H26*I26*L26</f>
        <v>24</v>
      </c>
      <c r="N26" s="42">
        <v>7500</v>
      </c>
      <c r="O26" s="42" t="s">
        <v>118</v>
      </c>
      <c r="P26" s="33">
        <v>244.16</v>
      </c>
      <c r="Q26" s="33">
        <v>5859.76</v>
      </c>
      <c r="R26" s="33">
        <f>SUM('Bundle Equipment'!E129:E129)</f>
        <v>464.4</v>
      </c>
      <c r="S26" s="33">
        <v>500</v>
      </c>
      <c r="T26" s="46">
        <v>6824.16</v>
      </c>
      <c r="U26" s="34">
        <f>V$2</f>
        <v>0.137682</v>
      </c>
      <c r="V26" s="46">
        <v>40591.05</v>
      </c>
      <c r="W26" s="33">
        <v>5588.66</v>
      </c>
      <c r="X26" s="45">
        <v>101</v>
      </c>
      <c r="Y26" s="45">
        <v>1089</v>
      </c>
      <c r="Z26" s="45">
        <f>Y26*3.412</f>
        <v>3716</v>
      </c>
    </row>
    <row r="27" spans="1:26" x14ac:dyDescent="0.25">
      <c r="A27" s="25" t="s">
        <v>64</v>
      </c>
      <c r="B27" s="47">
        <v>10</v>
      </c>
      <c r="C27" s="47">
        <v>16</v>
      </c>
      <c r="D27">
        <v>8000</v>
      </c>
      <c r="E27" t="s">
        <v>119</v>
      </c>
      <c r="F27" t="s">
        <v>120</v>
      </c>
      <c r="G27" s="48" t="s">
        <v>117</v>
      </c>
      <c r="H27" s="47">
        <v>10</v>
      </c>
      <c r="I27" s="47">
        <v>16</v>
      </c>
      <c r="J27" s="49">
        <v>782</v>
      </c>
      <c r="K27" s="49">
        <v>1250</v>
      </c>
      <c r="L27" s="50">
        <v>1</v>
      </c>
      <c r="M27" s="51">
        <f>H27*I27*L27</f>
        <v>160</v>
      </c>
      <c r="N27" s="48">
        <v>7500</v>
      </c>
      <c r="O27" s="48" t="s">
        <v>118</v>
      </c>
      <c r="P27" s="19">
        <v>244.16</v>
      </c>
      <c r="Q27" s="19">
        <v>39065.04</v>
      </c>
      <c r="R27" s="19">
        <f>SUM('Bundle Equipment'!E134:E134)</f>
        <v>546</v>
      </c>
      <c r="S27" s="19">
        <v>1600</v>
      </c>
      <c r="T27" s="52">
        <v>41211.04</v>
      </c>
      <c r="U27" s="26">
        <f>V$2</f>
        <v>0.133499</v>
      </c>
      <c r="V27" s="52">
        <v>96963.84</v>
      </c>
      <c r="W27" s="19">
        <v>12944.57</v>
      </c>
      <c r="X27" s="51">
        <v>675</v>
      </c>
      <c r="Y27" s="51">
        <v>7258</v>
      </c>
      <c r="Z27" s="51">
        <f>Y27*3.412</f>
        <v>24764</v>
      </c>
    </row>
    <row r="28" spans="1:26" x14ac:dyDescent="0.25">
      <c r="A28" s="40" t="s">
        <v>66</v>
      </c>
      <c r="B28" s="41">
        <v>10</v>
      </c>
      <c r="C28" s="41">
        <v>16</v>
      </c>
      <c r="D28" s="32">
        <v>8000</v>
      </c>
      <c r="E28" s="32" t="s">
        <v>119</v>
      </c>
      <c r="F28" s="32" t="s">
        <v>120</v>
      </c>
      <c r="G28" s="42" t="s">
        <v>117</v>
      </c>
      <c r="H28" s="41">
        <v>10</v>
      </c>
      <c r="I28" s="41">
        <v>16</v>
      </c>
      <c r="J28" s="43">
        <v>782</v>
      </c>
      <c r="K28" s="43">
        <v>1250</v>
      </c>
      <c r="L28" s="44">
        <v>1</v>
      </c>
      <c r="M28" s="45">
        <f>H28*I28*L28</f>
        <v>160</v>
      </c>
      <c r="N28" s="42">
        <v>7500</v>
      </c>
      <c r="O28" s="42" t="s">
        <v>118</v>
      </c>
      <c r="P28" s="33">
        <v>244.16</v>
      </c>
      <c r="Q28" s="33">
        <v>39065.04</v>
      </c>
      <c r="R28" s="33">
        <f>SUM('Bundle Equipment'!E139:E139)</f>
        <v>546</v>
      </c>
      <c r="S28" s="33">
        <v>1600</v>
      </c>
      <c r="T28" s="46">
        <v>41211.04</v>
      </c>
      <c r="U28" s="34">
        <f>V$2</f>
        <v>0.133499</v>
      </c>
      <c r="V28" s="46">
        <v>96963.84</v>
      </c>
      <c r="W28" s="33">
        <v>12944.57</v>
      </c>
      <c r="X28" s="45">
        <v>675</v>
      </c>
      <c r="Y28" s="45">
        <v>7258</v>
      </c>
      <c r="Z28" s="45">
        <f>Y28*3.412</f>
        <v>24764</v>
      </c>
    </row>
    <row r="30" spans="1:26" x14ac:dyDescent="0.25">
      <c r="A30" s="53" t="s">
        <v>121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4">
        <f>M4+M5+M6+M7+M8+M9+M10+M11+M12+M13+M14+M15+M16+M17+M18+M19+M20+M21+M22+M23+M24+M25+M26+M27+M28</f>
        <v>6742.33</v>
      </c>
      <c r="N30" s="53"/>
      <c r="O30" s="53"/>
      <c r="P30" s="53"/>
      <c r="Q30" s="55">
        <f>Q4+Q5+Q6+Q7+Q8+Q9+Q10+Q11+Q12+Q13+Q14+Q15+Q16+Q17+Q18+Q19+Q20+Q21+Q22+Q23+Q24+Q25+Q26+Q27+Q28</f>
        <v>1646183.720000001</v>
      </c>
      <c r="R30" s="55">
        <f>R4+R5+R6+R7+R8+R9+R10+R11+R12+R13+R14+R15+R16+R17+R18+R19+R20+R21+R22+R23+R24+R25+R26+R27+R28</f>
        <v>139195.39</v>
      </c>
      <c r="S30" s="55">
        <f>S4+S5+S6+S7+S8+S9+S10+S11+S12+S13+S14+S15+S16+S17+S18+S19+S20+S21+S22+S23+S24+S25+S26+S27+S28</f>
        <v>68203.29999999999</v>
      </c>
      <c r="T30" s="55">
        <f>T4+T5+T6+T7+T8+T9+T10+T11+T12+T13+T14+T15+T16+T17+T18+T19+T20+T21+T22+T23+T24+T25+T26+T27+T28</f>
        <v>1853582.4100000006</v>
      </c>
      <c r="U30" s="56">
        <f>IFERROR(1-T30/V30,0)</f>
        <v>0.15</v>
      </c>
      <c r="V30" s="55">
        <f>V4+V5+V6+V7+V8+V9+V10+V11+V12+V13+V14+V15+V16+V17+V18+V19+V20+V21+V22+V23+V24+V25+V26+V27+V28</f>
        <v>2180685.209999999</v>
      </c>
      <c r="W30" s="55">
        <f>W4+W5+W6+W7+W8+W9+W10+W11+W12+W13+W14+W15+W16+W17+W18+W19+W20+W21+W22+W23+W24+W25+W26+W27+W28</f>
        <v>327102.8000000001</v>
      </c>
      <c r="X30" s="54">
        <f>X4+X5+X6+X7+X8+X9+X10+X11+X12+X13+X14+X15+X16+X17+X18+X19+X20+X21+X22+X23+X24+X25+X26+X27+X28</f>
        <v>36675</v>
      </c>
      <c r="Y30" s="54">
        <f>Y4+Y5+Y6+Y7+Y8+Y9+Y10+Y11+Y12+Y13+Y14+Y15+Y16+Y17+Y18+Y19+Y20+Y21+Y22+Y23+Y24+Y25+Y26+Y27+Y28</f>
        <v>693005</v>
      </c>
      <c r="Z30" s="54">
        <f>Z4+Z5+Z6+Z7+Z8+Z9+Z10+Z11+Z12+Z13+Z14+Z15+Z16+Z17+Z18+Z19+Z20+Z21+Z22+Z23+Z24+Z25+Z26+Z27+Z28</f>
        <v>2364533</v>
      </c>
    </row>
  </sheetData>
  <mergeCells count="1">
    <mergeCell ref="A1:W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29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57" t="s">
        <v>124</v>
      </c>
      <c r="B4" s="57" t="s">
        <v>103</v>
      </c>
      <c r="C4" s="57" t="s">
        <v>125</v>
      </c>
      <c r="D4" s="57" t="s">
        <v>126</v>
      </c>
      <c r="E4" s="57" t="s">
        <v>127</v>
      </c>
      <c r="F4" s="57" t="s">
        <v>128</v>
      </c>
      <c r="G4" s="57" t="s">
        <v>129</v>
      </c>
      <c r="H4" s="57" t="s">
        <v>130</v>
      </c>
      <c r="I4" s="57" t="s">
        <v>131</v>
      </c>
      <c r="J4" s="57" t="s">
        <v>106</v>
      </c>
      <c r="K4" s="57" t="s">
        <v>13</v>
      </c>
      <c r="L4" s="57" t="s">
        <v>112</v>
      </c>
      <c r="M4" s="57" t="s">
        <v>113</v>
      </c>
      <c r="N4" s="57" t="s">
        <v>132</v>
      </c>
      <c r="O4" s="57" t="s">
        <v>114</v>
      </c>
    </row>
    <row r="5" spans="1:15" x14ac:dyDescent="0.25">
      <c r="A5" s="32" t="str">
        <f>'LED Cost Sheet'!A4</f>
        <v>Team Room — Team Room</v>
      </c>
      <c r="B5" s="32">
        <f>'LED Cost Sheet'!I4</f>
        <v>1</v>
      </c>
      <c r="C5" s="32" t="str">
        <f>'LED Cost Sheet'!D4</f>
        <v>3.9mm</v>
      </c>
      <c r="D5" s="32">
        <f>'LED Cost Sheet'!E4</f>
        <v>8</v>
      </c>
      <c r="E5" s="32">
        <f>'LED Cost Sheet'!F4</f>
        <v>14</v>
      </c>
      <c r="F5" s="32">
        <f>'LED Cost Sheet'!G4</f>
        <v>625</v>
      </c>
      <c r="G5" s="32">
        <f>'LED Cost Sheet'!H4</f>
        <v>1094</v>
      </c>
      <c r="H5" s="45">
        <f>D5*E5*B5</f>
        <v>112</v>
      </c>
      <c r="I5" s="32">
        <f>'LED Cost Sheet'!K4</f>
        <v>8000</v>
      </c>
      <c r="J5" s="32" t="str">
        <f>'LED Cost Sheet'!L4</f>
        <v>Front</v>
      </c>
      <c r="K5" s="32" t="s">
        <v>133</v>
      </c>
      <c r="L5" s="45">
        <f>'LED Cost Sheet'!U4</f>
        <v>523</v>
      </c>
      <c r="M5" s="45">
        <f>'LED Cost Sheet'!V4</f>
        <v>4177</v>
      </c>
      <c r="N5" s="58">
        <f>IFERROR((F5*G5*B5)/400000,0)</f>
        <v>1.71</v>
      </c>
      <c r="O5" s="45">
        <f>'LED Cost Sheet'!W4</f>
        <v>14252</v>
      </c>
    </row>
    <row r="6" spans="1:15" x14ac:dyDescent="0.25">
      <c r="A6" t="str">
        <f>'LED Cost Sheet'!A5</f>
        <v>Incident Command — Incident Command</v>
      </c>
      <c r="B6">
        <f>'LED Cost Sheet'!I5</f>
        <v>1</v>
      </c>
      <c r="C6" t="str">
        <f>'LED Cost Sheet'!D5</f>
        <v>3.9mm</v>
      </c>
      <c r="D6">
        <f>'LED Cost Sheet'!E5</f>
        <v>5.3333</v>
      </c>
      <c r="E6">
        <f>'LED Cost Sheet'!F5</f>
        <v>22.6667</v>
      </c>
      <c r="F6">
        <f>'LED Cost Sheet'!G5</f>
        <v>417</v>
      </c>
      <c r="G6">
        <f>'LED Cost Sheet'!H5</f>
        <v>1771</v>
      </c>
      <c r="H6" s="51">
        <f>D6*E6*B6</f>
        <v>120.89</v>
      </c>
      <c r="I6">
        <f>'LED Cost Sheet'!K5</f>
        <v>8000</v>
      </c>
      <c r="J6" t="str">
        <f>'LED Cost Sheet'!L5</f>
        <v>Front</v>
      </c>
      <c r="K6" t="s">
        <v>133</v>
      </c>
      <c r="L6" s="51">
        <f>'LED Cost Sheet'!U5</f>
        <v>564</v>
      </c>
      <c r="M6" s="51">
        <f>'LED Cost Sheet'!V5</f>
        <v>4509</v>
      </c>
      <c r="N6" s="59">
        <f>IFERROR((F6*G6*B6)/400000,0)</f>
        <v>1.85</v>
      </c>
      <c r="O6" s="51">
        <f>'LED Cost Sheet'!W5</f>
        <v>15385</v>
      </c>
    </row>
    <row r="7" spans="1:15" x14ac:dyDescent="0.25">
      <c r="A7" s="32" t="str">
        <f>'LED Cost Sheet'!A6</f>
        <v>Def. Unit — Def. Unit</v>
      </c>
      <c r="B7" s="32">
        <f>'LED Cost Sheet'!I6</f>
        <v>1</v>
      </c>
      <c r="C7" s="32" t="str">
        <f>'LED Cost Sheet'!D6</f>
        <v>3.9mm</v>
      </c>
      <c r="D7" s="32">
        <f>'LED Cost Sheet'!E6</f>
        <v>8</v>
      </c>
      <c r="E7" s="32">
        <f>'LED Cost Sheet'!F6</f>
        <v>14</v>
      </c>
      <c r="F7" s="32">
        <f>'LED Cost Sheet'!G6</f>
        <v>625</v>
      </c>
      <c r="G7" s="32">
        <f>'LED Cost Sheet'!H6</f>
        <v>1094</v>
      </c>
      <c r="H7" s="45">
        <f>D7*E7*B7</f>
        <v>112</v>
      </c>
      <c r="I7" s="32">
        <f>'LED Cost Sheet'!K6</f>
        <v>8000</v>
      </c>
      <c r="J7" s="32" t="str">
        <f>'LED Cost Sheet'!L6</f>
        <v>Front</v>
      </c>
      <c r="K7" s="32" t="s">
        <v>133</v>
      </c>
      <c r="L7" s="45">
        <f>'LED Cost Sheet'!U6</f>
        <v>523</v>
      </c>
      <c r="M7" s="45">
        <f>'LED Cost Sheet'!V6</f>
        <v>4177</v>
      </c>
      <c r="N7" s="58">
        <f>IFERROR((F7*G7*B7)/400000,0)</f>
        <v>1.71</v>
      </c>
      <c r="O7" s="45">
        <f>'LED Cost Sheet'!W6</f>
        <v>14252</v>
      </c>
    </row>
    <row r="8" spans="1:15" x14ac:dyDescent="0.25">
      <c r="A8" t="str">
        <f>'LED Cost Sheet'!A7</f>
        <v>North Corridor — North Corridor</v>
      </c>
      <c r="B8">
        <f>'LED Cost Sheet'!I7</f>
        <v>1</v>
      </c>
      <c r="C8" t="str">
        <f>'LED Cost Sheet'!D7</f>
        <v>3.9mm</v>
      </c>
      <c r="D8">
        <f>'LED Cost Sheet'!E7</f>
        <v>11</v>
      </c>
      <c r="E8">
        <f>'LED Cost Sheet'!F7</f>
        <v>100</v>
      </c>
      <c r="F8">
        <f>'LED Cost Sheet'!G7</f>
        <v>860</v>
      </c>
      <c r="G8">
        <f>'LED Cost Sheet'!H7</f>
        <v>7815</v>
      </c>
      <c r="H8" s="51">
        <f>D8*E8*B8</f>
        <v>1100</v>
      </c>
      <c r="I8">
        <f>'LED Cost Sheet'!K7</f>
        <v>8000</v>
      </c>
      <c r="J8" t="str">
        <f>'LED Cost Sheet'!L7</f>
        <v>Front</v>
      </c>
      <c r="K8" t="s">
        <v>133</v>
      </c>
      <c r="L8" s="51">
        <f>'LED Cost Sheet'!U7</f>
        <v>5135</v>
      </c>
      <c r="M8" s="51">
        <f>'LED Cost Sheet'!V7</f>
        <v>41028</v>
      </c>
      <c r="N8" s="59">
        <f>IFERROR((F8*G8*B8)/400000,0)</f>
        <v>16.8</v>
      </c>
      <c r="O8" s="51">
        <f>'LED Cost Sheet'!W7</f>
        <v>139988</v>
      </c>
    </row>
    <row r="9" spans="1:15" x14ac:dyDescent="0.25">
      <c r="A9" s="32" t="str">
        <f>'LED Cost Sheet'!A8</f>
        <v>South Corridor — South Corridor</v>
      </c>
      <c r="B9" s="32">
        <f>'LED Cost Sheet'!I8</f>
        <v>1</v>
      </c>
      <c r="C9" s="32" t="str">
        <f>'LED Cost Sheet'!D8</f>
        <v>3.9mm</v>
      </c>
      <c r="D9" s="32">
        <f>'LED Cost Sheet'!E8</f>
        <v>11</v>
      </c>
      <c r="E9" s="32">
        <f>'LED Cost Sheet'!F8</f>
        <v>85</v>
      </c>
      <c r="F9" s="32">
        <f>'LED Cost Sheet'!G8</f>
        <v>860</v>
      </c>
      <c r="G9" s="32">
        <f>'LED Cost Sheet'!H8</f>
        <v>6643</v>
      </c>
      <c r="H9" s="45">
        <f>D9*E9*B9</f>
        <v>935</v>
      </c>
      <c r="I9" s="32">
        <f>'LED Cost Sheet'!K8</f>
        <v>8000</v>
      </c>
      <c r="J9" s="32" t="str">
        <f>'LED Cost Sheet'!L8</f>
        <v>Front</v>
      </c>
      <c r="K9" s="32" t="s">
        <v>133</v>
      </c>
      <c r="L9" s="45">
        <f>'LED Cost Sheet'!U8</f>
        <v>4364</v>
      </c>
      <c r="M9" s="45">
        <f>'LED Cost Sheet'!V8</f>
        <v>34874</v>
      </c>
      <c r="N9" s="58">
        <f>IFERROR((F9*G9*B9)/400000,0)</f>
        <v>14.28</v>
      </c>
      <c r="O9" s="45">
        <f>'LED Cost Sheet'!W8</f>
        <v>118990</v>
      </c>
    </row>
    <row r="10" spans="1:15" x14ac:dyDescent="0.25">
      <c r="A10" t="str">
        <f>'LED Cost Sheet'!A9</f>
        <v>S.E Corridor — S.E Corridor</v>
      </c>
      <c r="B10">
        <f>'LED Cost Sheet'!I9</f>
        <v>2</v>
      </c>
      <c r="C10" t="str">
        <f>'LED Cost Sheet'!D9</f>
        <v>3.9mm</v>
      </c>
      <c r="D10">
        <f>'LED Cost Sheet'!E9</f>
        <v>10</v>
      </c>
      <c r="E10">
        <f>'LED Cost Sheet'!F9</f>
        <v>34</v>
      </c>
      <c r="F10">
        <f>'LED Cost Sheet'!G9</f>
        <v>782</v>
      </c>
      <c r="G10">
        <f>'LED Cost Sheet'!H9</f>
        <v>2657</v>
      </c>
      <c r="H10" s="51">
        <f>D10*E10*B10</f>
        <v>680</v>
      </c>
      <c r="I10">
        <f>'LED Cost Sheet'!K9</f>
        <v>8000</v>
      </c>
      <c r="J10" t="str">
        <f>'LED Cost Sheet'!L9</f>
        <v>Front</v>
      </c>
      <c r="K10" t="s">
        <v>133</v>
      </c>
      <c r="L10" s="51">
        <f>'LED Cost Sheet'!U9</f>
        <v>3174</v>
      </c>
      <c r="M10" s="51">
        <f>'LED Cost Sheet'!V9</f>
        <v>25363</v>
      </c>
      <c r="N10" s="59">
        <f>IFERROR((F10*G10*B10)/400000,0)</f>
        <v>10.39</v>
      </c>
      <c r="O10" s="51">
        <f>'LED Cost Sheet'!W9</f>
        <v>86539</v>
      </c>
    </row>
    <row r="11" spans="1:15" x14ac:dyDescent="0.25">
      <c r="A11" s="32" t="str">
        <f>'LED Cost Sheet'!A10</f>
        <v>East Corridor — East Corridor</v>
      </c>
      <c r="B11" s="32">
        <f>'LED Cost Sheet'!I10</f>
        <v>1</v>
      </c>
      <c r="C11" s="32" t="str">
        <f>'LED Cost Sheet'!D10</f>
        <v>3.9mm</v>
      </c>
      <c r="D11" s="32">
        <f>'LED Cost Sheet'!E10</f>
        <v>10</v>
      </c>
      <c r="E11" s="32">
        <f>'LED Cost Sheet'!F10</f>
        <v>36</v>
      </c>
      <c r="F11" s="32">
        <f>'LED Cost Sheet'!G10</f>
        <v>782</v>
      </c>
      <c r="G11" s="32">
        <f>'LED Cost Sheet'!H10</f>
        <v>2814</v>
      </c>
      <c r="H11" s="45">
        <f>D11*E11*B11</f>
        <v>360</v>
      </c>
      <c r="I11" s="32">
        <f>'LED Cost Sheet'!K10</f>
        <v>8000</v>
      </c>
      <c r="J11" s="32" t="str">
        <f>'LED Cost Sheet'!L10</f>
        <v>Front</v>
      </c>
      <c r="K11" s="32" t="s">
        <v>133</v>
      </c>
      <c r="L11" s="45">
        <f>'LED Cost Sheet'!U10</f>
        <v>1680</v>
      </c>
      <c r="M11" s="45">
        <f>'LED Cost Sheet'!V10</f>
        <v>13427</v>
      </c>
      <c r="N11" s="58">
        <f>IFERROR((F11*G11*B11)/400000,0)</f>
        <v>5.5</v>
      </c>
      <c r="O11" s="45">
        <f>'LED Cost Sheet'!W10</f>
        <v>45813</v>
      </c>
    </row>
    <row r="12" spans="1:15" x14ac:dyDescent="0.25">
      <c r="A12" t="str">
        <f>'LED Cost Sheet'!A11</f>
        <v>N.E Corridor — N.E Corridor</v>
      </c>
      <c r="B12">
        <f>'LED Cost Sheet'!I11</f>
        <v>2</v>
      </c>
      <c r="C12" t="str">
        <f>'LED Cost Sheet'!D11</f>
        <v>3.9mm</v>
      </c>
      <c r="D12">
        <f>'LED Cost Sheet'!E11</f>
        <v>10</v>
      </c>
      <c r="E12">
        <f>'LED Cost Sheet'!F11</f>
        <v>34</v>
      </c>
      <c r="F12">
        <f>'LED Cost Sheet'!G11</f>
        <v>782</v>
      </c>
      <c r="G12">
        <f>'LED Cost Sheet'!H11</f>
        <v>2657</v>
      </c>
      <c r="H12" s="51">
        <f>D12*E12*B12</f>
        <v>680</v>
      </c>
      <c r="I12">
        <f>'LED Cost Sheet'!K11</f>
        <v>8000</v>
      </c>
      <c r="J12" t="str">
        <f>'LED Cost Sheet'!L11</f>
        <v>Front</v>
      </c>
      <c r="K12" t="s">
        <v>133</v>
      </c>
      <c r="L12" s="51">
        <f>'LED Cost Sheet'!U11</f>
        <v>3174</v>
      </c>
      <c r="M12" s="51">
        <f>'LED Cost Sheet'!V11</f>
        <v>25363</v>
      </c>
      <c r="N12" s="59">
        <f>IFERROR((F12*G12*B12)/400000,0)</f>
        <v>10.39</v>
      </c>
      <c r="O12" s="51">
        <f>'LED Cost Sheet'!W11</f>
        <v>86539</v>
      </c>
    </row>
    <row r="13" spans="1:15" x14ac:dyDescent="0.25">
      <c r="A13" s="32" t="str">
        <f>'LED Cost Sheet'!A12</f>
        <v>Elev Lobby — Elev Lobby</v>
      </c>
      <c r="B13" s="32">
        <f>'LED Cost Sheet'!I12</f>
        <v>4</v>
      </c>
      <c r="C13" s="32" t="str">
        <f>'LED Cost Sheet'!D12</f>
        <v>3.9mm</v>
      </c>
      <c r="D13" s="32">
        <f>'LED Cost Sheet'!E12</f>
        <v>4</v>
      </c>
      <c r="E13" s="32">
        <f>'LED Cost Sheet'!F12</f>
        <v>6</v>
      </c>
      <c r="F13" s="32">
        <f>'LED Cost Sheet'!G12</f>
        <v>313</v>
      </c>
      <c r="G13" s="32">
        <f>'LED Cost Sheet'!H12</f>
        <v>469</v>
      </c>
      <c r="H13" s="45">
        <f>D13*E13*B13</f>
        <v>96</v>
      </c>
      <c r="I13" s="32">
        <f>'LED Cost Sheet'!K12</f>
        <v>8000</v>
      </c>
      <c r="J13" s="32" t="str">
        <f>'LED Cost Sheet'!L12</f>
        <v>Front</v>
      </c>
      <c r="K13" s="32" t="s">
        <v>133</v>
      </c>
      <c r="L13" s="45">
        <f>'LED Cost Sheet'!U12</f>
        <v>448</v>
      </c>
      <c r="M13" s="45">
        <f>'LED Cost Sheet'!V12</f>
        <v>3581</v>
      </c>
      <c r="N13" s="58">
        <f>IFERROR((F13*G13*B13)/400000,0)</f>
        <v>1.47</v>
      </c>
      <c r="O13" s="45">
        <f>'LED Cost Sheet'!W12</f>
        <v>12218</v>
      </c>
    </row>
    <row r="14" spans="1:15" x14ac:dyDescent="0.25">
      <c r="A14" t="str">
        <f>'LED Cost Sheet'!A13</f>
        <v>North Club — North Club</v>
      </c>
      <c r="B14">
        <f>'LED Cost Sheet'!I13</f>
        <v>2</v>
      </c>
      <c r="C14" t="str">
        <f>'LED Cost Sheet'!D13</f>
        <v>3.9mm</v>
      </c>
      <c r="D14">
        <f>'LED Cost Sheet'!E13</f>
        <v>10</v>
      </c>
      <c r="E14">
        <f>'LED Cost Sheet'!F13</f>
        <v>16</v>
      </c>
      <c r="F14">
        <f>'LED Cost Sheet'!G13</f>
        <v>782</v>
      </c>
      <c r="G14">
        <f>'LED Cost Sheet'!H13</f>
        <v>1250</v>
      </c>
      <c r="H14" s="51">
        <f>D14*E14*B14</f>
        <v>320</v>
      </c>
      <c r="I14">
        <f>'LED Cost Sheet'!K13</f>
        <v>8000</v>
      </c>
      <c r="J14" t="str">
        <f>'LED Cost Sheet'!L13</f>
        <v>Front</v>
      </c>
      <c r="K14" t="s">
        <v>133</v>
      </c>
      <c r="L14" s="51">
        <f>'LED Cost Sheet'!U13</f>
        <v>1494</v>
      </c>
      <c r="M14" s="51">
        <f>'LED Cost Sheet'!V13</f>
        <v>11935</v>
      </c>
      <c r="N14" s="59">
        <f>IFERROR((F14*G14*B14)/400000,0)</f>
        <v>4.89</v>
      </c>
      <c r="O14" s="51">
        <f>'LED Cost Sheet'!W13</f>
        <v>40722</v>
      </c>
    </row>
    <row r="15" spans="1:15" x14ac:dyDescent="0.25">
      <c r="A15" s="32" t="str">
        <f>'LED Cost Sheet'!A14</f>
        <v>Panthers Den — Panthers Den</v>
      </c>
      <c r="B15" s="32">
        <f>'LED Cost Sheet'!I14</f>
        <v>3</v>
      </c>
      <c r="C15" s="32" t="str">
        <f>'LED Cost Sheet'!D14</f>
        <v>3.9mm</v>
      </c>
      <c r="D15" s="32">
        <f>'LED Cost Sheet'!E14</f>
        <v>22</v>
      </c>
      <c r="E15" s="32">
        <f>'LED Cost Sheet'!F14</f>
        <v>3</v>
      </c>
      <c r="F15" s="32">
        <f>'LED Cost Sheet'!G14</f>
        <v>1719</v>
      </c>
      <c r="G15" s="32">
        <f>'LED Cost Sheet'!H14</f>
        <v>234</v>
      </c>
      <c r="H15" s="45">
        <f>D15*E15*B15</f>
        <v>198</v>
      </c>
      <c r="I15" s="32">
        <f>'LED Cost Sheet'!K14</f>
        <v>8000</v>
      </c>
      <c r="J15" s="32" t="str">
        <f>'LED Cost Sheet'!L14</f>
        <v>Front</v>
      </c>
      <c r="K15" s="32" t="s">
        <v>133</v>
      </c>
      <c r="L15" s="45">
        <f>'LED Cost Sheet'!U14</f>
        <v>924</v>
      </c>
      <c r="M15" s="45">
        <f>'LED Cost Sheet'!V14</f>
        <v>7385</v>
      </c>
      <c r="N15" s="58">
        <f>IFERROR((F15*G15*B15)/400000,0)</f>
        <v>3.02</v>
      </c>
      <c r="O15" s="45">
        <f>'LED Cost Sheet'!W14</f>
        <v>25198</v>
      </c>
    </row>
    <row r="16" spans="1:15" x14ac:dyDescent="0.25">
      <c r="A16" t="str">
        <f>'LED Cost Sheet'!A15</f>
        <v>Panthers Den — Panthers Den</v>
      </c>
      <c r="B16">
        <f>'LED Cost Sheet'!I15</f>
        <v>1</v>
      </c>
      <c r="C16" t="str">
        <f>'LED Cost Sheet'!D15</f>
        <v>3.9mm</v>
      </c>
      <c r="D16">
        <f>'LED Cost Sheet'!E15</f>
        <v>19</v>
      </c>
      <c r="E16">
        <f>'LED Cost Sheet'!F15</f>
        <v>3.1667</v>
      </c>
      <c r="F16">
        <f>'LED Cost Sheet'!G15</f>
        <v>1485</v>
      </c>
      <c r="G16">
        <f>'LED Cost Sheet'!H15</f>
        <v>247</v>
      </c>
      <c r="H16" s="51">
        <f>D16*E16*B16</f>
        <v>60.17</v>
      </c>
      <c r="I16">
        <f>'LED Cost Sheet'!K15</f>
        <v>8000</v>
      </c>
      <c r="J16" t="str">
        <f>'LED Cost Sheet'!L15</f>
        <v>Front</v>
      </c>
      <c r="K16" t="s">
        <v>133</v>
      </c>
      <c r="L16" s="51">
        <f>'LED Cost Sheet'!U15</f>
        <v>254</v>
      </c>
      <c r="M16" s="51">
        <f>'LED Cost Sheet'!V15</f>
        <v>2730</v>
      </c>
      <c r="N16" s="59">
        <f>IFERROR((F16*G16*B16)/400000,0)</f>
        <v>0.92</v>
      </c>
      <c r="O16" s="51">
        <f>'LED Cost Sheet'!W15</f>
        <v>9315</v>
      </c>
    </row>
    <row r="17" spans="1:15" x14ac:dyDescent="0.25">
      <c r="A17" s="32" t="str">
        <f>'LED Cost Sheet'!A16</f>
        <v>Panthers Den — Panthers Den</v>
      </c>
      <c r="B17" s="32">
        <f>'LED Cost Sheet'!I16</f>
        <v>1</v>
      </c>
      <c r="C17" s="32" t="str">
        <f>'LED Cost Sheet'!D16</f>
        <v>3.9mm</v>
      </c>
      <c r="D17" s="32">
        <f>'LED Cost Sheet'!E16</f>
        <v>22</v>
      </c>
      <c r="E17" s="32">
        <f>'LED Cost Sheet'!F16</f>
        <v>3</v>
      </c>
      <c r="F17" s="32">
        <f>'LED Cost Sheet'!G16</f>
        <v>1719</v>
      </c>
      <c r="G17" s="32">
        <f>'LED Cost Sheet'!H16</f>
        <v>234</v>
      </c>
      <c r="H17" s="45">
        <f>D17*E17*B17</f>
        <v>66</v>
      </c>
      <c r="I17" s="32">
        <f>'LED Cost Sheet'!K16</f>
        <v>8000</v>
      </c>
      <c r="J17" s="32" t="str">
        <f>'LED Cost Sheet'!L16</f>
        <v>Front</v>
      </c>
      <c r="K17" s="32" t="s">
        <v>133</v>
      </c>
      <c r="L17" s="45">
        <f>'LED Cost Sheet'!U16</f>
        <v>278</v>
      </c>
      <c r="M17" s="45">
        <f>'LED Cost Sheet'!V16</f>
        <v>2994</v>
      </c>
      <c r="N17" s="58">
        <f>IFERROR((F17*G17*B17)/400000,0)</f>
        <v>1.01</v>
      </c>
      <c r="O17" s="45">
        <f>'LED Cost Sheet'!W16</f>
        <v>10216</v>
      </c>
    </row>
    <row r="18" spans="1:15" x14ac:dyDescent="0.25">
      <c r="A18" t="str">
        <f>'LED Cost Sheet'!A17</f>
        <v>Panthers Den — Panthers Den</v>
      </c>
      <c r="B18">
        <f>'LED Cost Sheet'!I17</f>
        <v>1</v>
      </c>
      <c r="C18" t="str">
        <f>'LED Cost Sheet'!D17</f>
        <v>3.9mm</v>
      </c>
      <c r="D18">
        <f>'LED Cost Sheet'!E17</f>
        <v>19</v>
      </c>
      <c r="E18">
        <f>'LED Cost Sheet'!F17</f>
        <v>3.1667</v>
      </c>
      <c r="F18">
        <f>'LED Cost Sheet'!G17</f>
        <v>1485</v>
      </c>
      <c r="G18">
        <f>'LED Cost Sheet'!H17</f>
        <v>247</v>
      </c>
      <c r="H18" s="51">
        <f>D18*E18*B18</f>
        <v>60.17</v>
      </c>
      <c r="I18">
        <f>'LED Cost Sheet'!K17</f>
        <v>8000</v>
      </c>
      <c r="J18" t="str">
        <f>'LED Cost Sheet'!L17</f>
        <v>Front</v>
      </c>
      <c r="K18" t="s">
        <v>133</v>
      </c>
      <c r="L18" s="51">
        <f>'LED Cost Sheet'!U17</f>
        <v>254</v>
      </c>
      <c r="M18" s="51">
        <f>'LED Cost Sheet'!V17</f>
        <v>2730</v>
      </c>
      <c r="N18" s="59">
        <f>IFERROR((F18*G18*B18)/400000,0)</f>
        <v>0.92</v>
      </c>
      <c r="O18" s="51">
        <f>'LED Cost Sheet'!W17</f>
        <v>9315</v>
      </c>
    </row>
    <row r="19" spans="1:15" x14ac:dyDescent="0.25">
      <c r="A19" s="32" t="str">
        <f>'LED Cost Sheet'!A18</f>
        <v>South Club — South Club</v>
      </c>
      <c r="B19" s="32">
        <f>'LED Cost Sheet'!I18</f>
        <v>2</v>
      </c>
      <c r="C19" s="32" t="str">
        <f>'LED Cost Sheet'!D18</f>
        <v>3.9mm</v>
      </c>
      <c r="D19" s="32">
        <f>'LED Cost Sheet'!E18</f>
        <v>10</v>
      </c>
      <c r="E19" s="32">
        <f>'LED Cost Sheet'!F18</f>
        <v>16</v>
      </c>
      <c r="F19" s="32">
        <f>'LED Cost Sheet'!G18</f>
        <v>782</v>
      </c>
      <c r="G19" s="32">
        <f>'LED Cost Sheet'!H18</f>
        <v>1250</v>
      </c>
      <c r="H19" s="45">
        <f>D19*E19*B19</f>
        <v>320</v>
      </c>
      <c r="I19" s="32">
        <f>'LED Cost Sheet'!K18</f>
        <v>8000</v>
      </c>
      <c r="J19" s="32" t="str">
        <f>'LED Cost Sheet'!L18</f>
        <v>Front</v>
      </c>
      <c r="K19" s="32" t="s">
        <v>133</v>
      </c>
      <c r="L19" s="45">
        <f>'LED Cost Sheet'!U18</f>
        <v>1494</v>
      </c>
      <c r="M19" s="45">
        <f>'LED Cost Sheet'!V18</f>
        <v>11935</v>
      </c>
      <c r="N19" s="58">
        <f>IFERROR((F19*G19*B19)/400000,0)</f>
        <v>4.89</v>
      </c>
      <c r="O19" s="45">
        <f>'LED Cost Sheet'!W18</f>
        <v>40722</v>
      </c>
    </row>
    <row r="20" spans="1:15" x14ac:dyDescent="0.25">
      <c r="A20" t="str">
        <f>'LED Cost Sheet'!A19</f>
        <v>S.E Corridor — S.E Corridor</v>
      </c>
      <c r="B20">
        <f>'LED Cost Sheet'!I19</f>
        <v>1</v>
      </c>
      <c r="C20" t="str">
        <f>'LED Cost Sheet'!D19</f>
        <v>3.9mm</v>
      </c>
      <c r="D20">
        <f>'LED Cost Sheet'!E19</f>
        <v>10</v>
      </c>
      <c r="E20">
        <f>'LED Cost Sheet'!F19</f>
        <v>34</v>
      </c>
      <c r="F20">
        <f>'LED Cost Sheet'!G19</f>
        <v>782</v>
      </c>
      <c r="G20">
        <f>'LED Cost Sheet'!H19</f>
        <v>2657</v>
      </c>
      <c r="H20" s="51">
        <f>D20*E20*B20</f>
        <v>340</v>
      </c>
      <c r="I20">
        <f>'LED Cost Sheet'!K19</f>
        <v>8000</v>
      </c>
      <c r="J20" t="str">
        <f>'LED Cost Sheet'!L19</f>
        <v>Front</v>
      </c>
      <c r="K20" t="s">
        <v>133</v>
      </c>
      <c r="L20" s="51">
        <f>'LED Cost Sheet'!U19</f>
        <v>1434</v>
      </c>
      <c r="M20" s="51">
        <f>'LED Cost Sheet'!V19</f>
        <v>15424</v>
      </c>
      <c r="N20" s="59">
        <f>IFERROR((F20*G20*B20)/400000,0)</f>
        <v>5.19</v>
      </c>
      <c r="O20" s="51">
        <f>'LED Cost Sheet'!W19</f>
        <v>52627</v>
      </c>
    </row>
    <row r="21" spans="1:15" x14ac:dyDescent="0.25">
      <c r="A21" s="32" t="str">
        <f>'LED Cost Sheet'!A20</f>
        <v>N.E Corridor — N.E Corridor</v>
      </c>
      <c r="B21" s="32">
        <f>'LED Cost Sheet'!I20</f>
        <v>1</v>
      </c>
      <c r="C21" s="32" t="str">
        <f>'LED Cost Sheet'!D20</f>
        <v>3.9mm</v>
      </c>
      <c r="D21" s="32">
        <f>'LED Cost Sheet'!E20</f>
        <v>10</v>
      </c>
      <c r="E21" s="32">
        <f>'LED Cost Sheet'!F20</f>
        <v>34</v>
      </c>
      <c r="F21" s="32">
        <f>'LED Cost Sheet'!G20</f>
        <v>782</v>
      </c>
      <c r="G21" s="32">
        <f>'LED Cost Sheet'!H20</f>
        <v>2657</v>
      </c>
      <c r="H21" s="45">
        <f>D21*E21*B21</f>
        <v>340</v>
      </c>
      <c r="I21" s="32">
        <f>'LED Cost Sheet'!K20</f>
        <v>8000</v>
      </c>
      <c r="J21" s="32" t="str">
        <f>'LED Cost Sheet'!L20</f>
        <v>Front</v>
      </c>
      <c r="K21" s="32" t="s">
        <v>133</v>
      </c>
      <c r="L21" s="45">
        <f>'LED Cost Sheet'!U20</f>
        <v>1434</v>
      </c>
      <c r="M21" s="45">
        <f>'LED Cost Sheet'!V20</f>
        <v>15424</v>
      </c>
      <c r="N21" s="58">
        <f>IFERROR((F21*G21*B21)/400000,0)</f>
        <v>5.19</v>
      </c>
      <c r="O21" s="45">
        <f>'LED Cost Sheet'!W20</f>
        <v>52627</v>
      </c>
    </row>
    <row r="22" spans="1:15" x14ac:dyDescent="0.25">
      <c r="A22" t="str">
        <f>'LED Cost Sheet'!A21</f>
        <v>Panthers Den — Panthers Den</v>
      </c>
      <c r="B22">
        <f>'LED Cost Sheet'!I21</f>
        <v>1</v>
      </c>
      <c r="C22" t="str">
        <f>'LED Cost Sheet'!D21</f>
        <v>3.9mm</v>
      </c>
      <c r="D22">
        <f>'LED Cost Sheet'!E21</f>
        <v>22</v>
      </c>
      <c r="E22">
        <f>'LED Cost Sheet'!F21</f>
        <v>3</v>
      </c>
      <c r="F22">
        <f>'LED Cost Sheet'!G21</f>
        <v>1719</v>
      </c>
      <c r="G22">
        <f>'LED Cost Sheet'!H21</f>
        <v>234</v>
      </c>
      <c r="H22" s="51">
        <f>D22*E22*B22</f>
        <v>66</v>
      </c>
      <c r="I22">
        <f>'LED Cost Sheet'!K21</f>
        <v>8000</v>
      </c>
      <c r="J22" t="str">
        <f>'LED Cost Sheet'!L21</f>
        <v>Front</v>
      </c>
      <c r="K22" t="s">
        <v>133</v>
      </c>
      <c r="L22" s="51">
        <f>'LED Cost Sheet'!U21</f>
        <v>278</v>
      </c>
      <c r="M22" s="51">
        <f>'LED Cost Sheet'!V21</f>
        <v>2994</v>
      </c>
      <c r="N22" s="59">
        <f>IFERROR((F22*G22*B22)/400000,0)</f>
        <v>1.01</v>
      </c>
      <c r="O22" s="51">
        <f>'LED Cost Sheet'!W21</f>
        <v>10216</v>
      </c>
    </row>
    <row r="23" spans="1:15" x14ac:dyDescent="0.25">
      <c r="A23" s="32" t="str">
        <f>'LED Cost Sheet'!A22</f>
        <v>Panthers Den — Panthers Den</v>
      </c>
      <c r="B23" s="32">
        <f>'LED Cost Sheet'!I22</f>
        <v>1</v>
      </c>
      <c r="C23" s="32" t="str">
        <f>'LED Cost Sheet'!D22</f>
        <v>3.9mm</v>
      </c>
      <c r="D23" s="32">
        <f>'LED Cost Sheet'!E22</f>
        <v>8</v>
      </c>
      <c r="E23" s="32">
        <f>'LED Cost Sheet'!F22</f>
        <v>29</v>
      </c>
      <c r="F23" s="32">
        <f>'LED Cost Sheet'!G22</f>
        <v>625</v>
      </c>
      <c r="G23" s="32">
        <f>'LED Cost Sheet'!H22</f>
        <v>2266</v>
      </c>
      <c r="H23" s="45">
        <f>D23*E23*B23</f>
        <v>232</v>
      </c>
      <c r="I23" s="32">
        <f>'LED Cost Sheet'!K22</f>
        <v>8000</v>
      </c>
      <c r="J23" s="32" t="str">
        <f>'LED Cost Sheet'!L22</f>
        <v>Front</v>
      </c>
      <c r="K23" s="32" t="s">
        <v>133</v>
      </c>
      <c r="L23" s="45">
        <f>'LED Cost Sheet'!U22</f>
        <v>979</v>
      </c>
      <c r="M23" s="45">
        <f>'LED Cost Sheet'!V22</f>
        <v>10525</v>
      </c>
      <c r="N23" s="58">
        <f>IFERROR((F23*G23*B23)/400000,0)</f>
        <v>3.54</v>
      </c>
      <c r="O23" s="45">
        <f>'LED Cost Sheet'!W22</f>
        <v>35911</v>
      </c>
    </row>
    <row r="24" spans="1:15" x14ac:dyDescent="0.25">
      <c r="A24" t="str">
        <f>'LED Cost Sheet'!A23</f>
        <v>Panthers Den — Panthers Den</v>
      </c>
      <c r="B24">
        <f>'LED Cost Sheet'!I23</f>
        <v>1</v>
      </c>
      <c r="C24" t="str">
        <f>'LED Cost Sheet'!D23</f>
        <v>3.9mm</v>
      </c>
      <c r="D24">
        <f>'LED Cost Sheet'!E23</f>
        <v>4.0833</v>
      </c>
      <c r="E24">
        <f>'LED Cost Sheet'!F23</f>
        <v>37.25</v>
      </c>
      <c r="F24">
        <f>'LED Cost Sheet'!G23</f>
        <v>319</v>
      </c>
      <c r="G24">
        <f>'LED Cost Sheet'!H23</f>
        <v>2911</v>
      </c>
      <c r="H24" s="51">
        <f>D24*E24*B24</f>
        <v>152.1</v>
      </c>
      <c r="I24">
        <f>'LED Cost Sheet'!K23</f>
        <v>8000</v>
      </c>
      <c r="J24" t="str">
        <f>'LED Cost Sheet'!L23</f>
        <v>Front</v>
      </c>
      <c r="K24" t="s">
        <v>133</v>
      </c>
      <c r="L24" s="51">
        <f>'LED Cost Sheet'!U23</f>
        <v>642</v>
      </c>
      <c r="M24" s="51">
        <f>'LED Cost Sheet'!V23</f>
        <v>6900</v>
      </c>
      <c r="N24" s="59">
        <f>IFERROR((F24*G24*B24)/400000,0)</f>
        <v>2.32</v>
      </c>
      <c r="O24" s="51">
        <f>'LED Cost Sheet'!W23</f>
        <v>23543</v>
      </c>
    </row>
    <row r="25" spans="1:15" x14ac:dyDescent="0.25">
      <c r="A25" s="32" t="str">
        <f>'LED Cost Sheet'!A24</f>
        <v>Elev Lobby — Elev Lobby</v>
      </c>
      <c r="B25" s="32">
        <f>'LED Cost Sheet'!I24</f>
        <v>1</v>
      </c>
      <c r="C25" s="32" t="str">
        <f>'LED Cost Sheet'!D24</f>
        <v>3.9mm</v>
      </c>
      <c r="D25" s="32">
        <f>'LED Cost Sheet'!E24</f>
        <v>4</v>
      </c>
      <c r="E25" s="32">
        <f>'LED Cost Sheet'!F24</f>
        <v>6</v>
      </c>
      <c r="F25" s="32">
        <f>'LED Cost Sheet'!G24</f>
        <v>313</v>
      </c>
      <c r="G25" s="32">
        <f>'LED Cost Sheet'!H24</f>
        <v>469</v>
      </c>
      <c r="H25" s="45">
        <f>D25*E25*B25</f>
        <v>24</v>
      </c>
      <c r="I25" s="32">
        <f>'LED Cost Sheet'!K24</f>
        <v>8000</v>
      </c>
      <c r="J25" s="32" t="str">
        <f>'LED Cost Sheet'!L24</f>
        <v>Front</v>
      </c>
      <c r="K25" s="32" t="s">
        <v>133</v>
      </c>
      <c r="L25" s="45">
        <f>'LED Cost Sheet'!U24</f>
        <v>101</v>
      </c>
      <c r="M25" s="45">
        <f>'LED Cost Sheet'!V24</f>
        <v>1089</v>
      </c>
      <c r="N25" s="58">
        <f>IFERROR((F25*G25*B25)/400000,0)</f>
        <v>0.37</v>
      </c>
      <c r="O25" s="45">
        <f>'LED Cost Sheet'!W24</f>
        <v>3716</v>
      </c>
    </row>
    <row r="26" spans="1:15" x14ac:dyDescent="0.25">
      <c r="A26" t="str">
        <f>'LED Cost Sheet'!A25</f>
        <v>Elev Lobby — Elev Lobby</v>
      </c>
      <c r="B26">
        <f>'LED Cost Sheet'!I25</f>
        <v>1</v>
      </c>
      <c r="C26" t="str">
        <f>'LED Cost Sheet'!D25</f>
        <v>3.9mm</v>
      </c>
      <c r="D26">
        <f>'LED Cost Sheet'!E25</f>
        <v>4</v>
      </c>
      <c r="E26">
        <f>'LED Cost Sheet'!F25</f>
        <v>6</v>
      </c>
      <c r="F26">
        <f>'LED Cost Sheet'!G25</f>
        <v>313</v>
      </c>
      <c r="G26">
        <f>'LED Cost Sheet'!H25</f>
        <v>469</v>
      </c>
      <c r="H26" s="51">
        <f>D26*E26*B26</f>
        <v>24</v>
      </c>
      <c r="I26">
        <f>'LED Cost Sheet'!K25</f>
        <v>8000</v>
      </c>
      <c r="J26" t="str">
        <f>'LED Cost Sheet'!L25</f>
        <v>Front</v>
      </c>
      <c r="K26" t="s">
        <v>133</v>
      </c>
      <c r="L26" s="51">
        <f>'LED Cost Sheet'!U25</f>
        <v>101</v>
      </c>
      <c r="M26" s="51">
        <f>'LED Cost Sheet'!V25</f>
        <v>1089</v>
      </c>
      <c r="N26" s="59">
        <f>IFERROR((F26*G26*B26)/400000,0)</f>
        <v>0.37</v>
      </c>
      <c r="O26" s="51">
        <f>'LED Cost Sheet'!W25</f>
        <v>3716</v>
      </c>
    </row>
    <row r="27" spans="1:15" x14ac:dyDescent="0.25">
      <c r="A27" s="32" t="str">
        <f>'LED Cost Sheet'!A26</f>
        <v>Elev Lobby — Elev Lobby</v>
      </c>
      <c r="B27" s="32">
        <f>'LED Cost Sheet'!I26</f>
        <v>1</v>
      </c>
      <c r="C27" s="32" t="str">
        <f>'LED Cost Sheet'!D26</f>
        <v>3.9mm</v>
      </c>
      <c r="D27" s="32">
        <f>'LED Cost Sheet'!E26</f>
        <v>4</v>
      </c>
      <c r="E27" s="32">
        <f>'LED Cost Sheet'!F26</f>
        <v>6</v>
      </c>
      <c r="F27" s="32">
        <f>'LED Cost Sheet'!G26</f>
        <v>313</v>
      </c>
      <c r="G27" s="32">
        <f>'LED Cost Sheet'!H26</f>
        <v>469</v>
      </c>
      <c r="H27" s="45">
        <f>D27*E27*B27</f>
        <v>24</v>
      </c>
      <c r="I27" s="32">
        <f>'LED Cost Sheet'!K26</f>
        <v>8000</v>
      </c>
      <c r="J27" s="32" t="str">
        <f>'LED Cost Sheet'!L26</f>
        <v>Front</v>
      </c>
      <c r="K27" s="32" t="s">
        <v>133</v>
      </c>
      <c r="L27" s="45">
        <f>'LED Cost Sheet'!U26</f>
        <v>101</v>
      </c>
      <c r="M27" s="45">
        <f>'LED Cost Sheet'!V26</f>
        <v>1089</v>
      </c>
      <c r="N27" s="58">
        <f>IFERROR((F27*G27*B27)/400000,0)</f>
        <v>0.37</v>
      </c>
      <c r="O27" s="45">
        <f>'LED Cost Sheet'!W26</f>
        <v>3716</v>
      </c>
    </row>
    <row r="28" spans="1:15" x14ac:dyDescent="0.25">
      <c r="A28" t="str">
        <f>'LED Cost Sheet'!A27</f>
        <v>North Club — North Club</v>
      </c>
      <c r="B28">
        <f>'LED Cost Sheet'!I27</f>
        <v>1</v>
      </c>
      <c r="C28" t="str">
        <f>'LED Cost Sheet'!D27</f>
        <v>3.9mm</v>
      </c>
      <c r="D28">
        <f>'LED Cost Sheet'!E27</f>
        <v>10</v>
      </c>
      <c r="E28">
        <f>'LED Cost Sheet'!F27</f>
        <v>16</v>
      </c>
      <c r="F28">
        <f>'LED Cost Sheet'!G27</f>
        <v>782</v>
      </c>
      <c r="G28">
        <f>'LED Cost Sheet'!H27</f>
        <v>1250</v>
      </c>
      <c r="H28" s="51">
        <f>D28*E28*B28</f>
        <v>160</v>
      </c>
      <c r="I28">
        <f>'LED Cost Sheet'!K27</f>
        <v>8000</v>
      </c>
      <c r="J28" t="str">
        <f>'LED Cost Sheet'!L27</f>
        <v>Front</v>
      </c>
      <c r="K28" t="s">
        <v>133</v>
      </c>
      <c r="L28" s="51">
        <f>'LED Cost Sheet'!U27</f>
        <v>675</v>
      </c>
      <c r="M28" s="51">
        <f>'LED Cost Sheet'!V27</f>
        <v>7258</v>
      </c>
      <c r="N28" s="59">
        <f>IFERROR((F28*G28*B28)/400000,0)</f>
        <v>2.44</v>
      </c>
      <c r="O28" s="51">
        <f>'LED Cost Sheet'!W27</f>
        <v>24764</v>
      </c>
    </row>
    <row r="29" spans="1:15" x14ac:dyDescent="0.25">
      <c r="A29" s="32" t="str">
        <f>'LED Cost Sheet'!A28</f>
        <v>South Club — South Club</v>
      </c>
      <c r="B29" s="32">
        <f>'LED Cost Sheet'!I28</f>
        <v>1</v>
      </c>
      <c r="C29" s="32" t="str">
        <f>'LED Cost Sheet'!D28</f>
        <v>3.9mm</v>
      </c>
      <c r="D29" s="32">
        <f>'LED Cost Sheet'!E28</f>
        <v>10</v>
      </c>
      <c r="E29" s="32">
        <f>'LED Cost Sheet'!F28</f>
        <v>16</v>
      </c>
      <c r="F29" s="32">
        <f>'LED Cost Sheet'!G28</f>
        <v>782</v>
      </c>
      <c r="G29" s="32">
        <f>'LED Cost Sheet'!H28</f>
        <v>1250</v>
      </c>
      <c r="H29" s="45">
        <f>D29*E29*B29</f>
        <v>160</v>
      </c>
      <c r="I29" s="32">
        <f>'LED Cost Sheet'!K28</f>
        <v>8000</v>
      </c>
      <c r="J29" s="32" t="str">
        <f>'LED Cost Sheet'!L28</f>
        <v>Front</v>
      </c>
      <c r="K29" s="32" t="s">
        <v>133</v>
      </c>
      <c r="L29" s="45">
        <f>'LED Cost Sheet'!U28</f>
        <v>675</v>
      </c>
      <c r="M29" s="45">
        <f>'LED Cost Sheet'!V28</f>
        <v>7258</v>
      </c>
      <c r="N29" s="58">
        <f>IFERROR((F29*G29*B29)/400000,0)</f>
        <v>2.44</v>
      </c>
      <c r="O29" s="45">
        <f>'LED Cost Sheet'!W28</f>
        <v>24764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140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8</v>
      </c>
      <c r="C17" s="47">
        <v>14</v>
      </c>
      <c r="D17" s="62">
        <v>112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1290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1290</v>
      </c>
      <c r="J22" s="34">
        <f>$D$8</f>
        <v>0.15</v>
      </c>
      <c r="K22" s="33">
        <f>I22/(1-J22)</f>
        <v>1517.65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1290</v>
      </c>
      <c r="J26" s="65"/>
      <c r="K26" s="66">
        <f>SUM(K20:K25)</f>
        <v>1517.65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5375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5375</v>
      </c>
      <c r="J31" s="34">
        <f>$D$8</f>
        <v>0.15</v>
      </c>
      <c r="K31" s="33">
        <f>I31/(1-J31)</f>
        <v>6323.53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26257.35</v>
      </c>
      <c r="J35" s="65"/>
      <c r="K35" s="66">
        <f>SUM(K29:K34)</f>
        <v>30891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5375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5375</v>
      </c>
      <c r="J38" s="34">
        <f>$D$9</f>
        <v>0.15</v>
      </c>
      <c r="K38" s="33">
        <f>I38/(1-J38)</f>
        <v>6323.53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5375</v>
      </c>
      <c r="J44" s="65"/>
      <c r="K44" s="66">
        <f>SUM(K38:K43)</f>
        <v>6323.53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66610.96</v>
      </c>
      <c r="J54" s="27"/>
      <c r="K54" s="29">
        <f>K26+K35+K44+K52</f>
        <v>77048.19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177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5.3333</v>
      </c>
      <c r="C17" s="47">
        <v>22.6667</v>
      </c>
      <c r="D17" s="62">
        <v>120.89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1391.25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1391.25</v>
      </c>
      <c r="J22" s="34">
        <f>$D$8</f>
        <v>0.15</v>
      </c>
      <c r="K22" s="33">
        <f>I22/(1-J22)</f>
        <v>1636.76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1391.25</v>
      </c>
      <c r="J26" s="65"/>
      <c r="K26" s="66">
        <f>SUM(K20:K25)</f>
        <v>1636.76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5796.88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5796.88</v>
      </c>
      <c r="J31" s="34">
        <f>$D$8</f>
        <v>0.15</v>
      </c>
      <c r="K31" s="33">
        <f>I31/(1-J31)</f>
        <v>6819.86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26679.23</v>
      </c>
      <c r="J35" s="65"/>
      <c r="K35" s="66">
        <f>SUM(K29:K34)</f>
        <v>31387.33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5796.88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5796.88</v>
      </c>
      <c r="J38" s="34">
        <f>$D$9</f>
        <v>0.15</v>
      </c>
      <c r="K38" s="33">
        <f>I38/(1-J38)</f>
        <v>6819.86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5796.88</v>
      </c>
      <c r="J44" s="65"/>
      <c r="K44" s="66">
        <f>SUM(K38:K43)</f>
        <v>6819.86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69820.75</v>
      </c>
      <c r="J54" s="27"/>
      <c r="K54" s="29">
        <f>K26+K35+K44+K52</f>
        <v>80719.82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178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8</v>
      </c>
      <c r="C17" s="47">
        <v>14</v>
      </c>
      <c r="D17" s="62">
        <v>112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1290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1290</v>
      </c>
      <c r="J22" s="34">
        <f>$D$8</f>
        <v>0.15</v>
      </c>
      <c r="K22" s="33">
        <f>I22/(1-J22)</f>
        <v>1517.65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1290</v>
      </c>
      <c r="J26" s="65"/>
      <c r="K26" s="66">
        <f>SUM(K20:K25)</f>
        <v>1517.65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5375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5375</v>
      </c>
      <c r="J31" s="34">
        <f>$D$8</f>
        <v>0.15</v>
      </c>
      <c r="K31" s="33">
        <f>I31/(1-J31)</f>
        <v>6323.53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26257.35</v>
      </c>
      <c r="J35" s="65"/>
      <c r="K35" s="66">
        <f>SUM(K29:K34)</f>
        <v>30891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5375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5375</v>
      </c>
      <c r="J38" s="34">
        <f>$D$9</f>
        <v>0.15</v>
      </c>
      <c r="K38" s="33">
        <f>I38/(1-J38)</f>
        <v>6323.53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5375</v>
      </c>
      <c r="J44" s="65"/>
      <c r="K44" s="66">
        <f>SUM(K38:K43)</f>
        <v>6323.53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66610.96</v>
      </c>
      <c r="J54" s="27"/>
      <c r="K54" s="29">
        <f>K26+K35+K44+K52</f>
        <v>77048.19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179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11</v>
      </c>
      <c r="C17" s="47">
        <v>100</v>
      </c>
      <c r="D17" s="62">
        <v>1100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12678.75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12678.75</v>
      </c>
      <c r="J22" s="34">
        <f>$D$8</f>
        <v>0.15</v>
      </c>
      <c r="K22" s="33">
        <f>I22/(1-J22)</f>
        <v>14916.18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12678.75</v>
      </c>
      <c r="J26" s="65"/>
      <c r="K26" s="66">
        <f>SUM(K20:K25)</f>
        <v>14916.18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52828.13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52828.13</v>
      </c>
      <c r="J31" s="34">
        <f>$D$8</f>
        <v>0.15</v>
      </c>
      <c r="K31" s="33">
        <f>I31/(1-J31)</f>
        <v>62150.74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73710.48</v>
      </c>
      <c r="J35" s="65"/>
      <c r="K35" s="66">
        <f>SUM(K29:K34)</f>
        <v>86718.21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52828.13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52828.13</v>
      </c>
      <c r="J38" s="34">
        <f>$D$9</f>
        <v>0.15</v>
      </c>
      <c r="K38" s="33">
        <f>I38/(1-J38)</f>
        <v>62150.74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52828.13</v>
      </c>
      <c r="J44" s="65"/>
      <c r="K44" s="66">
        <f>SUM(K38:K43)</f>
        <v>62150.74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444555.39</v>
      </c>
      <c r="J54" s="27"/>
      <c r="K54" s="29">
        <f>K26+K35+K44+K52</f>
        <v>510065.17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180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11</v>
      </c>
      <c r="C17" s="47">
        <v>85</v>
      </c>
      <c r="D17" s="62">
        <v>935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10777.5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10777.5</v>
      </c>
      <c r="J22" s="34">
        <f>$D$8</f>
        <v>0.15</v>
      </c>
      <c r="K22" s="33">
        <f>I22/(1-J22)</f>
        <v>12679.41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10777.5</v>
      </c>
      <c r="J26" s="65"/>
      <c r="K26" s="66">
        <f>SUM(K20:K25)</f>
        <v>12679.41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44906.25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44906.25</v>
      </c>
      <c r="J31" s="34">
        <f>$D$8</f>
        <v>0.15</v>
      </c>
      <c r="K31" s="33">
        <f>I31/(1-J31)</f>
        <v>52830.88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65788.6</v>
      </c>
      <c r="J35" s="65"/>
      <c r="K35" s="66">
        <f>SUM(K29:K34)</f>
        <v>77398.35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44906.25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44906.25</v>
      </c>
      <c r="J38" s="34">
        <f>$D$9</f>
        <v>0.15</v>
      </c>
      <c r="K38" s="33">
        <f>I38/(1-J38)</f>
        <v>52830.88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44906.25</v>
      </c>
      <c r="J44" s="65"/>
      <c r="K44" s="66">
        <f>SUM(K38:K43)</f>
        <v>52830.88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384775.56</v>
      </c>
      <c r="J54" s="27"/>
      <c r="K54" s="29">
        <f>K26+K35+K44+K52</f>
        <v>441677.13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181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10</v>
      </c>
      <c r="C17" s="47">
        <v>34</v>
      </c>
      <c r="D17" s="62">
        <v>680</v>
      </c>
      <c r="E17">
        <v>2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7837.5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7837.5</v>
      </c>
      <c r="J22" s="34">
        <f>$D$8</f>
        <v>0.15</v>
      </c>
      <c r="K22" s="33">
        <f>I22/(1-J22)</f>
        <v>9220.59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7837.5</v>
      </c>
      <c r="J26" s="65"/>
      <c r="K26" s="66">
        <f>SUM(K20:K25)</f>
        <v>9220.59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32656.25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32656.25</v>
      </c>
      <c r="J31" s="34">
        <f>$D$8</f>
        <v>0.15</v>
      </c>
      <c r="K31" s="33">
        <f>I31/(1-J31)</f>
        <v>38419.12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53538.6</v>
      </c>
      <c r="J35" s="65"/>
      <c r="K35" s="66">
        <f>SUM(K29:K34)</f>
        <v>62986.59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32656.25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32656.25</v>
      </c>
      <c r="J38" s="34">
        <f>$D$9</f>
        <v>0.15</v>
      </c>
      <c r="K38" s="33">
        <f>I38/(1-J38)</f>
        <v>38419.12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32656.25</v>
      </c>
      <c r="J44" s="65"/>
      <c r="K44" s="66">
        <f>SUM(K38:K43)</f>
        <v>38419.12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284422.65</v>
      </c>
      <c r="J54" s="27"/>
      <c r="K54" s="29">
        <f>K26+K35+K44+K52</f>
        <v>326614.88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182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10</v>
      </c>
      <c r="C17" s="47">
        <v>36</v>
      </c>
      <c r="D17" s="62">
        <v>360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4151.25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4151.25</v>
      </c>
      <c r="J22" s="34">
        <f>$D$8</f>
        <v>0.15</v>
      </c>
      <c r="K22" s="33">
        <f>I22/(1-J22)</f>
        <v>4883.82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4151.25</v>
      </c>
      <c r="J26" s="65"/>
      <c r="K26" s="66">
        <f>SUM(K20:K25)</f>
        <v>4883.82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17296.88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17296.88</v>
      </c>
      <c r="J31" s="34">
        <f>$D$8</f>
        <v>0.15</v>
      </c>
      <c r="K31" s="33">
        <f>I31/(1-J31)</f>
        <v>20349.27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38179.23</v>
      </c>
      <c r="J35" s="65"/>
      <c r="K35" s="66">
        <f>SUM(K29:K34)</f>
        <v>44916.74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17296.88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17296.88</v>
      </c>
      <c r="J38" s="34">
        <f>$D$9</f>
        <v>0.15</v>
      </c>
      <c r="K38" s="33">
        <f>I38/(1-J38)</f>
        <v>20349.27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17296.88</v>
      </c>
      <c r="J44" s="65"/>
      <c r="K44" s="66">
        <f>SUM(K38:K43)</f>
        <v>20349.27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168495.58</v>
      </c>
      <c r="J54" s="27"/>
      <c r="K54" s="29">
        <f>K26+K35+K44+K52</f>
        <v>193994.8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183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10</v>
      </c>
      <c r="C17" s="47">
        <v>34</v>
      </c>
      <c r="D17" s="62">
        <v>680</v>
      </c>
      <c r="E17">
        <v>2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7837.5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7837.5</v>
      </c>
      <c r="J22" s="34">
        <f>$D$8</f>
        <v>0.15</v>
      </c>
      <c r="K22" s="33">
        <f>I22/(1-J22)</f>
        <v>9220.59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7837.5</v>
      </c>
      <c r="J26" s="65"/>
      <c r="K26" s="66">
        <f>SUM(K20:K25)</f>
        <v>9220.59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32656.25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32656.25</v>
      </c>
      <c r="J31" s="34">
        <f>$D$8</f>
        <v>0.15</v>
      </c>
      <c r="K31" s="33">
        <f>I31/(1-J31)</f>
        <v>38419.12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53538.6</v>
      </c>
      <c r="J35" s="65"/>
      <c r="K35" s="66">
        <f>SUM(K29:K34)</f>
        <v>62986.59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32656.25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32656.25</v>
      </c>
      <c r="J38" s="34">
        <f>$D$9</f>
        <v>0.15</v>
      </c>
      <c r="K38" s="33">
        <f>I38/(1-J38)</f>
        <v>38419.12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32656.25</v>
      </c>
      <c r="J44" s="65"/>
      <c r="K44" s="66">
        <f>SUM(K38:K43)</f>
        <v>38419.12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284422.65</v>
      </c>
      <c r="J54" s="27"/>
      <c r="K54" s="29">
        <f>K26+K35+K44+K52</f>
        <v>326614.88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184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4</v>
      </c>
      <c r="C17" s="47">
        <v>6</v>
      </c>
      <c r="D17" s="62">
        <v>96</v>
      </c>
      <c r="E17">
        <v>4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1110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1110</v>
      </c>
      <c r="J22" s="34">
        <f>$D$8</f>
        <v>0.15</v>
      </c>
      <c r="K22" s="33">
        <f>I22/(1-J22)</f>
        <v>1305.88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1110</v>
      </c>
      <c r="J26" s="65"/>
      <c r="K26" s="66">
        <f>SUM(K20:K25)</f>
        <v>1305.88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4625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4625</v>
      </c>
      <c r="J31" s="34">
        <f>$D$8</f>
        <v>0.15</v>
      </c>
      <c r="K31" s="33">
        <f>I31/(1-J31)</f>
        <v>5441.18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25507.35</v>
      </c>
      <c r="J35" s="65"/>
      <c r="K35" s="66">
        <f>SUM(K29:K34)</f>
        <v>30008.65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4625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4625</v>
      </c>
      <c r="J38" s="34">
        <f>$D$9</f>
        <v>0.15</v>
      </c>
      <c r="K38" s="33">
        <f>I38/(1-J38)</f>
        <v>5441.18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4625</v>
      </c>
      <c r="J44" s="65"/>
      <c r="K44" s="66">
        <f>SUM(K38:K43)</f>
        <v>5441.18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60854.85</v>
      </c>
      <c r="J54" s="27"/>
      <c r="K54" s="29">
        <f>K26+K35+K44+K52</f>
        <v>70464.54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185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10</v>
      </c>
      <c r="C17" s="47">
        <v>16</v>
      </c>
      <c r="D17" s="62">
        <v>320</v>
      </c>
      <c r="E17">
        <v>2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3690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3690</v>
      </c>
      <c r="J22" s="34">
        <f>$D$8</f>
        <v>0.15</v>
      </c>
      <c r="K22" s="33">
        <f>I22/(1-J22)</f>
        <v>4341.18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3690</v>
      </c>
      <c r="J26" s="65"/>
      <c r="K26" s="66">
        <f>SUM(K20:K25)</f>
        <v>4341.18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15375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15375</v>
      </c>
      <c r="J31" s="34">
        <f>$D$8</f>
        <v>0.15</v>
      </c>
      <c r="K31" s="33">
        <f>I31/(1-J31)</f>
        <v>18088.24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36257.35</v>
      </c>
      <c r="J35" s="65"/>
      <c r="K35" s="66">
        <f>SUM(K29:K34)</f>
        <v>42655.71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15375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15375</v>
      </c>
      <c r="J38" s="34">
        <f>$D$9</f>
        <v>0.15</v>
      </c>
      <c r="K38" s="33">
        <f>I38/(1-J38)</f>
        <v>18088.24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15375</v>
      </c>
      <c r="J44" s="65"/>
      <c r="K44" s="66">
        <f>SUM(K38:K43)</f>
        <v>18088.24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154000.31</v>
      </c>
      <c r="J54" s="27"/>
      <c r="K54" s="29">
        <f>K26+K35+K44+K52</f>
        <v>177412.13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186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22</v>
      </c>
      <c r="C17" s="47">
        <v>3</v>
      </c>
      <c r="D17" s="62">
        <v>198</v>
      </c>
      <c r="E17">
        <v>3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2272.5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2272.5</v>
      </c>
      <c r="J22" s="34">
        <f>$D$8</f>
        <v>0.15</v>
      </c>
      <c r="K22" s="33">
        <f>I22/(1-J22)</f>
        <v>2673.53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2272.5</v>
      </c>
      <c r="J26" s="65"/>
      <c r="K26" s="66">
        <f>SUM(K20:K25)</f>
        <v>2673.53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9468.75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9468.75</v>
      </c>
      <c r="J31" s="34">
        <f>$D$8</f>
        <v>0.15</v>
      </c>
      <c r="K31" s="33">
        <f>I31/(1-J31)</f>
        <v>11139.71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30351.1</v>
      </c>
      <c r="J35" s="65"/>
      <c r="K35" s="66">
        <f>SUM(K29:K34)</f>
        <v>35707.18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9468.75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9468.75</v>
      </c>
      <c r="J38" s="34">
        <f>$D$9</f>
        <v>0.15</v>
      </c>
      <c r="K38" s="33">
        <f>I38/(1-J38)</f>
        <v>11139.71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9468.75</v>
      </c>
      <c r="J44" s="65"/>
      <c r="K44" s="66">
        <f>SUM(K38:K43)</f>
        <v>11139.71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97690.02</v>
      </c>
      <c r="J54" s="27"/>
      <c r="K54" s="29">
        <f>K26+K35+K44+K52</f>
        <v>112600.03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186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19</v>
      </c>
      <c r="C17" s="47">
        <v>3.1667</v>
      </c>
      <c r="D17" s="62">
        <v>60.17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690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690</v>
      </c>
      <c r="J22" s="34">
        <f>$D$8</f>
        <v>0.15</v>
      </c>
      <c r="K22" s="33">
        <f>I22/(1-J22)</f>
        <v>811.76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690</v>
      </c>
      <c r="J26" s="65"/>
      <c r="K26" s="66">
        <f>SUM(K20:K25)</f>
        <v>811.76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2875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2875</v>
      </c>
      <c r="J31" s="34">
        <f>$D$8</f>
        <v>0.15</v>
      </c>
      <c r="K31" s="33">
        <f>I31/(1-J31)</f>
        <v>3382.35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23757.35</v>
      </c>
      <c r="J35" s="65"/>
      <c r="K35" s="66">
        <f>SUM(K29:K34)</f>
        <v>27949.82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2875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2875</v>
      </c>
      <c r="J38" s="34">
        <f>$D$9</f>
        <v>0.15</v>
      </c>
      <c r="K38" s="33">
        <f>I38/(1-J38)</f>
        <v>3382.35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2875</v>
      </c>
      <c r="J44" s="65"/>
      <c r="K44" s="66">
        <f>SUM(K38:K43)</f>
        <v>3382.35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47806.93</v>
      </c>
      <c r="J54" s="27"/>
      <c r="K54" s="29">
        <f>K26+K35+K44+K52</f>
        <v>55535.56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186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22</v>
      </c>
      <c r="C17" s="47">
        <v>3</v>
      </c>
      <c r="D17" s="62">
        <v>66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757.5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757.5</v>
      </c>
      <c r="J22" s="34">
        <f>$D$8</f>
        <v>0.15</v>
      </c>
      <c r="K22" s="33">
        <f>I22/(1-J22)</f>
        <v>891.18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757.5</v>
      </c>
      <c r="J26" s="65"/>
      <c r="K26" s="66">
        <f>SUM(K20:K25)</f>
        <v>891.18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3156.25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3156.25</v>
      </c>
      <c r="J31" s="34">
        <f>$D$8</f>
        <v>0.15</v>
      </c>
      <c r="K31" s="33">
        <f>I31/(1-J31)</f>
        <v>3713.24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24038.6</v>
      </c>
      <c r="J35" s="65"/>
      <c r="K35" s="66">
        <f>SUM(K29:K34)</f>
        <v>28280.71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3156.25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3156.25</v>
      </c>
      <c r="J38" s="34">
        <f>$D$9</f>
        <v>0.15</v>
      </c>
      <c r="K38" s="33">
        <f>I38/(1-J38)</f>
        <v>3713.24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3156.25</v>
      </c>
      <c r="J44" s="65"/>
      <c r="K44" s="66">
        <f>SUM(K38:K43)</f>
        <v>3713.24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49922.16</v>
      </c>
      <c r="J54" s="27"/>
      <c r="K54" s="29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186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19</v>
      </c>
      <c r="C17" s="47">
        <v>3.1667</v>
      </c>
      <c r="D17" s="62">
        <v>60.17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690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690</v>
      </c>
      <c r="J22" s="34">
        <f>$D$8</f>
        <v>0.15</v>
      </c>
      <c r="K22" s="33">
        <f>I22/(1-J22)</f>
        <v>811.76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690</v>
      </c>
      <c r="J26" s="65"/>
      <c r="K26" s="66">
        <f>SUM(K20:K25)</f>
        <v>811.76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2875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2875</v>
      </c>
      <c r="J31" s="34">
        <f>$D$8</f>
        <v>0.15</v>
      </c>
      <c r="K31" s="33">
        <f>I31/(1-J31)</f>
        <v>3382.35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23757.35</v>
      </c>
      <c r="J35" s="65"/>
      <c r="K35" s="66">
        <f>SUM(K29:K34)</f>
        <v>27949.82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2875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2875</v>
      </c>
      <c r="J38" s="34">
        <f>$D$9</f>
        <v>0.15</v>
      </c>
      <c r="K38" s="33">
        <f>I38/(1-J38)</f>
        <v>3382.35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2875</v>
      </c>
      <c r="J44" s="65"/>
      <c r="K44" s="66">
        <f>SUM(K38:K43)</f>
        <v>3382.35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47806.93</v>
      </c>
      <c r="J54" s="27"/>
      <c r="K54" s="29">
        <f>K26+K35+K44+K52</f>
        <v>55535.56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187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10</v>
      </c>
      <c r="C17" s="47">
        <v>16</v>
      </c>
      <c r="D17" s="62">
        <v>320</v>
      </c>
      <c r="E17">
        <v>2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3690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3690</v>
      </c>
      <c r="J22" s="34">
        <f>$D$8</f>
        <v>0.15</v>
      </c>
      <c r="K22" s="33">
        <f>I22/(1-J22)</f>
        <v>4341.18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3690</v>
      </c>
      <c r="J26" s="65"/>
      <c r="K26" s="66">
        <f>SUM(K20:K25)</f>
        <v>4341.18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15375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15375</v>
      </c>
      <c r="J31" s="34">
        <f>$D$8</f>
        <v>0.15</v>
      </c>
      <c r="K31" s="33">
        <f>I31/(1-J31)</f>
        <v>18088.24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36257.35</v>
      </c>
      <c r="J35" s="65"/>
      <c r="K35" s="66">
        <f>SUM(K29:K34)</f>
        <v>42655.71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15375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15375</v>
      </c>
      <c r="J38" s="34">
        <f>$D$9</f>
        <v>0.15</v>
      </c>
      <c r="K38" s="33">
        <f>I38/(1-J38)</f>
        <v>18088.24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15375</v>
      </c>
      <c r="J44" s="65"/>
      <c r="K44" s="66">
        <f>SUM(K38:K43)</f>
        <v>18088.24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154000.31</v>
      </c>
      <c r="J54" s="27"/>
      <c r="K54" s="29">
        <f>K26+K35+K44+K52</f>
        <v>177412.13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181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10</v>
      </c>
      <c r="C17" s="47">
        <v>34</v>
      </c>
      <c r="D17" s="62">
        <v>340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3918.75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3918.75</v>
      </c>
      <c r="J22" s="34">
        <f>$D$8</f>
        <v>0.15</v>
      </c>
      <c r="K22" s="33">
        <f>I22/(1-J22)</f>
        <v>4610.29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3918.75</v>
      </c>
      <c r="J26" s="65"/>
      <c r="K26" s="66">
        <f>SUM(K20:K25)</f>
        <v>4610.29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16328.13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16328.13</v>
      </c>
      <c r="J31" s="34">
        <f>$D$8</f>
        <v>0.15</v>
      </c>
      <c r="K31" s="33">
        <f>I31/(1-J31)</f>
        <v>19209.56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37210.479999999996</v>
      </c>
      <c r="J35" s="65"/>
      <c r="K35" s="66">
        <f>SUM(K29:K34)</f>
        <v>43777.04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16328.13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16328.13</v>
      </c>
      <c r="J38" s="34">
        <f>$D$9</f>
        <v>0.15</v>
      </c>
      <c r="K38" s="33">
        <f>I38/(1-J38)</f>
        <v>19209.56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16328.13</v>
      </c>
      <c r="J44" s="65"/>
      <c r="K44" s="66">
        <f>SUM(K38:K43)</f>
        <v>19209.56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161230.45</v>
      </c>
      <c r="J54" s="27"/>
      <c r="K54" s="29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183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10</v>
      </c>
      <c r="C17" s="47">
        <v>34</v>
      </c>
      <c r="D17" s="62">
        <v>340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3918.75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3918.75</v>
      </c>
      <c r="J22" s="34">
        <f>$D$8</f>
        <v>0.15</v>
      </c>
      <c r="K22" s="33">
        <f>I22/(1-J22)</f>
        <v>4610.29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3918.75</v>
      </c>
      <c r="J26" s="65"/>
      <c r="K26" s="66">
        <f>SUM(K20:K25)</f>
        <v>4610.29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16328.13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16328.13</v>
      </c>
      <c r="J31" s="34">
        <f>$D$8</f>
        <v>0.15</v>
      </c>
      <c r="K31" s="33">
        <f>I31/(1-J31)</f>
        <v>19209.56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37210.479999999996</v>
      </c>
      <c r="J35" s="65"/>
      <c r="K35" s="66">
        <f>SUM(K29:K34)</f>
        <v>43777.04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16328.13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16328.13</v>
      </c>
      <c r="J38" s="34">
        <f>$D$9</f>
        <v>0.15</v>
      </c>
      <c r="K38" s="33">
        <f>I38/(1-J38)</f>
        <v>19209.56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16328.13</v>
      </c>
      <c r="J44" s="65"/>
      <c r="K44" s="66">
        <f>SUM(K38:K43)</f>
        <v>19209.56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161230.45</v>
      </c>
      <c r="J54" s="27"/>
      <c r="K54" s="29">
        <f>K26+K35+K44+K52</f>
        <v>185682.88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186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22</v>
      </c>
      <c r="C17" s="47">
        <v>3</v>
      </c>
      <c r="D17" s="62">
        <v>66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757.5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757.5</v>
      </c>
      <c r="J22" s="34">
        <f>$D$8</f>
        <v>0.15</v>
      </c>
      <c r="K22" s="33">
        <f>I22/(1-J22)</f>
        <v>891.18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757.5</v>
      </c>
      <c r="J26" s="65"/>
      <c r="K26" s="66">
        <f>SUM(K20:K25)</f>
        <v>891.18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3156.25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3156.25</v>
      </c>
      <c r="J31" s="34">
        <f>$D$8</f>
        <v>0.15</v>
      </c>
      <c r="K31" s="33">
        <f>I31/(1-J31)</f>
        <v>3713.24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24038.6</v>
      </c>
      <c r="J35" s="65"/>
      <c r="K35" s="66">
        <f>SUM(K29:K34)</f>
        <v>28280.71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3156.25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3156.25</v>
      </c>
      <c r="J38" s="34">
        <f>$D$9</f>
        <v>0.15</v>
      </c>
      <c r="K38" s="33">
        <f>I38/(1-J38)</f>
        <v>3713.24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3156.25</v>
      </c>
      <c r="J44" s="65"/>
      <c r="K44" s="66">
        <f>SUM(K38:K43)</f>
        <v>3713.24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49922.16</v>
      </c>
      <c r="J54" s="27"/>
      <c r="K54" s="29">
        <f>K26+K35+K44+K52</f>
        <v>57955.49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186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8</v>
      </c>
      <c r="C17" s="47">
        <v>29</v>
      </c>
      <c r="D17" s="62">
        <v>232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2670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2670</v>
      </c>
      <c r="J22" s="34">
        <f>$D$8</f>
        <v>0.15</v>
      </c>
      <c r="K22" s="33">
        <f>I22/(1-J22)</f>
        <v>3141.18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2670</v>
      </c>
      <c r="J26" s="65"/>
      <c r="K26" s="66">
        <f>SUM(K20:K25)</f>
        <v>3141.18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11125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11125</v>
      </c>
      <c r="J31" s="34">
        <f>$D$8</f>
        <v>0.15</v>
      </c>
      <c r="K31" s="33">
        <f>I31/(1-J31)</f>
        <v>13088.24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32007.35</v>
      </c>
      <c r="J35" s="65"/>
      <c r="K35" s="66">
        <f>SUM(K29:K34)</f>
        <v>37655.71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11125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11125</v>
      </c>
      <c r="J38" s="34">
        <f>$D$9</f>
        <v>0.15</v>
      </c>
      <c r="K38" s="33">
        <f>I38/(1-J38)</f>
        <v>13088.24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11125</v>
      </c>
      <c r="J44" s="65"/>
      <c r="K44" s="66">
        <f>SUM(K38:K43)</f>
        <v>13088.24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110061.74</v>
      </c>
      <c r="J54" s="27"/>
      <c r="K54" s="29">
        <f>K26+K35+K44+K52</f>
        <v>126754.99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186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4.0833</v>
      </c>
      <c r="C17" s="47">
        <v>37.25</v>
      </c>
      <c r="D17" s="62">
        <v>152.1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1751.25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1751.25</v>
      </c>
      <c r="J22" s="34">
        <f>$D$8</f>
        <v>0.15</v>
      </c>
      <c r="K22" s="33">
        <f>I22/(1-J22)</f>
        <v>2060.29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1751.25</v>
      </c>
      <c r="J26" s="65"/>
      <c r="K26" s="66">
        <f>SUM(K20:K25)</f>
        <v>2060.29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7296.88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7296.88</v>
      </c>
      <c r="J31" s="34">
        <f>$D$8</f>
        <v>0.15</v>
      </c>
      <c r="K31" s="33">
        <f>I31/(1-J31)</f>
        <v>8584.56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28179.23</v>
      </c>
      <c r="J35" s="65"/>
      <c r="K35" s="66">
        <f>SUM(K29:K34)</f>
        <v>33152.04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7296.88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7296.88</v>
      </c>
      <c r="J38" s="34">
        <f>$D$9</f>
        <v>0.15</v>
      </c>
      <c r="K38" s="33">
        <f>I38/(1-J38)</f>
        <v>8584.56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7296.88</v>
      </c>
      <c r="J44" s="65"/>
      <c r="K44" s="66">
        <f>SUM(K38:K43)</f>
        <v>8584.56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81131.7</v>
      </c>
      <c r="J54" s="27"/>
      <c r="K54" s="29">
        <f>K26+K35+K44+K52</f>
        <v>93659.65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184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4</v>
      </c>
      <c r="C17" s="47">
        <v>6</v>
      </c>
      <c r="D17" s="62">
        <v>24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277.5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277.5</v>
      </c>
      <c r="J22" s="34">
        <f>$D$8</f>
        <v>0.15</v>
      </c>
      <c r="K22" s="33">
        <f>I22/(1-J22)</f>
        <v>326.47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277.5</v>
      </c>
      <c r="J26" s="65"/>
      <c r="K26" s="66">
        <f>SUM(K20:K25)</f>
        <v>326.47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1156.25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1156.25</v>
      </c>
      <c r="J31" s="34">
        <f>$D$8</f>
        <v>0.15</v>
      </c>
      <c r="K31" s="33">
        <f>I31/(1-J31)</f>
        <v>1360.29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22038.6</v>
      </c>
      <c r="J35" s="65"/>
      <c r="K35" s="66">
        <f>SUM(K29:K34)</f>
        <v>25927.76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1156.25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1156.25</v>
      </c>
      <c r="J38" s="34">
        <f>$D$9</f>
        <v>0.15</v>
      </c>
      <c r="K38" s="33">
        <f>I38/(1-J38)</f>
        <v>1360.29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1156.25</v>
      </c>
      <c r="J44" s="65"/>
      <c r="K44" s="66">
        <f>SUM(K38:K43)</f>
        <v>1360.29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35002.39</v>
      </c>
      <c r="J54" s="27"/>
      <c r="K54" s="29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184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4</v>
      </c>
      <c r="C17" s="47">
        <v>6</v>
      </c>
      <c r="D17" s="62">
        <v>24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277.5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277.5</v>
      </c>
      <c r="J22" s="34">
        <f>$D$8</f>
        <v>0.15</v>
      </c>
      <c r="K22" s="33">
        <f>I22/(1-J22)</f>
        <v>326.47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277.5</v>
      </c>
      <c r="J26" s="65"/>
      <c r="K26" s="66">
        <f>SUM(K20:K25)</f>
        <v>326.47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1156.25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1156.25</v>
      </c>
      <c r="J31" s="34">
        <f>$D$8</f>
        <v>0.15</v>
      </c>
      <c r="K31" s="33">
        <f>I31/(1-J31)</f>
        <v>1360.29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22038.6</v>
      </c>
      <c r="J35" s="65"/>
      <c r="K35" s="66">
        <f>SUM(K29:K34)</f>
        <v>25927.76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1156.25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1156.25</v>
      </c>
      <c r="J38" s="34">
        <f>$D$9</f>
        <v>0.15</v>
      </c>
      <c r="K38" s="33">
        <f>I38/(1-J38)</f>
        <v>1360.29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1156.25</v>
      </c>
      <c r="J44" s="65"/>
      <c r="K44" s="66">
        <f>SUM(K38:K43)</f>
        <v>1360.29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35002.39</v>
      </c>
      <c r="J54" s="27"/>
      <c r="K54" s="29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184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4</v>
      </c>
      <c r="C17" s="47">
        <v>6</v>
      </c>
      <c r="D17" s="62">
        <v>24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277.5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277.5</v>
      </c>
      <c r="J22" s="34">
        <f>$D$8</f>
        <v>0.15</v>
      </c>
      <c r="K22" s="33">
        <f>I22/(1-J22)</f>
        <v>326.47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277.5</v>
      </c>
      <c r="J26" s="65"/>
      <c r="K26" s="66">
        <f>SUM(K20:K25)</f>
        <v>326.47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1156.25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1156.25</v>
      </c>
      <c r="J31" s="34">
        <f>$D$8</f>
        <v>0.15</v>
      </c>
      <c r="K31" s="33">
        <f>I31/(1-J31)</f>
        <v>1360.29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22038.6</v>
      </c>
      <c r="J35" s="65"/>
      <c r="K35" s="66">
        <f>SUM(K29:K34)</f>
        <v>25927.76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1156.25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1156.25</v>
      </c>
      <c r="J38" s="34">
        <f>$D$9</f>
        <v>0.15</v>
      </c>
      <c r="K38" s="33">
        <f>I38/(1-J38)</f>
        <v>1360.29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1156.25</v>
      </c>
      <c r="J44" s="65"/>
      <c r="K44" s="66">
        <f>SUM(K38:K43)</f>
        <v>1360.29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35002.39</v>
      </c>
      <c r="J54" s="27"/>
      <c r="K54" s="29">
        <f>K26+K35+K44+K52</f>
        <v>40591.05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185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10</v>
      </c>
      <c r="C17" s="47">
        <v>16</v>
      </c>
      <c r="D17" s="62">
        <v>160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1845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1845</v>
      </c>
      <c r="J22" s="34">
        <f>$D$8</f>
        <v>0.15</v>
      </c>
      <c r="K22" s="33">
        <f>I22/(1-J22)</f>
        <v>2170.59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1845</v>
      </c>
      <c r="J26" s="65"/>
      <c r="K26" s="66">
        <f>SUM(K20:K25)</f>
        <v>2170.59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7687.5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7687.5</v>
      </c>
      <c r="J31" s="34">
        <f>$D$8</f>
        <v>0.15</v>
      </c>
      <c r="K31" s="33">
        <f>I31/(1-J31)</f>
        <v>9044.12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28569.85</v>
      </c>
      <c r="J35" s="65"/>
      <c r="K35" s="66">
        <f>SUM(K29:K34)</f>
        <v>33611.59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7687.5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7687.5</v>
      </c>
      <c r="J38" s="34">
        <f>$D$9</f>
        <v>0.15</v>
      </c>
      <c r="K38" s="33">
        <f>I38/(1-J38)</f>
        <v>9044.12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7687.5</v>
      </c>
      <c r="J44" s="65"/>
      <c r="K44" s="66">
        <f>SUM(K38:K43)</f>
        <v>9044.12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84019.27</v>
      </c>
      <c r="J54" s="27"/>
      <c r="K54" s="29">
        <f>K26+K35+K44+K52</f>
        <v>96963.84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134</v>
      </c>
    </row>
    <row r="4" spans="1:1" x14ac:dyDescent="0.25">
      <c r="A4" s="14" t="s">
        <v>10</v>
      </c>
    </row>
    <row r="5" spans="1:1" x14ac:dyDescent="0.25">
      <c r="A5" s="14" t="s">
        <v>135</v>
      </c>
    </row>
    <row r="7" spans="3:3" x14ac:dyDescent="0.25">
      <c r="C7" s="25" t="s">
        <v>136</v>
      </c>
    </row>
    <row r="8" spans="3:4" x14ac:dyDescent="0.25">
      <c r="C8" t="s">
        <v>137</v>
      </c>
      <c r="D8" s="20">
        <v>0.15</v>
      </c>
    </row>
    <row r="9" spans="3:4" x14ac:dyDescent="0.25">
      <c r="C9" t="s">
        <v>138</v>
      </c>
      <c r="D9" s="20">
        <v>0.15</v>
      </c>
    </row>
    <row r="10" spans="3:4" x14ac:dyDescent="0.25">
      <c r="C10" t="s">
        <v>111</v>
      </c>
      <c r="D10" s="20">
        <v>0.15</v>
      </c>
    </row>
    <row r="11" spans="3:4" x14ac:dyDescent="0.25">
      <c r="C11" t="s">
        <v>139</v>
      </c>
      <c r="D11" s="20">
        <v>0.15</v>
      </c>
    </row>
    <row r="15" spans="2:2" x14ac:dyDescent="0.25">
      <c r="B15" s="61" t="s">
        <v>187</v>
      </c>
    </row>
    <row r="16" spans="2:5" x14ac:dyDescent="0.25">
      <c r="B16" s="4" t="s">
        <v>141</v>
      </c>
      <c r="C16" s="4" t="s">
        <v>142</v>
      </c>
      <c r="D16" s="4" t="s">
        <v>143</v>
      </c>
      <c r="E16" s="4" t="s">
        <v>144</v>
      </c>
    </row>
    <row r="17" spans="2:5" x14ac:dyDescent="0.25">
      <c r="B17" s="47">
        <v>10</v>
      </c>
      <c r="C17" s="47">
        <v>16</v>
      </c>
      <c r="D17" s="62">
        <v>160</v>
      </c>
      <c r="E17">
        <v>1</v>
      </c>
    </row>
    <row r="19" ht="24" customHeight="1" spans="1:11" x14ac:dyDescent="0.25">
      <c r="A19" s="24" t="s">
        <v>38</v>
      </c>
      <c r="B19" s="24" t="s">
        <v>145</v>
      </c>
      <c r="C19" s="24" t="s">
        <v>146</v>
      </c>
      <c r="D19" s="24" t="s">
        <v>147</v>
      </c>
      <c r="E19" s="24" t="s">
        <v>148</v>
      </c>
      <c r="F19" s="24" t="s">
        <v>149</v>
      </c>
      <c r="G19" s="24" t="s">
        <v>150</v>
      </c>
      <c r="H19" s="24" t="s">
        <v>38</v>
      </c>
      <c r="I19" s="24" t="s">
        <v>32</v>
      </c>
      <c r="J19" s="24" t="s">
        <v>137</v>
      </c>
      <c r="K19" s="24" t="s">
        <v>41</v>
      </c>
    </row>
    <row r="20" spans="1:11" x14ac:dyDescent="0.25">
      <c r="A20" s="32"/>
      <c r="B20" s="32" t="s">
        <v>151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152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153</v>
      </c>
      <c r="C22" s="63">
        <v>1845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1845</v>
      </c>
      <c r="J22" s="34">
        <f>$D$8</f>
        <v>0.15</v>
      </c>
      <c r="K22" s="33">
        <f>I22/(1-J22)</f>
        <v>2170.59</v>
      </c>
    </row>
    <row r="23" spans="2:11" x14ac:dyDescent="0.25">
      <c r="B23" t="s">
        <v>154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155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155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86</v>
      </c>
      <c r="C26" s="65"/>
      <c r="D26" s="65"/>
      <c r="E26" s="65"/>
      <c r="F26" s="65"/>
      <c r="G26" s="65"/>
      <c r="H26" s="65"/>
      <c r="I26" s="66">
        <f>SUM(I20:I25)</f>
        <v>1845</v>
      </c>
      <c r="J26" s="65"/>
      <c r="K26" s="66">
        <f>SUM(K20:K25)</f>
        <v>2170.59</v>
      </c>
    </row>
    <row r="28" ht="24" customHeight="1" spans="1:11" x14ac:dyDescent="0.25">
      <c r="A28" s="24" t="s">
        <v>38</v>
      </c>
      <c r="B28" s="24" t="s">
        <v>156</v>
      </c>
      <c r="C28" s="24" t="s">
        <v>146</v>
      </c>
      <c r="D28" s="24" t="s">
        <v>147</v>
      </c>
      <c r="E28" s="24" t="s">
        <v>148</v>
      </c>
      <c r="F28" s="24" t="s">
        <v>149</v>
      </c>
      <c r="G28" s="24" t="s">
        <v>150</v>
      </c>
      <c r="H28" s="24" t="s">
        <v>38</v>
      </c>
      <c r="I28" s="24" t="s">
        <v>32</v>
      </c>
      <c r="J28" s="24" t="s">
        <v>137</v>
      </c>
      <c r="K28" s="24" t="s">
        <v>41</v>
      </c>
    </row>
    <row r="29" spans="1:11" x14ac:dyDescent="0.25">
      <c r="A29" s="32"/>
      <c r="B29" s="32" t="s">
        <v>157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158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159</v>
      </c>
      <c r="C31" s="63">
        <v>7687.5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7687.5</v>
      </c>
      <c r="J31" s="34">
        <f>$D$8</f>
        <v>0.15</v>
      </c>
      <c r="K31" s="33">
        <f>I31/(1-J31)</f>
        <v>9044.12</v>
      </c>
    </row>
    <row r="32" spans="2:11" x14ac:dyDescent="0.25">
      <c r="B32" t="s">
        <v>160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161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162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86</v>
      </c>
      <c r="C35" s="65"/>
      <c r="D35" s="65"/>
      <c r="E35" s="65"/>
      <c r="F35" s="65"/>
      <c r="G35" s="65"/>
      <c r="H35" s="65"/>
      <c r="I35" s="66">
        <f>SUM(I29:I34)</f>
        <v>28569.85</v>
      </c>
      <c r="J35" s="65"/>
      <c r="K35" s="66">
        <f>SUM(K29:K34)</f>
        <v>33611.59</v>
      </c>
    </row>
    <row r="37" ht="24" customHeight="1" spans="1:11" x14ac:dyDescent="0.25">
      <c r="A37" s="24" t="s">
        <v>38</v>
      </c>
      <c r="B37" s="24" t="s">
        <v>163</v>
      </c>
      <c r="C37" s="24" t="s">
        <v>146</v>
      </c>
      <c r="D37" s="24" t="s">
        <v>147</v>
      </c>
      <c r="E37" s="24" t="s">
        <v>148</v>
      </c>
      <c r="F37" s="24" t="s">
        <v>149</v>
      </c>
      <c r="G37" s="24" t="s">
        <v>150</v>
      </c>
      <c r="H37" s="24" t="s">
        <v>38</v>
      </c>
      <c r="I37" s="24" t="s">
        <v>32</v>
      </c>
      <c r="J37" s="24" t="s">
        <v>137</v>
      </c>
      <c r="K37" s="24" t="s">
        <v>41</v>
      </c>
    </row>
    <row r="38" spans="1:11" x14ac:dyDescent="0.25">
      <c r="A38" s="32"/>
      <c r="B38" s="32" t="s">
        <v>164</v>
      </c>
      <c r="C38" s="63">
        <v>7687.5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7687.5</v>
      </c>
      <c r="J38" s="34">
        <f>$D$9</f>
        <v>0.15</v>
      </c>
      <c r="K38" s="33">
        <f>I38/(1-J38)</f>
        <v>9044.12</v>
      </c>
    </row>
    <row r="39" spans="2:11" x14ac:dyDescent="0.25">
      <c r="B39" t="s">
        <v>165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166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167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168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169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86</v>
      </c>
      <c r="C44" s="65"/>
      <c r="D44" s="65"/>
      <c r="E44" s="65"/>
      <c r="F44" s="65"/>
      <c r="G44" s="65"/>
      <c r="H44" s="65"/>
      <c r="I44" s="66">
        <f>SUM(I38:I43)</f>
        <v>7687.5</v>
      </c>
      <c r="J44" s="65"/>
      <c r="K44" s="66">
        <f>SUM(K38:K43)</f>
        <v>9044.12</v>
      </c>
    </row>
    <row r="46" ht="24" customHeight="1" spans="1:11" x14ac:dyDescent="0.25">
      <c r="A46" s="24" t="s">
        <v>38</v>
      </c>
      <c r="B46" s="24" t="s">
        <v>170</v>
      </c>
      <c r="C46" s="24" t="s">
        <v>146</v>
      </c>
      <c r="D46" s="24" t="s">
        <v>147</v>
      </c>
      <c r="E46" s="24" t="s">
        <v>148</v>
      </c>
      <c r="F46" s="24" t="s">
        <v>149</v>
      </c>
      <c r="G46" s="24" t="s">
        <v>150</v>
      </c>
      <c r="H46" s="24" t="s">
        <v>38</v>
      </c>
      <c r="I46" s="24" t="s">
        <v>32</v>
      </c>
      <c r="J46" s="24" t="s">
        <v>137</v>
      </c>
      <c r="K46" s="24" t="s">
        <v>41</v>
      </c>
    </row>
    <row r="47" spans="1:11" x14ac:dyDescent="0.25">
      <c r="A47" s="32"/>
      <c r="B47" s="32" t="s">
        <v>171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172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173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174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175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86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176</v>
      </c>
      <c r="C54" s="27"/>
      <c r="D54" s="27"/>
      <c r="E54" s="27"/>
      <c r="F54" s="27"/>
      <c r="G54" s="27"/>
      <c r="H54" s="27"/>
      <c r="I54" s="29">
        <f>I26+I35+I44+I52</f>
        <v>84019.27</v>
      </c>
      <c r="J54" s="27"/>
      <c r="K54" s="29">
        <f>K26+K35+K44+K52</f>
        <v>96963.84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37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188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4" t="s">
        <v>38</v>
      </c>
      <c r="B4" s="24" t="s">
        <v>92</v>
      </c>
      <c r="C4" s="24" t="s">
        <v>189</v>
      </c>
      <c r="D4" s="24" t="s">
        <v>190</v>
      </c>
      <c r="E4" s="24" t="s">
        <v>191</v>
      </c>
      <c r="F4" s="24" t="s">
        <v>192</v>
      </c>
      <c r="G4" s="24" t="s">
        <v>193</v>
      </c>
      <c r="H4" s="24" t="s">
        <v>194</v>
      </c>
      <c r="I4" s="24" t="s">
        <v>195</v>
      </c>
    </row>
    <row r="5" spans="1:9" x14ac:dyDescent="0.25">
      <c r="A5" s="32"/>
      <c r="B5" s="40" t="s">
        <v>196</v>
      </c>
      <c r="C5" s="45">
        <v>1920</v>
      </c>
      <c r="D5" s="45">
        <v>1080</v>
      </c>
      <c r="E5" s="32">
        <v>8</v>
      </c>
      <c r="F5" s="32"/>
      <c r="G5" s="45">
        <v>650000</v>
      </c>
      <c r="H5" s="45">
        <v>455000</v>
      </c>
      <c r="I5" s="45">
        <v>320000</v>
      </c>
    </row>
    <row r="6" spans="2:9" x14ac:dyDescent="0.25">
      <c r="B6" s="25" t="s">
        <v>197</v>
      </c>
      <c r="C6" s="51">
        <v>3840</v>
      </c>
      <c r="D6" s="51">
        <v>2160</v>
      </c>
      <c r="E6">
        <v>16</v>
      </c>
      <c r="G6" s="51">
        <v>650000</v>
      </c>
      <c r="H6" s="51">
        <v>455000</v>
      </c>
      <c r="I6" s="51">
        <v>320000</v>
      </c>
    </row>
    <row r="7" spans="1:9" x14ac:dyDescent="0.25">
      <c r="A7" s="32"/>
      <c r="B7" s="40" t="s">
        <v>198</v>
      </c>
      <c r="C7" s="45">
        <v>7680</v>
      </c>
      <c r="D7" s="45">
        <v>4320</v>
      </c>
      <c r="E7" s="32">
        <v>20</v>
      </c>
      <c r="F7" s="32"/>
      <c r="G7" s="45">
        <v>1200000</v>
      </c>
      <c r="H7" s="45">
        <v>960000</v>
      </c>
      <c r="I7" s="45">
        <v>650000</v>
      </c>
    </row>
    <row r="10" spans="2:2" x14ac:dyDescent="0.25">
      <c r="B10" s="61" t="s">
        <v>199</v>
      </c>
    </row>
    <row r="11" ht="28" customHeight="1" spans="1:9" x14ac:dyDescent="0.25">
      <c r="A11" s="3" t="s">
        <v>38</v>
      </c>
      <c r="B11" s="3" t="s">
        <v>92</v>
      </c>
      <c r="C11" s="3" t="s">
        <v>189</v>
      </c>
      <c r="D11" s="3" t="s">
        <v>190</v>
      </c>
      <c r="E11" s="3" t="s">
        <v>103</v>
      </c>
      <c r="F11" s="3" t="s">
        <v>200</v>
      </c>
      <c r="G11" s="3" t="s">
        <v>201</v>
      </c>
      <c r="H11" s="3" t="s">
        <v>202</v>
      </c>
      <c r="I11" s="3" t="s">
        <v>203</v>
      </c>
    </row>
    <row r="12" spans="1:9" x14ac:dyDescent="0.25">
      <c r="A12" s="32"/>
      <c r="B12" s="32" t="str">
        <f>'LED Cost Sheet'!A4</f>
        <v>Team Room</v>
      </c>
      <c r="C12" s="45">
        <f>'LED Cost Sheet'!H4</f>
        <v>0</v>
      </c>
      <c r="D12" s="45">
        <f>'LED Cost Sheet'!G4</f>
        <v>0</v>
      </c>
      <c r="E12" s="32">
        <f>'LED Cost Sheet'!I4</f>
        <v>1</v>
      </c>
      <c r="F12" s="45">
        <f>C12*D12*E12</f>
        <v>683750</v>
      </c>
      <c r="G12" s="32">
        <f>IFERROR(CEILING(F12/650000,1),0)</f>
        <v>2</v>
      </c>
      <c r="H12" s="32" t="str">
        <f>IF(G12&gt;8,"MCTRL4K","660 Pro")</f>
        <v>660 Pro</v>
      </c>
      <c r="I12" s="32">
        <f>IFERROR(CEILING(G12/IF(G12&gt;8,16,8),1),0)</f>
        <v>1</v>
      </c>
    </row>
    <row r="13" spans="2:9" x14ac:dyDescent="0.25">
      <c r="B13" t="str">
        <f>'LED Cost Sheet'!A5</f>
        <v>Incident Command</v>
      </c>
      <c r="C13" s="51">
        <f>'LED Cost Sheet'!H5</f>
        <v>0</v>
      </c>
      <c r="D13" s="51">
        <f>'LED Cost Sheet'!G5</f>
        <v>0</v>
      </c>
      <c r="E13">
        <f>'LED Cost Sheet'!I5</f>
        <v>1</v>
      </c>
      <c r="F13" s="51">
        <f>C13*D13*E13</f>
        <v>738507</v>
      </c>
      <c r="G13">
        <f>IFERROR(CEILING(F13/650000,1),0)</f>
        <v>2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2"/>
      <c r="B14" s="32" t="str">
        <f>'LED Cost Sheet'!A6</f>
        <v>Def. Unit</v>
      </c>
      <c r="C14" s="45">
        <f>'LED Cost Sheet'!H6</f>
        <v>0</v>
      </c>
      <c r="D14" s="45">
        <f>'LED Cost Sheet'!G6</f>
        <v>0</v>
      </c>
      <c r="E14" s="32">
        <f>'LED Cost Sheet'!I6</f>
        <v>1</v>
      </c>
      <c r="F14" s="45">
        <f>C14*D14*E14</f>
        <v>683750</v>
      </c>
      <c r="G14" s="32">
        <f>IFERROR(CEILING(F14/650000,1),0)</f>
        <v>2</v>
      </c>
      <c r="H14" s="32" t="str">
        <f>IF(G14&gt;8,"MCTRL4K","660 Pro")</f>
        <v>660 Pro</v>
      </c>
      <c r="I14" s="32">
        <f>IFERROR(CEILING(G14/IF(G14&gt;8,16,8),1),0)</f>
        <v>1</v>
      </c>
    </row>
    <row r="15" spans="2:9" x14ac:dyDescent="0.25">
      <c r="B15" t="str">
        <f>'LED Cost Sheet'!A7</f>
        <v>North Corridor</v>
      </c>
      <c r="C15" s="51">
        <f>'LED Cost Sheet'!H7</f>
        <v>0</v>
      </c>
      <c r="D15" s="51">
        <f>'LED Cost Sheet'!G7</f>
        <v>0</v>
      </c>
      <c r="E15">
        <f>'LED Cost Sheet'!I7</f>
        <v>1</v>
      </c>
      <c r="F15" s="51">
        <f>C15*D15*E15</f>
        <v>6720900</v>
      </c>
      <c r="G15">
        <f>IFERROR(CEILING(F15/650000,1),0)</f>
        <v>11</v>
      </c>
      <c r="H15" t="str">
        <f>IF(G15&gt;8,"MCTRL4K","660 Pro")</f>
        <v>MCTRL4K</v>
      </c>
      <c r="I15">
        <f>IFERROR(CEILING(G15/IF(G15&gt;8,16,8),1),0)</f>
        <v>1</v>
      </c>
    </row>
    <row r="16" spans="1:9" x14ac:dyDescent="0.25">
      <c r="A16" s="32"/>
      <c r="B16" s="32" t="str">
        <f>'LED Cost Sheet'!A8</f>
        <v>South Corridor</v>
      </c>
      <c r="C16" s="45">
        <f>'LED Cost Sheet'!H8</f>
        <v>0</v>
      </c>
      <c r="D16" s="45">
        <f>'LED Cost Sheet'!G8</f>
        <v>0</v>
      </c>
      <c r="E16" s="32">
        <f>'LED Cost Sheet'!I8</f>
        <v>1</v>
      </c>
      <c r="F16" s="45">
        <f>C16*D16*E16</f>
        <v>5712980</v>
      </c>
      <c r="G16" s="32">
        <f>IFERROR(CEILING(F16/650000,1),0)</f>
        <v>9</v>
      </c>
      <c r="H16" s="32" t="str">
        <f>IF(G16&gt;8,"MCTRL4K","660 Pro")</f>
        <v>MCTRL4K</v>
      </c>
      <c r="I16" s="32">
        <f>IFERROR(CEILING(G16/IF(G16&gt;8,16,8),1),0)</f>
        <v>1</v>
      </c>
    </row>
    <row r="17" spans="2:9" x14ac:dyDescent="0.25">
      <c r="B17" t="str">
        <f>'LED Cost Sheet'!A9</f>
        <v>S.E Corridor</v>
      </c>
      <c r="C17" s="51">
        <f>'LED Cost Sheet'!H9</f>
        <v>0</v>
      </c>
      <c r="D17" s="51">
        <f>'LED Cost Sheet'!G9</f>
        <v>0</v>
      </c>
      <c r="E17">
        <f>'LED Cost Sheet'!I9</f>
        <v>2</v>
      </c>
      <c r="F17" s="51">
        <f>C17*D17*E17</f>
        <v>4155548</v>
      </c>
      <c r="G17">
        <f>IFERROR(CEILING(F17/650000,1),0)</f>
        <v>7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2"/>
      <c r="B18" s="32" t="str">
        <f>'LED Cost Sheet'!A10</f>
        <v>East Corridor</v>
      </c>
      <c r="C18" s="45">
        <f>'LED Cost Sheet'!H10</f>
        <v>0</v>
      </c>
      <c r="D18" s="45">
        <f>'LED Cost Sheet'!G10</f>
        <v>0</v>
      </c>
      <c r="E18" s="32">
        <f>'LED Cost Sheet'!I10</f>
        <v>1</v>
      </c>
      <c r="F18" s="45">
        <f>C18*D18*E18</f>
        <v>2200548</v>
      </c>
      <c r="G18" s="32">
        <f>IFERROR(CEILING(F18/650000,1),0)</f>
        <v>4</v>
      </c>
      <c r="H18" s="32" t="str">
        <f>IF(G18&gt;8,"MCTRL4K","660 Pro")</f>
        <v>660 Pro</v>
      </c>
      <c r="I18" s="32">
        <f>IFERROR(CEILING(G18/IF(G18&gt;8,16,8),1),0)</f>
        <v>1</v>
      </c>
    </row>
    <row r="19" spans="2:9" x14ac:dyDescent="0.25">
      <c r="B19" t="str">
        <f>'LED Cost Sheet'!A11</f>
        <v>N.E Corridor</v>
      </c>
      <c r="C19" s="51">
        <f>'LED Cost Sheet'!H11</f>
        <v>0</v>
      </c>
      <c r="D19" s="51">
        <f>'LED Cost Sheet'!G11</f>
        <v>0</v>
      </c>
      <c r="E19">
        <f>'LED Cost Sheet'!I11</f>
        <v>2</v>
      </c>
      <c r="F19" s="51">
        <f>C19*D19*E19</f>
        <v>4155548</v>
      </c>
      <c r="G19">
        <f>IFERROR(CEILING(F19/650000,1),0)</f>
        <v>7</v>
      </c>
      <c r="H19" t="str">
        <f>IF(G19&gt;8,"MCTRL4K","660 Pro")</f>
        <v>660 Pro</v>
      </c>
      <c r="I19">
        <f>IFERROR(CEILING(G19/IF(G19&gt;8,16,8),1),0)</f>
        <v>1</v>
      </c>
    </row>
    <row r="20" spans="1:9" x14ac:dyDescent="0.25">
      <c r="A20" s="32"/>
      <c r="B20" s="32" t="str">
        <f>'LED Cost Sheet'!A12</f>
        <v>Elev Lobby</v>
      </c>
      <c r="C20" s="45">
        <f>'LED Cost Sheet'!H12</f>
        <v>0</v>
      </c>
      <c r="D20" s="45">
        <f>'LED Cost Sheet'!G12</f>
        <v>0</v>
      </c>
      <c r="E20" s="32">
        <f>'LED Cost Sheet'!I12</f>
        <v>4</v>
      </c>
      <c r="F20" s="45">
        <f>C20*D20*E20</f>
        <v>587188</v>
      </c>
      <c r="G20" s="32">
        <f>IFERROR(CEILING(F20/650000,1),0)</f>
        <v>1</v>
      </c>
      <c r="H20" s="32" t="str">
        <f>IF(G20&gt;8,"MCTRL4K","660 Pro")</f>
        <v>660 Pro</v>
      </c>
      <c r="I20" s="32">
        <f>IFERROR(CEILING(G20/IF(G20&gt;8,16,8),1),0)</f>
        <v>1</v>
      </c>
    </row>
    <row r="21" spans="2:9" x14ac:dyDescent="0.25">
      <c r="B21" t="str">
        <f>'LED Cost Sheet'!A13</f>
        <v>North Club</v>
      </c>
      <c r="C21" s="51">
        <f>'LED Cost Sheet'!H13</f>
        <v>0</v>
      </c>
      <c r="D21" s="51">
        <f>'LED Cost Sheet'!G13</f>
        <v>0</v>
      </c>
      <c r="E21">
        <f>'LED Cost Sheet'!I13</f>
        <v>2</v>
      </c>
      <c r="F21" s="51">
        <f>C21*D21*E21</f>
        <v>1955000</v>
      </c>
      <c r="G21">
        <f>IFERROR(CEILING(F21/650000,1),0)</f>
        <v>4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2"/>
      <c r="B22" s="32" t="str">
        <f>'LED Cost Sheet'!A14</f>
        <v>Panthers Den</v>
      </c>
      <c r="C22" s="45">
        <f>'LED Cost Sheet'!H14</f>
        <v>0</v>
      </c>
      <c r="D22" s="45">
        <f>'LED Cost Sheet'!G14</f>
        <v>0</v>
      </c>
      <c r="E22" s="32">
        <f>'LED Cost Sheet'!I14</f>
        <v>3</v>
      </c>
      <c r="F22" s="45">
        <f>C22*D22*E22</f>
        <v>1206738</v>
      </c>
      <c r="G22" s="32">
        <f>IFERROR(CEILING(F22/650000,1),0)</f>
        <v>2</v>
      </c>
      <c r="H22" s="32" t="str">
        <f>IF(G22&gt;8,"MCTRL4K","660 Pro")</f>
        <v>660 Pro</v>
      </c>
      <c r="I22" s="32">
        <f>IFERROR(CEILING(G22/IF(G22&gt;8,16,8),1),0)</f>
        <v>1</v>
      </c>
    </row>
    <row r="23" spans="2:9" x14ac:dyDescent="0.25">
      <c r="B23" t="str">
        <f>'LED Cost Sheet'!A15</f>
        <v>Panthers Den</v>
      </c>
      <c r="C23" s="51">
        <f>'LED Cost Sheet'!H15</f>
        <v>0</v>
      </c>
      <c r="D23" s="51">
        <f>'LED Cost Sheet'!G15</f>
        <v>0</v>
      </c>
      <c r="E23">
        <f>'LED Cost Sheet'!I15</f>
        <v>1</v>
      </c>
      <c r="F23" s="51">
        <f>C23*D23*E23</f>
        <v>366795</v>
      </c>
      <c r="G23">
        <f>IFERROR(CEILING(F23/650000,1),0)</f>
        <v>1</v>
      </c>
      <c r="H23" t="str">
        <f>IF(G23&gt;8,"MCTRL4K","660 Pro")</f>
        <v>660 Pro</v>
      </c>
      <c r="I23">
        <f>IFERROR(CEILING(G23/IF(G23&gt;8,16,8),1),0)</f>
        <v>1</v>
      </c>
    </row>
    <row r="24" spans="1:9" x14ac:dyDescent="0.25">
      <c r="A24" s="32"/>
      <c r="B24" s="32" t="str">
        <f>'LED Cost Sheet'!A16</f>
        <v>Panthers Den</v>
      </c>
      <c r="C24" s="45">
        <f>'LED Cost Sheet'!H16</f>
        <v>0</v>
      </c>
      <c r="D24" s="45">
        <f>'LED Cost Sheet'!G16</f>
        <v>0</v>
      </c>
      <c r="E24" s="32">
        <f>'LED Cost Sheet'!I16</f>
        <v>1</v>
      </c>
      <c r="F24" s="45">
        <f>C24*D24*E24</f>
        <v>402246</v>
      </c>
      <c r="G24" s="32">
        <f>IFERROR(CEILING(F24/650000,1),0)</f>
        <v>1</v>
      </c>
      <c r="H24" s="32" t="str">
        <f>IF(G24&gt;8,"MCTRL4K","660 Pro")</f>
        <v>660 Pro</v>
      </c>
      <c r="I24" s="32">
        <f>IFERROR(CEILING(G24/IF(G24&gt;8,16,8),1),0)</f>
        <v>1</v>
      </c>
    </row>
    <row r="25" spans="2:9" x14ac:dyDescent="0.25">
      <c r="B25" t="str">
        <f>'LED Cost Sheet'!A17</f>
        <v>Panthers Den</v>
      </c>
      <c r="C25" s="51">
        <f>'LED Cost Sheet'!H17</f>
        <v>0</v>
      </c>
      <c r="D25" s="51">
        <f>'LED Cost Sheet'!G17</f>
        <v>0</v>
      </c>
      <c r="E25">
        <f>'LED Cost Sheet'!I17</f>
        <v>1</v>
      </c>
      <c r="F25" s="51">
        <f>C25*D25*E25</f>
        <v>366795</v>
      </c>
      <c r="G25">
        <f>IFERROR(CEILING(F25/650000,1),0)</f>
        <v>1</v>
      </c>
      <c r="H25" t="str">
        <f>IF(G25&gt;8,"MCTRL4K","660 Pro")</f>
        <v>660 Pro</v>
      </c>
      <c r="I25">
        <f>IFERROR(CEILING(G25/IF(G25&gt;8,16,8),1),0)</f>
        <v>1</v>
      </c>
    </row>
    <row r="26" spans="1:9" x14ac:dyDescent="0.25">
      <c r="A26" s="32"/>
      <c r="B26" s="32" t="str">
        <f>'LED Cost Sheet'!A18</f>
        <v>South Club</v>
      </c>
      <c r="C26" s="45">
        <f>'LED Cost Sheet'!H18</f>
        <v>0</v>
      </c>
      <c r="D26" s="45">
        <f>'LED Cost Sheet'!G18</f>
        <v>0</v>
      </c>
      <c r="E26" s="32">
        <f>'LED Cost Sheet'!I18</f>
        <v>2</v>
      </c>
      <c r="F26" s="45">
        <f>C26*D26*E26</f>
        <v>1955000</v>
      </c>
      <c r="G26" s="32">
        <f>IFERROR(CEILING(F26/650000,1),0)</f>
        <v>4</v>
      </c>
      <c r="H26" s="32" t="str">
        <f>IF(G26&gt;8,"MCTRL4K","660 Pro")</f>
        <v>660 Pro</v>
      </c>
      <c r="I26" s="32">
        <f>IFERROR(CEILING(G26/IF(G26&gt;8,16,8),1),0)</f>
        <v>1</v>
      </c>
    </row>
    <row r="27" spans="2:9" x14ac:dyDescent="0.25">
      <c r="B27" t="str">
        <f>'LED Cost Sheet'!A19</f>
        <v>S.E Corridor</v>
      </c>
      <c r="C27" s="51">
        <f>'LED Cost Sheet'!H19</f>
        <v>0</v>
      </c>
      <c r="D27" s="51">
        <f>'LED Cost Sheet'!G19</f>
        <v>0</v>
      </c>
      <c r="E27">
        <f>'LED Cost Sheet'!I19</f>
        <v>1</v>
      </c>
      <c r="F27" s="51">
        <f>C27*D27*E27</f>
        <v>2077774</v>
      </c>
      <c r="G27">
        <f>IFERROR(CEILING(F27/650000,1),0)</f>
        <v>4</v>
      </c>
      <c r="H27" t="str">
        <f>IF(G27&gt;8,"MCTRL4K","660 Pro")</f>
        <v>660 Pro</v>
      </c>
      <c r="I27">
        <f>IFERROR(CEILING(G27/IF(G27&gt;8,16,8),1),0)</f>
        <v>1</v>
      </c>
    </row>
    <row r="28" spans="1:9" x14ac:dyDescent="0.25">
      <c r="A28" s="32"/>
      <c r="B28" s="32" t="str">
        <f>'LED Cost Sheet'!A20</f>
        <v>N.E Corridor</v>
      </c>
      <c r="C28" s="45">
        <f>'LED Cost Sheet'!H20</f>
        <v>0</v>
      </c>
      <c r="D28" s="45">
        <f>'LED Cost Sheet'!G20</f>
        <v>0</v>
      </c>
      <c r="E28" s="32">
        <f>'LED Cost Sheet'!I20</f>
        <v>1</v>
      </c>
      <c r="F28" s="45">
        <f>C28*D28*E28</f>
        <v>2077774</v>
      </c>
      <c r="G28" s="32">
        <f>IFERROR(CEILING(F28/650000,1),0)</f>
        <v>4</v>
      </c>
      <c r="H28" s="32" t="str">
        <f>IF(G28&gt;8,"MCTRL4K","660 Pro")</f>
        <v>660 Pro</v>
      </c>
      <c r="I28" s="32">
        <f>IFERROR(CEILING(G28/IF(G28&gt;8,16,8),1),0)</f>
        <v>1</v>
      </c>
    </row>
    <row r="29" spans="2:9" x14ac:dyDescent="0.25">
      <c r="B29" t="str">
        <f>'LED Cost Sheet'!A21</f>
        <v>Panthers Den</v>
      </c>
      <c r="C29" s="51">
        <f>'LED Cost Sheet'!H21</f>
        <v>0</v>
      </c>
      <c r="D29" s="51">
        <f>'LED Cost Sheet'!G21</f>
        <v>0</v>
      </c>
      <c r="E29">
        <f>'LED Cost Sheet'!I21</f>
        <v>1</v>
      </c>
      <c r="F29" s="51">
        <f>C29*D29*E29</f>
        <v>402246</v>
      </c>
      <c r="G29">
        <f>IFERROR(CEILING(F29/650000,1),0)</f>
        <v>1</v>
      </c>
      <c r="H29" t="str">
        <f>IF(G29&gt;8,"MCTRL4K","660 Pro")</f>
        <v>660 Pro</v>
      </c>
      <c r="I29">
        <f>IFERROR(CEILING(G29/IF(G29&gt;8,16,8),1),0)</f>
        <v>1</v>
      </c>
    </row>
    <row r="30" spans="1:9" x14ac:dyDescent="0.25">
      <c r="A30" s="32"/>
      <c r="B30" s="32" t="str">
        <f>'LED Cost Sheet'!A22</f>
        <v>Panthers Den</v>
      </c>
      <c r="C30" s="45">
        <f>'LED Cost Sheet'!H22</f>
        <v>0</v>
      </c>
      <c r="D30" s="45">
        <f>'LED Cost Sheet'!G22</f>
        <v>0</v>
      </c>
      <c r="E30" s="32">
        <f>'LED Cost Sheet'!I22</f>
        <v>1</v>
      </c>
      <c r="F30" s="45">
        <f>C30*D30*E30</f>
        <v>1416250</v>
      </c>
      <c r="G30" s="32">
        <f>IFERROR(CEILING(F30/650000,1),0)</f>
        <v>3</v>
      </c>
      <c r="H30" s="32" t="str">
        <f>IF(G30&gt;8,"MCTRL4K","660 Pro")</f>
        <v>660 Pro</v>
      </c>
      <c r="I30" s="32">
        <f>IFERROR(CEILING(G30/IF(G30&gt;8,16,8),1),0)</f>
        <v>1</v>
      </c>
    </row>
    <row r="31" spans="2:9" x14ac:dyDescent="0.25">
      <c r="B31" t="str">
        <f>'LED Cost Sheet'!A23</f>
        <v>Panthers Den</v>
      </c>
      <c r="C31" s="51">
        <f>'LED Cost Sheet'!H23</f>
        <v>0</v>
      </c>
      <c r="D31" s="51">
        <f>'LED Cost Sheet'!G23</f>
        <v>0</v>
      </c>
      <c r="E31">
        <f>'LED Cost Sheet'!I23</f>
        <v>1</v>
      </c>
      <c r="F31" s="51">
        <f>C31*D31*E31</f>
        <v>928609</v>
      </c>
      <c r="G31">
        <f>IFERROR(CEILING(F31/650000,1),0)</f>
        <v>2</v>
      </c>
      <c r="H31" t="str">
        <f>IF(G31&gt;8,"MCTRL4K","660 Pro")</f>
        <v>660 Pro</v>
      </c>
      <c r="I31">
        <f>IFERROR(CEILING(G31/IF(G31&gt;8,16,8),1),0)</f>
        <v>1</v>
      </c>
    </row>
    <row r="32" spans="1:9" x14ac:dyDescent="0.25">
      <c r="A32" s="32"/>
      <c r="B32" s="32" t="str">
        <f>'LED Cost Sheet'!A24</f>
        <v>Elev Lobby</v>
      </c>
      <c r="C32" s="45">
        <f>'LED Cost Sheet'!H24</f>
        <v>0</v>
      </c>
      <c r="D32" s="45">
        <f>'LED Cost Sheet'!G24</f>
        <v>0</v>
      </c>
      <c r="E32" s="32">
        <f>'LED Cost Sheet'!I24</f>
        <v>1</v>
      </c>
      <c r="F32" s="45">
        <f>C32*D32*E32</f>
        <v>146797</v>
      </c>
      <c r="G32" s="32">
        <f>IFERROR(CEILING(F32/650000,1),0)</f>
        <v>1</v>
      </c>
      <c r="H32" s="32" t="str">
        <f>IF(G32&gt;8,"MCTRL4K","660 Pro")</f>
        <v>660 Pro</v>
      </c>
      <c r="I32" s="32">
        <f>IFERROR(CEILING(G32/IF(G32&gt;8,16,8),1),0)</f>
        <v>1</v>
      </c>
    </row>
    <row r="33" spans="2:9" x14ac:dyDescent="0.25">
      <c r="B33" t="str">
        <f>'LED Cost Sheet'!A25</f>
        <v>Elev Lobby</v>
      </c>
      <c r="C33" s="51">
        <f>'LED Cost Sheet'!H25</f>
        <v>0</v>
      </c>
      <c r="D33" s="51">
        <f>'LED Cost Sheet'!G25</f>
        <v>0</v>
      </c>
      <c r="E33">
        <f>'LED Cost Sheet'!I25</f>
        <v>1</v>
      </c>
      <c r="F33" s="51">
        <f>C33*D33*E33</f>
        <v>146797</v>
      </c>
      <c r="G33">
        <f>IFERROR(CEILING(F33/650000,1),0)</f>
        <v>1</v>
      </c>
      <c r="H33" t="str">
        <f>IF(G33&gt;8,"MCTRL4K","660 Pro")</f>
        <v>660 Pro</v>
      </c>
      <c r="I33">
        <f>IFERROR(CEILING(G33/IF(G33&gt;8,16,8),1),0)</f>
        <v>1</v>
      </c>
    </row>
    <row r="34" spans="1:9" x14ac:dyDescent="0.25">
      <c r="A34" s="32"/>
      <c r="B34" s="32" t="str">
        <f>'LED Cost Sheet'!A26</f>
        <v>Elev Lobby</v>
      </c>
      <c r="C34" s="45">
        <f>'LED Cost Sheet'!H26</f>
        <v>0</v>
      </c>
      <c r="D34" s="45">
        <f>'LED Cost Sheet'!G26</f>
        <v>0</v>
      </c>
      <c r="E34" s="32">
        <f>'LED Cost Sheet'!I26</f>
        <v>1</v>
      </c>
      <c r="F34" s="45">
        <f>C34*D34*E34</f>
        <v>146797</v>
      </c>
      <c r="G34" s="32">
        <f>IFERROR(CEILING(F34/650000,1),0)</f>
        <v>1</v>
      </c>
      <c r="H34" s="32" t="str">
        <f>IF(G34&gt;8,"MCTRL4K","660 Pro")</f>
        <v>660 Pro</v>
      </c>
      <c r="I34" s="32">
        <f>IFERROR(CEILING(G34/IF(G34&gt;8,16,8),1),0)</f>
        <v>1</v>
      </c>
    </row>
    <row r="35" spans="2:9" x14ac:dyDescent="0.25">
      <c r="B35" t="str">
        <f>'LED Cost Sheet'!A27</f>
        <v>North Club</v>
      </c>
      <c r="C35" s="51">
        <f>'LED Cost Sheet'!H27</f>
        <v>0</v>
      </c>
      <c r="D35" s="51">
        <f>'LED Cost Sheet'!G27</f>
        <v>0</v>
      </c>
      <c r="E35">
        <f>'LED Cost Sheet'!I27</f>
        <v>1</v>
      </c>
      <c r="F35" s="51">
        <f>C35*D35*E35</f>
        <v>977500</v>
      </c>
      <c r="G35">
        <f>IFERROR(CEILING(F35/650000,1),0)</f>
        <v>2</v>
      </c>
      <c r="H35" t="str">
        <f>IF(G35&gt;8,"MCTRL4K","660 Pro")</f>
        <v>660 Pro</v>
      </c>
      <c r="I35">
        <f>IFERROR(CEILING(G35/IF(G35&gt;8,16,8),1),0)</f>
        <v>1</v>
      </c>
    </row>
    <row r="36" spans="1:9" x14ac:dyDescent="0.25">
      <c r="A36" s="32"/>
      <c r="B36" s="32" t="str">
        <f>'LED Cost Sheet'!A28</f>
        <v>South Club</v>
      </c>
      <c r="C36" s="45">
        <f>'LED Cost Sheet'!H28</f>
        <v>0</v>
      </c>
      <c r="D36" s="45">
        <f>'LED Cost Sheet'!G28</f>
        <v>0</v>
      </c>
      <c r="E36" s="32">
        <f>'LED Cost Sheet'!I28</f>
        <v>1</v>
      </c>
      <c r="F36" s="45">
        <f>C36*D36*E36</f>
        <v>977500</v>
      </c>
      <c r="G36" s="32">
        <f>IFERROR(CEILING(F36/650000,1),0)</f>
        <v>2</v>
      </c>
      <c r="H36" s="32" t="str">
        <f>IF(G36&gt;8,"MCTRL4K","660 Pro")</f>
        <v>660 Pro</v>
      </c>
      <c r="I36" s="32">
        <f>IFERROR(CEILING(G36/IF(G36&gt;8,16,8),1),0)</f>
        <v>1</v>
      </c>
    </row>
    <row r="37" spans="1:9" x14ac:dyDescent="0.25">
      <c r="A37" s="53"/>
      <c r="B37" s="53" t="s">
        <v>204</v>
      </c>
      <c r="C37" s="53"/>
      <c r="D37" s="53"/>
      <c r="E37" s="53"/>
      <c r="F37" s="54">
        <f>SUM(F12:F36)</f>
        <v>41189337</v>
      </c>
      <c r="G37" s="53">
        <f>SUM(G12:G36)</f>
        <v>79</v>
      </c>
      <c r="H37" s="53"/>
      <c r="I37" s="53">
        <f>SUM(I12:I36)</f>
        <v>25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141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205</v>
      </c>
      <c r="B1" s="1"/>
      <c r="C1" s="1"/>
      <c r="D1" s="1"/>
    </row>
    <row r="2" spans="1:4" x14ac:dyDescent="0.25">
      <c r="A2" s="2" t="s">
        <v>206</v>
      </c>
      <c r="B2" s="2"/>
      <c r="C2" s="2"/>
      <c r="D2" s="2"/>
    </row>
    <row r="6" ht="28" customHeight="1" spans="1:8" x14ac:dyDescent="0.25">
      <c r="A6" s="24" t="s">
        <v>78</v>
      </c>
      <c r="B6" s="24" t="s">
        <v>207</v>
      </c>
      <c r="C6" s="24" t="s">
        <v>40</v>
      </c>
      <c r="D6" s="24" t="s">
        <v>103</v>
      </c>
      <c r="E6" s="24" t="s">
        <v>32</v>
      </c>
      <c r="F6" s="24" t="s">
        <v>208</v>
      </c>
      <c r="G6" s="24" t="s">
        <v>41</v>
      </c>
      <c r="H6" s="24" t="s">
        <v>42</v>
      </c>
    </row>
    <row r="7" spans="1:1" s="32" customFormat="1" x14ac:dyDescent="0.25">
      <c r="A7" s="40" t="s">
        <v>44</v>
      </c>
    </row>
    <row r="8" spans="1:8" x14ac:dyDescent="0.25">
      <c r="A8" s="32" t="s">
        <v>209</v>
      </c>
      <c r="B8" s="32" t="s">
        <v>210</v>
      </c>
      <c r="C8" s="63">
        <v>450</v>
      </c>
      <c r="D8" s="42">
        <v>1</v>
      </c>
      <c r="E8" s="33">
        <f>C8*D8</f>
        <v>450</v>
      </c>
      <c r="F8" s="67">
        <v>0.15</v>
      </c>
      <c r="G8" s="33">
        <f>IFERROR(E8/(1-F8),0)</f>
        <v>529.41</v>
      </c>
      <c r="H8" s="33">
        <f>IFERROR(G8-E8,0)</f>
        <v>79.41</v>
      </c>
    </row>
    <row r="9" spans="1:8" x14ac:dyDescent="0.25">
      <c r="A9" t="s">
        <v>209</v>
      </c>
      <c r="B9" t="s">
        <v>211</v>
      </c>
      <c r="C9" s="64">
        <v>67.2</v>
      </c>
      <c r="D9" s="48">
        <v>1</v>
      </c>
      <c r="E9" s="19">
        <f>C9*D9</f>
        <v>67.2</v>
      </c>
      <c r="F9" s="20">
        <v>0.15</v>
      </c>
      <c r="G9" s="19">
        <f>IFERROR(E9/(1-F9),0)</f>
        <v>79.06</v>
      </c>
      <c r="H9" s="19">
        <f>IFERROR(G9-E9,0)</f>
        <v>11.86</v>
      </c>
    </row>
    <row r="10" spans="2:8" x14ac:dyDescent="0.25">
      <c r="B10" s="25" t="s">
        <v>212</v>
      </c>
      <c r="E10" s="52">
        <f>SUM(E8:E9)</f>
        <v>517.2</v>
      </c>
      <c r="G10" s="19">
        <f>SUM(G8:G9)</f>
        <v>608.47</v>
      </c>
      <c r="H10" s="19">
        <f>IFERROR(G10-E10,0)</f>
        <v>91.26999999999997</v>
      </c>
    </row>
    <row r="12" spans="1:1" s="32" customFormat="1" x14ac:dyDescent="0.25">
      <c r="A12" s="40" t="s">
        <v>56</v>
      </c>
    </row>
    <row r="13" spans="1:8" x14ac:dyDescent="0.25">
      <c r="A13" t="s">
        <v>209</v>
      </c>
      <c r="B13" t="s">
        <v>210</v>
      </c>
      <c r="C13" s="64">
        <v>450</v>
      </c>
      <c r="D13" s="48">
        <v>1</v>
      </c>
      <c r="E13" s="19">
        <f>C13*D13</f>
        <v>450</v>
      </c>
      <c r="F13" s="20">
        <v>0.15</v>
      </c>
      <c r="G13" s="19">
        <f>IFERROR(E13/(1-F13),0)</f>
        <v>529.41</v>
      </c>
      <c r="H13" s="19">
        <f>IFERROR(G13-E13,0)</f>
        <v>79.41</v>
      </c>
    </row>
    <row r="14" spans="1:8" x14ac:dyDescent="0.25">
      <c r="A14" s="32" t="s">
        <v>209</v>
      </c>
      <c r="B14" s="32" t="s">
        <v>211</v>
      </c>
      <c r="C14" s="63">
        <v>72.53</v>
      </c>
      <c r="D14" s="42">
        <v>1</v>
      </c>
      <c r="E14" s="33">
        <f>C14*D14</f>
        <v>72.53</v>
      </c>
      <c r="F14" s="67">
        <v>0.15</v>
      </c>
      <c r="G14" s="33">
        <f>IFERROR(E14/(1-F14),0)</f>
        <v>85.33</v>
      </c>
      <c r="H14" s="33">
        <f>IFERROR(G14-E14,0)</f>
        <v>12.8</v>
      </c>
    </row>
    <row r="15" spans="2:8" x14ac:dyDescent="0.25">
      <c r="B15" s="25" t="s">
        <v>212</v>
      </c>
      <c r="E15" s="52">
        <f>SUM(E13:E14)</f>
        <v>522.53</v>
      </c>
      <c r="G15" s="19">
        <f>SUM(G13:G14)</f>
        <v>614.74</v>
      </c>
      <c r="H15" s="19">
        <f>IFERROR(G15-E15,0)</f>
        <v>92.20999999999995</v>
      </c>
    </row>
    <row r="17" spans="1:1" s="32" customFormat="1" x14ac:dyDescent="0.25">
      <c r="A17" s="40" t="s">
        <v>57</v>
      </c>
    </row>
    <row r="18" spans="1:8" x14ac:dyDescent="0.25">
      <c r="A18" s="32" t="s">
        <v>209</v>
      </c>
      <c r="B18" s="32" t="s">
        <v>210</v>
      </c>
      <c r="C18" s="63">
        <v>450</v>
      </c>
      <c r="D18" s="42">
        <v>1</v>
      </c>
      <c r="E18" s="33">
        <f>C18*D18</f>
        <v>450</v>
      </c>
      <c r="F18" s="67">
        <v>0.15</v>
      </c>
      <c r="G18" s="33">
        <f>IFERROR(E18/(1-F18),0)</f>
        <v>529.41</v>
      </c>
      <c r="H18" s="33">
        <f>IFERROR(G18-E18,0)</f>
        <v>79.41</v>
      </c>
    </row>
    <row r="19" spans="1:8" x14ac:dyDescent="0.25">
      <c r="A19" t="s">
        <v>209</v>
      </c>
      <c r="B19" t="s">
        <v>211</v>
      </c>
      <c r="C19" s="64">
        <v>67.2</v>
      </c>
      <c r="D19" s="48">
        <v>1</v>
      </c>
      <c r="E19" s="19">
        <f>C19*D19</f>
        <v>67.2</v>
      </c>
      <c r="F19" s="20">
        <v>0.15</v>
      </c>
      <c r="G19" s="19">
        <f>IFERROR(E19/(1-F19),0)</f>
        <v>79.06</v>
      </c>
      <c r="H19" s="19">
        <f>IFERROR(G19-E19,0)</f>
        <v>11.86</v>
      </c>
    </row>
    <row r="20" spans="2:8" x14ac:dyDescent="0.25">
      <c r="B20" s="25" t="s">
        <v>212</v>
      </c>
      <c r="E20" s="52">
        <f>SUM(E18:E19)</f>
        <v>517.2</v>
      </c>
      <c r="G20" s="19">
        <f>SUM(G18:G19)</f>
        <v>608.47</v>
      </c>
      <c r="H20" s="19">
        <f>IFERROR(G20-E20,0)</f>
        <v>91.26999999999997</v>
      </c>
    </row>
    <row r="22" spans="1:1" s="32" customFormat="1" x14ac:dyDescent="0.25">
      <c r="A22" s="40" t="s">
        <v>58</v>
      </c>
    </row>
    <row r="23" spans="1:8" x14ac:dyDescent="0.25">
      <c r="A23" t="s">
        <v>209</v>
      </c>
      <c r="B23" t="s">
        <v>210</v>
      </c>
      <c r="C23" s="64">
        <v>8400</v>
      </c>
      <c r="D23" s="48">
        <v>1</v>
      </c>
      <c r="E23" s="19">
        <f>C23*D23</f>
        <v>8400</v>
      </c>
      <c r="F23" s="20">
        <v>0.15</v>
      </c>
      <c r="G23" s="19">
        <f>IFERROR(E23/(1-F23),0)</f>
        <v>9882.35</v>
      </c>
      <c r="H23" s="19">
        <f>IFERROR(G23-E23,0)</f>
        <v>1482.35</v>
      </c>
    </row>
    <row r="24" spans="1:8" x14ac:dyDescent="0.25">
      <c r="A24" s="32" t="s">
        <v>209</v>
      </c>
      <c r="B24" s="32" t="s">
        <v>211</v>
      </c>
      <c r="C24" s="63">
        <v>660</v>
      </c>
      <c r="D24" s="42">
        <v>1</v>
      </c>
      <c r="E24" s="33">
        <f>C24*D24</f>
        <v>660</v>
      </c>
      <c r="F24" s="67">
        <v>0.15</v>
      </c>
      <c r="G24" s="33">
        <f>IFERROR(E24/(1-F24),0)</f>
        <v>776.47</v>
      </c>
      <c r="H24" s="33">
        <f>IFERROR(G24-E24,0)</f>
        <v>116.47</v>
      </c>
    </row>
    <row r="25" spans="1:8" x14ac:dyDescent="0.25">
      <c r="A25" t="s">
        <v>209</v>
      </c>
      <c r="B25" t="s">
        <v>213</v>
      </c>
      <c r="C25" s="64">
        <v>12000</v>
      </c>
      <c r="D25" s="48">
        <v>1</v>
      </c>
      <c r="E25" s="19">
        <f>C25*D25</f>
        <v>12000</v>
      </c>
      <c r="F25" s="20">
        <v>0.15</v>
      </c>
      <c r="G25" s="19">
        <f>IFERROR(E25/(1-F25),0)</f>
        <v>14117.65</v>
      </c>
      <c r="H25" s="19">
        <f>IFERROR(G25-E25,0)</f>
        <v>2117.65</v>
      </c>
    </row>
    <row r="26" spans="2:8" x14ac:dyDescent="0.25">
      <c r="B26" s="25" t="s">
        <v>212</v>
      </c>
      <c r="E26" s="52">
        <f>SUM(E23:E25)</f>
        <v>21060</v>
      </c>
      <c r="G26" s="19">
        <f>SUM(G23:G25)</f>
        <v>24776.47</v>
      </c>
      <c r="H26" s="19">
        <f>IFERROR(G26-E26,0)</f>
        <v>3716.470000000001</v>
      </c>
    </row>
    <row r="28" spans="1:1" s="32" customFormat="1" x14ac:dyDescent="0.25">
      <c r="A28" s="40" t="s">
        <v>59</v>
      </c>
    </row>
    <row r="29" spans="1:8" x14ac:dyDescent="0.25">
      <c r="A29" t="s">
        <v>209</v>
      </c>
      <c r="B29" t="s">
        <v>210</v>
      </c>
      <c r="C29" s="64">
        <v>8400</v>
      </c>
      <c r="D29" s="48">
        <v>1</v>
      </c>
      <c r="E29" s="19">
        <f>C29*D29</f>
        <v>8400</v>
      </c>
      <c r="F29" s="20">
        <v>0.15</v>
      </c>
      <c r="G29" s="19">
        <f>IFERROR(E29/(1-F29),0)</f>
        <v>9882.35</v>
      </c>
      <c r="H29" s="19">
        <f>IFERROR(G29-E29,0)</f>
        <v>1482.35</v>
      </c>
    </row>
    <row r="30" spans="1:8" x14ac:dyDescent="0.25">
      <c r="A30" s="32" t="s">
        <v>209</v>
      </c>
      <c r="B30" s="32" t="s">
        <v>211</v>
      </c>
      <c r="C30" s="63">
        <v>561</v>
      </c>
      <c r="D30" s="42">
        <v>1</v>
      </c>
      <c r="E30" s="33">
        <f>C30*D30</f>
        <v>561</v>
      </c>
      <c r="F30" s="67">
        <v>0.15</v>
      </c>
      <c r="G30" s="33">
        <f>IFERROR(E30/(1-F30),0)</f>
        <v>660</v>
      </c>
      <c r="H30" s="33">
        <f>IFERROR(G30-E30,0)</f>
        <v>99</v>
      </c>
    </row>
    <row r="31" spans="1:8" x14ac:dyDescent="0.25">
      <c r="A31" t="s">
        <v>209</v>
      </c>
      <c r="B31" t="s">
        <v>213</v>
      </c>
      <c r="C31" s="64">
        <v>12000</v>
      </c>
      <c r="D31" s="48">
        <v>1</v>
      </c>
      <c r="E31" s="19">
        <f>C31*D31</f>
        <v>12000</v>
      </c>
      <c r="F31" s="20">
        <v>0.15</v>
      </c>
      <c r="G31" s="19">
        <f>IFERROR(E31/(1-F31),0)</f>
        <v>14117.65</v>
      </c>
      <c r="H31" s="19">
        <f>IFERROR(G31-E31,0)</f>
        <v>2117.65</v>
      </c>
    </row>
    <row r="32" spans="2:8" x14ac:dyDescent="0.25">
      <c r="B32" s="25" t="s">
        <v>212</v>
      </c>
      <c r="E32" s="52">
        <f>SUM(E29:E31)</f>
        <v>20961</v>
      </c>
      <c r="G32" s="19">
        <f>SUM(G29:G31)</f>
        <v>24660</v>
      </c>
      <c r="H32" s="19">
        <f>IFERROR(G32-E32,0)</f>
        <v>3699</v>
      </c>
    </row>
    <row r="34" spans="1:1" s="32" customFormat="1" x14ac:dyDescent="0.25">
      <c r="A34" s="40" t="s">
        <v>60</v>
      </c>
    </row>
    <row r="35" spans="1:8" x14ac:dyDescent="0.25">
      <c r="A35" t="s">
        <v>209</v>
      </c>
      <c r="B35" t="s">
        <v>210</v>
      </c>
      <c r="C35" s="64">
        <v>450</v>
      </c>
      <c r="D35" s="48">
        <v>1</v>
      </c>
      <c r="E35" s="19">
        <f>C35*D35</f>
        <v>450</v>
      </c>
      <c r="F35" s="20">
        <v>0.15</v>
      </c>
      <c r="G35" s="19">
        <f>IFERROR(E35/(1-F35),0)</f>
        <v>529.41</v>
      </c>
      <c r="H35" s="19">
        <f>IFERROR(G35-E35,0)</f>
        <v>79.41</v>
      </c>
    </row>
    <row r="36" spans="1:8" x14ac:dyDescent="0.25">
      <c r="A36" s="32" t="s">
        <v>209</v>
      </c>
      <c r="B36" s="32" t="s">
        <v>211</v>
      </c>
      <c r="C36" s="63">
        <v>408</v>
      </c>
      <c r="D36" s="42">
        <v>1</v>
      </c>
      <c r="E36" s="33">
        <f>C36*D36</f>
        <v>408</v>
      </c>
      <c r="F36" s="67">
        <v>0.15</v>
      </c>
      <c r="G36" s="33">
        <f>IFERROR(E36/(1-F36),0)</f>
        <v>480</v>
      </c>
      <c r="H36" s="33">
        <f>IFERROR(G36-E36,0)</f>
        <v>72</v>
      </c>
    </row>
    <row r="37" spans="1:8" x14ac:dyDescent="0.25">
      <c r="A37" t="s">
        <v>209</v>
      </c>
      <c r="B37" t="s">
        <v>213</v>
      </c>
      <c r="C37" s="64">
        <v>12000</v>
      </c>
      <c r="D37" s="48">
        <v>1</v>
      </c>
      <c r="E37" s="19">
        <f>C37*D37</f>
        <v>12000</v>
      </c>
      <c r="F37" s="20">
        <v>0.15</v>
      </c>
      <c r="G37" s="19">
        <f>IFERROR(E37/(1-F37),0)</f>
        <v>14117.65</v>
      </c>
      <c r="H37" s="19">
        <f>IFERROR(G37-E37,0)</f>
        <v>2117.65</v>
      </c>
    </row>
    <row r="38" spans="2:8" x14ac:dyDescent="0.25">
      <c r="B38" s="25" t="s">
        <v>212</v>
      </c>
      <c r="E38" s="52">
        <f>SUM(E35:E37)</f>
        <v>12858</v>
      </c>
      <c r="G38" s="19">
        <f>SUM(G35:G37)</f>
        <v>15127.06</v>
      </c>
      <c r="H38" s="19">
        <f>IFERROR(G38-E38,0)</f>
        <v>2269.0599999999995</v>
      </c>
    </row>
    <row r="40" spans="1:1" s="32" customFormat="1" x14ac:dyDescent="0.25">
      <c r="A40" s="40" t="s">
        <v>61</v>
      </c>
    </row>
    <row r="41" spans="1:8" x14ac:dyDescent="0.25">
      <c r="A41" t="s">
        <v>209</v>
      </c>
      <c r="B41" t="s">
        <v>210</v>
      </c>
      <c r="C41" s="64">
        <v>450</v>
      </c>
      <c r="D41" s="48">
        <v>1</v>
      </c>
      <c r="E41" s="19">
        <f>C41*D41</f>
        <v>450</v>
      </c>
      <c r="F41" s="20">
        <v>0.15</v>
      </c>
      <c r="G41" s="19">
        <f>IFERROR(E41/(1-F41),0)</f>
        <v>529.41</v>
      </c>
      <c r="H41" s="19">
        <f>IFERROR(G41-E41,0)</f>
        <v>79.41</v>
      </c>
    </row>
    <row r="42" spans="1:8" x14ac:dyDescent="0.25">
      <c r="A42" s="32" t="s">
        <v>209</v>
      </c>
      <c r="B42" s="32" t="s">
        <v>211</v>
      </c>
      <c r="C42" s="63">
        <v>216</v>
      </c>
      <c r="D42" s="42">
        <v>1</v>
      </c>
      <c r="E42" s="33">
        <f>C42*D42</f>
        <v>216</v>
      </c>
      <c r="F42" s="67">
        <v>0.15</v>
      </c>
      <c r="G42" s="33">
        <f>IFERROR(E42/(1-F42),0)</f>
        <v>254.12</v>
      </c>
      <c r="H42" s="33">
        <f>IFERROR(G42-E42,0)</f>
        <v>38.12</v>
      </c>
    </row>
    <row r="43" spans="1:8" x14ac:dyDescent="0.25">
      <c r="A43" t="s">
        <v>209</v>
      </c>
      <c r="B43" t="s">
        <v>213</v>
      </c>
      <c r="C43" s="64">
        <v>12000</v>
      </c>
      <c r="D43" s="48">
        <v>1</v>
      </c>
      <c r="E43" s="19">
        <f>C43*D43</f>
        <v>12000</v>
      </c>
      <c r="F43" s="20">
        <v>0.15</v>
      </c>
      <c r="G43" s="19">
        <f>IFERROR(E43/(1-F43),0)</f>
        <v>14117.65</v>
      </c>
      <c r="H43" s="19">
        <f>IFERROR(G43-E43,0)</f>
        <v>2117.65</v>
      </c>
    </row>
    <row r="44" spans="2:8" x14ac:dyDescent="0.25">
      <c r="B44" s="25" t="s">
        <v>212</v>
      </c>
      <c r="E44" s="52">
        <f>SUM(E41:E43)</f>
        <v>12666</v>
      </c>
      <c r="G44" s="19">
        <f>SUM(G41:G43)</f>
        <v>14901.18</v>
      </c>
      <c r="H44" s="19">
        <f>IFERROR(G44-E44,0)</f>
        <v>2235.1800000000003</v>
      </c>
    </row>
    <row r="46" spans="1:1" s="32" customFormat="1" x14ac:dyDescent="0.25">
      <c r="A46" s="40" t="s">
        <v>62</v>
      </c>
    </row>
    <row r="47" spans="1:8" x14ac:dyDescent="0.25">
      <c r="A47" t="s">
        <v>209</v>
      </c>
      <c r="B47" t="s">
        <v>210</v>
      </c>
      <c r="C47" s="64">
        <v>450</v>
      </c>
      <c r="D47" s="48">
        <v>1</v>
      </c>
      <c r="E47" s="19">
        <f>C47*D47</f>
        <v>450</v>
      </c>
      <c r="F47" s="20">
        <v>0.15</v>
      </c>
      <c r="G47" s="19">
        <f>IFERROR(E47/(1-F47),0)</f>
        <v>529.41</v>
      </c>
      <c r="H47" s="19">
        <f>IFERROR(G47-E47,0)</f>
        <v>79.41</v>
      </c>
    </row>
    <row r="48" spans="1:8" x14ac:dyDescent="0.25">
      <c r="A48" s="32" t="s">
        <v>209</v>
      </c>
      <c r="B48" s="32" t="s">
        <v>211</v>
      </c>
      <c r="C48" s="63">
        <v>408</v>
      </c>
      <c r="D48" s="42">
        <v>1</v>
      </c>
      <c r="E48" s="33">
        <f>C48*D48</f>
        <v>408</v>
      </c>
      <c r="F48" s="67">
        <v>0.15</v>
      </c>
      <c r="G48" s="33">
        <f>IFERROR(E48/(1-F48),0)</f>
        <v>480</v>
      </c>
      <c r="H48" s="33">
        <f>IFERROR(G48-E48,0)</f>
        <v>72</v>
      </c>
    </row>
    <row r="49" spans="1:8" x14ac:dyDescent="0.25">
      <c r="A49" t="s">
        <v>209</v>
      </c>
      <c r="B49" t="s">
        <v>213</v>
      </c>
      <c r="C49" s="64">
        <v>12000</v>
      </c>
      <c r="D49" s="48">
        <v>1</v>
      </c>
      <c r="E49" s="19">
        <f>C49*D49</f>
        <v>12000</v>
      </c>
      <c r="F49" s="20">
        <v>0.15</v>
      </c>
      <c r="G49" s="19">
        <f>IFERROR(E49/(1-F49),0)</f>
        <v>14117.65</v>
      </c>
      <c r="H49" s="19">
        <f>IFERROR(G49-E49,0)</f>
        <v>2117.65</v>
      </c>
    </row>
    <row r="50" spans="2:8" x14ac:dyDescent="0.25">
      <c r="B50" s="25" t="s">
        <v>212</v>
      </c>
      <c r="E50" s="52">
        <f>SUM(E47:E49)</f>
        <v>12858</v>
      </c>
      <c r="G50" s="19">
        <f>SUM(G47:G49)</f>
        <v>15127.06</v>
      </c>
      <c r="H50" s="19">
        <f>IFERROR(G50-E50,0)</f>
        <v>2269.0599999999995</v>
      </c>
    </row>
    <row r="52" spans="1:1" s="32" customFormat="1" x14ac:dyDescent="0.25">
      <c r="A52" s="40" t="s">
        <v>63</v>
      </c>
    </row>
    <row r="53" spans="1:8" x14ac:dyDescent="0.25">
      <c r="A53" t="s">
        <v>209</v>
      </c>
      <c r="B53" t="s">
        <v>210</v>
      </c>
      <c r="C53" s="64">
        <v>450</v>
      </c>
      <c r="D53" s="48">
        <v>1</v>
      </c>
      <c r="E53" s="19">
        <f>C53*D53</f>
        <v>450</v>
      </c>
      <c r="F53" s="20">
        <v>0.15</v>
      </c>
      <c r="G53" s="19">
        <f>IFERROR(E53/(1-F53),0)</f>
        <v>529.41</v>
      </c>
      <c r="H53" s="19">
        <f>IFERROR(G53-E53,0)</f>
        <v>79.41</v>
      </c>
    </row>
    <row r="54" spans="1:8" x14ac:dyDescent="0.25">
      <c r="A54" s="32" t="s">
        <v>209</v>
      </c>
      <c r="B54" s="32" t="s">
        <v>211</v>
      </c>
      <c r="C54" s="63">
        <v>57.6</v>
      </c>
      <c r="D54" s="42">
        <v>1</v>
      </c>
      <c r="E54" s="33">
        <f>C54*D54</f>
        <v>57.6</v>
      </c>
      <c r="F54" s="67">
        <v>0.15</v>
      </c>
      <c r="G54" s="33">
        <f>IFERROR(E54/(1-F54),0)</f>
        <v>67.76</v>
      </c>
      <c r="H54" s="33">
        <f>IFERROR(G54-E54,0)</f>
        <v>10.16</v>
      </c>
    </row>
    <row r="55" spans="2:8" x14ac:dyDescent="0.25">
      <c r="B55" s="25" t="s">
        <v>212</v>
      </c>
      <c r="E55" s="52">
        <f>SUM(E53:E54)</f>
        <v>507.6</v>
      </c>
      <c r="G55" s="19">
        <f>SUM(G53:G54)</f>
        <v>597.17</v>
      </c>
      <c r="H55" s="19">
        <f>IFERROR(G55-E55,0)</f>
        <v>89.56999999999996</v>
      </c>
    </row>
    <row r="57" spans="1:1" s="32" customFormat="1" x14ac:dyDescent="0.25">
      <c r="A57" s="40" t="s">
        <v>64</v>
      </c>
    </row>
    <row r="58" spans="1:8" x14ac:dyDescent="0.25">
      <c r="A58" s="32" t="s">
        <v>209</v>
      </c>
      <c r="B58" s="32" t="s">
        <v>210</v>
      </c>
      <c r="C58" s="63">
        <v>450</v>
      </c>
      <c r="D58" s="42">
        <v>1</v>
      </c>
      <c r="E58" s="33">
        <f>C58*D58</f>
        <v>450</v>
      </c>
      <c r="F58" s="67">
        <v>0.15</v>
      </c>
      <c r="G58" s="33">
        <f>IFERROR(E58/(1-F58),0)</f>
        <v>529.41</v>
      </c>
      <c r="H58" s="33">
        <f>IFERROR(G58-E58,0)</f>
        <v>79.41</v>
      </c>
    </row>
    <row r="59" spans="1:8" x14ac:dyDescent="0.25">
      <c r="A59" t="s">
        <v>209</v>
      </c>
      <c r="B59" t="s">
        <v>211</v>
      </c>
      <c r="C59" s="64">
        <v>192</v>
      </c>
      <c r="D59" s="48">
        <v>1</v>
      </c>
      <c r="E59" s="19">
        <f>C59*D59</f>
        <v>192</v>
      </c>
      <c r="F59" s="20">
        <v>0.15</v>
      </c>
      <c r="G59" s="19">
        <f>IFERROR(E59/(1-F59),0)</f>
        <v>225.88</v>
      </c>
      <c r="H59" s="19">
        <f>IFERROR(G59-E59,0)</f>
        <v>33.88</v>
      </c>
    </row>
    <row r="60" spans="1:8" x14ac:dyDescent="0.25">
      <c r="A60" s="32" t="s">
        <v>209</v>
      </c>
      <c r="B60" s="32" t="s">
        <v>213</v>
      </c>
      <c r="C60" s="63">
        <v>12000</v>
      </c>
      <c r="D60" s="42">
        <v>1</v>
      </c>
      <c r="E60" s="33">
        <f>C60*D60</f>
        <v>12000</v>
      </c>
      <c r="F60" s="67">
        <v>0.15</v>
      </c>
      <c r="G60" s="33">
        <f>IFERROR(E60/(1-F60),0)</f>
        <v>14117.65</v>
      </c>
      <c r="H60" s="33">
        <f>IFERROR(G60-E60,0)</f>
        <v>2117.65</v>
      </c>
    </row>
    <row r="61" spans="2:8" x14ac:dyDescent="0.25">
      <c r="B61" s="25" t="s">
        <v>212</v>
      </c>
      <c r="E61" s="52">
        <f>SUM(E58:E60)</f>
        <v>12642</v>
      </c>
      <c r="G61" s="19">
        <f>SUM(G58:G60)</f>
        <v>14872.939999999999</v>
      </c>
      <c r="H61" s="19">
        <f>IFERROR(G61-E61,0)</f>
        <v>2230.9399999999987</v>
      </c>
    </row>
    <row r="63" spans="1:1" s="32" customFormat="1" x14ac:dyDescent="0.25">
      <c r="A63" s="40" t="s">
        <v>65</v>
      </c>
    </row>
    <row r="64" spans="1:8" x14ac:dyDescent="0.25">
      <c r="A64" s="32" t="s">
        <v>209</v>
      </c>
      <c r="B64" s="32" t="s">
        <v>210</v>
      </c>
      <c r="C64" s="63">
        <v>450</v>
      </c>
      <c r="D64" s="42">
        <v>1</v>
      </c>
      <c r="E64" s="33">
        <f>C64*D64</f>
        <v>450</v>
      </c>
      <c r="F64" s="67">
        <v>0.15</v>
      </c>
      <c r="G64" s="33">
        <f>IFERROR(E64/(1-F64),0)</f>
        <v>529.41</v>
      </c>
      <c r="H64" s="33">
        <f>IFERROR(G64-E64,0)</f>
        <v>79.41</v>
      </c>
    </row>
    <row r="65" spans="1:8" x14ac:dyDescent="0.25">
      <c r="A65" t="s">
        <v>209</v>
      </c>
      <c r="B65" t="s">
        <v>211</v>
      </c>
      <c r="C65" s="64">
        <v>118.8</v>
      </c>
      <c r="D65" s="48">
        <v>1</v>
      </c>
      <c r="E65" s="19">
        <f>C65*D65</f>
        <v>118.8</v>
      </c>
      <c r="F65" s="20">
        <v>0.15</v>
      </c>
      <c r="G65" s="19">
        <f>IFERROR(E65/(1-F65),0)</f>
        <v>139.76</v>
      </c>
      <c r="H65" s="19">
        <f>IFERROR(G65-E65,0)</f>
        <v>20.96</v>
      </c>
    </row>
    <row r="66" spans="2:8" x14ac:dyDescent="0.25">
      <c r="B66" s="25" t="s">
        <v>212</v>
      </c>
      <c r="E66" s="52">
        <f>SUM(E64:E65)</f>
        <v>568.8</v>
      </c>
      <c r="G66" s="19">
        <f>SUM(G64:G65)</f>
        <v>669.17</v>
      </c>
      <c r="H66" s="19">
        <f>IFERROR(G66-E66,0)</f>
        <v>100.36999999999996</v>
      </c>
    </row>
    <row r="68" spans="1:1" s="32" customFormat="1" x14ac:dyDescent="0.25">
      <c r="A68" s="40" t="s">
        <v>65</v>
      </c>
    </row>
    <row r="69" spans="1:8" x14ac:dyDescent="0.25">
      <c r="A69" t="s">
        <v>209</v>
      </c>
      <c r="B69" t="s">
        <v>210</v>
      </c>
      <c r="C69" s="64">
        <v>450</v>
      </c>
      <c r="D69" s="48">
        <v>1</v>
      </c>
      <c r="E69" s="19">
        <f>C69*D69</f>
        <v>450</v>
      </c>
      <c r="F69" s="20">
        <v>0.15</v>
      </c>
      <c r="G69" s="19">
        <f>IFERROR(E69/(1-F69),0)</f>
        <v>529.41</v>
      </c>
      <c r="H69" s="19">
        <f>IFERROR(G69-E69,0)</f>
        <v>79.41</v>
      </c>
    </row>
    <row r="70" spans="1:8" x14ac:dyDescent="0.25">
      <c r="A70" s="32" t="s">
        <v>209</v>
      </c>
      <c r="B70" s="32" t="s">
        <v>211</v>
      </c>
      <c r="C70" s="63">
        <v>36.1</v>
      </c>
      <c r="D70" s="42">
        <v>1</v>
      </c>
      <c r="E70" s="33">
        <f>C70*D70</f>
        <v>36.1</v>
      </c>
      <c r="F70" s="67">
        <v>0.15</v>
      </c>
      <c r="G70" s="33">
        <f>IFERROR(E70/(1-F70),0)</f>
        <v>42.47</v>
      </c>
      <c r="H70" s="33">
        <f>IFERROR(G70-E70,0)</f>
        <v>6.37</v>
      </c>
    </row>
    <row r="71" spans="2:8" x14ac:dyDescent="0.25">
      <c r="B71" s="25" t="s">
        <v>212</v>
      </c>
      <c r="E71" s="52">
        <f>SUM(E69:E70)</f>
        <v>486.1</v>
      </c>
      <c r="G71" s="19">
        <f>SUM(G69:G70)</f>
        <v>571.88</v>
      </c>
      <c r="H71" s="19">
        <f>IFERROR(G71-E71,0)</f>
        <v>85.77999999999997</v>
      </c>
    </row>
    <row r="73" spans="1:1" s="32" customFormat="1" x14ac:dyDescent="0.25">
      <c r="A73" s="40" t="s">
        <v>65</v>
      </c>
    </row>
    <row r="74" spans="1:8" x14ac:dyDescent="0.25">
      <c r="A74" s="32" t="s">
        <v>209</v>
      </c>
      <c r="B74" s="32" t="s">
        <v>210</v>
      </c>
      <c r="C74" s="63">
        <v>450</v>
      </c>
      <c r="D74" s="42">
        <v>1</v>
      </c>
      <c r="E74" s="33">
        <f>C74*D74</f>
        <v>450</v>
      </c>
      <c r="F74" s="67">
        <v>0.15</v>
      </c>
      <c r="G74" s="33">
        <f>IFERROR(E74/(1-F74),0)</f>
        <v>529.41</v>
      </c>
      <c r="H74" s="33">
        <f>IFERROR(G74-E74,0)</f>
        <v>79.41</v>
      </c>
    </row>
    <row r="75" spans="1:8" x14ac:dyDescent="0.25">
      <c r="A75" t="s">
        <v>209</v>
      </c>
      <c r="B75" t="s">
        <v>211</v>
      </c>
      <c r="C75" s="64">
        <v>39.6</v>
      </c>
      <c r="D75" s="48">
        <v>1</v>
      </c>
      <c r="E75" s="19">
        <f>C75*D75</f>
        <v>39.6</v>
      </c>
      <c r="F75" s="20">
        <v>0.15</v>
      </c>
      <c r="G75" s="19">
        <f>IFERROR(E75/(1-F75),0)</f>
        <v>46.59</v>
      </c>
      <c r="H75" s="19">
        <f>IFERROR(G75-E75,0)</f>
        <v>6.99</v>
      </c>
    </row>
    <row r="76" spans="2:8" x14ac:dyDescent="0.25">
      <c r="B76" s="25" t="s">
        <v>212</v>
      </c>
      <c r="E76" s="52">
        <f>SUM(E74:E75)</f>
        <v>489.6</v>
      </c>
      <c r="G76" s="19">
        <f>SUM(G74:G75)</f>
        <v>576</v>
      </c>
      <c r="H76" s="19">
        <f>IFERROR(G76-E76,0)</f>
        <v>86.39999999999998</v>
      </c>
    </row>
    <row r="78" spans="1:1" s="32" customFormat="1" x14ac:dyDescent="0.25">
      <c r="A78" s="40" t="s">
        <v>65</v>
      </c>
    </row>
    <row r="79" spans="1:8" x14ac:dyDescent="0.25">
      <c r="A79" t="s">
        <v>209</v>
      </c>
      <c r="B79" t="s">
        <v>210</v>
      </c>
      <c r="C79" s="64">
        <v>450</v>
      </c>
      <c r="D79" s="48">
        <v>1</v>
      </c>
      <c r="E79" s="19">
        <f>C79*D79</f>
        <v>450</v>
      </c>
      <c r="F79" s="20">
        <v>0.15</v>
      </c>
      <c r="G79" s="19">
        <f>IFERROR(E79/(1-F79),0)</f>
        <v>529.41</v>
      </c>
      <c r="H79" s="19">
        <f>IFERROR(G79-E79,0)</f>
        <v>79.41</v>
      </c>
    </row>
    <row r="80" spans="1:8" x14ac:dyDescent="0.25">
      <c r="A80" s="32" t="s">
        <v>209</v>
      </c>
      <c r="B80" s="32" t="s">
        <v>211</v>
      </c>
      <c r="C80" s="63">
        <v>36.1</v>
      </c>
      <c r="D80" s="42">
        <v>1</v>
      </c>
      <c r="E80" s="33">
        <f>C80*D80</f>
        <v>36.1</v>
      </c>
      <c r="F80" s="67">
        <v>0.15</v>
      </c>
      <c r="G80" s="33">
        <f>IFERROR(E80/(1-F80),0)</f>
        <v>42.47</v>
      </c>
      <c r="H80" s="33">
        <f>IFERROR(G80-E80,0)</f>
        <v>6.37</v>
      </c>
    </row>
    <row r="81" spans="2:8" x14ac:dyDescent="0.25">
      <c r="B81" s="25" t="s">
        <v>212</v>
      </c>
      <c r="E81" s="52">
        <f>SUM(E79:E80)</f>
        <v>486.1</v>
      </c>
      <c r="G81" s="19">
        <f>SUM(G79:G80)</f>
        <v>571.88</v>
      </c>
      <c r="H81" s="19">
        <f>IFERROR(G81-E81,0)</f>
        <v>85.77999999999997</v>
      </c>
    </row>
    <row r="83" spans="1:1" s="32" customFormat="1" x14ac:dyDescent="0.25">
      <c r="A83" s="40" t="s">
        <v>66</v>
      </c>
    </row>
    <row r="84" spans="1:8" x14ac:dyDescent="0.25">
      <c r="A84" s="32" t="s">
        <v>209</v>
      </c>
      <c r="B84" s="32" t="s">
        <v>210</v>
      </c>
      <c r="C84" s="63">
        <v>450</v>
      </c>
      <c r="D84" s="42">
        <v>1</v>
      </c>
      <c r="E84" s="33">
        <f>C84*D84</f>
        <v>450</v>
      </c>
      <c r="F84" s="67">
        <v>0.15</v>
      </c>
      <c r="G84" s="33">
        <f>IFERROR(E84/(1-F84),0)</f>
        <v>529.41</v>
      </c>
      <c r="H84" s="33">
        <f>IFERROR(G84-E84,0)</f>
        <v>79.41</v>
      </c>
    </row>
    <row r="85" spans="1:8" x14ac:dyDescent="0.25">
      <c r="A85" t="s">
        <v>209</v>
      </c>
      <c r="B85" t="s">
        <v>211</v>
      </c>
      <c r="C85" s="64">
        <v>192</v>
      </c>
      <c r="D85" s="48">
        <v>1</v>
      </c>
      <c r="E85" s="19">
        <f>C85*D85</f>
        <v>192</v>
      </c>
      <c r="F85" s="20">
        <v>0.15</v>
      </c>
      <c r="G85" s="19">
        <f>IFERROR(E85/(1-F85),0)</f>
        <v>225.88</v>
      </c>
      <c r="H85" s="19">
        <f>IFERROR(G85-E85,0)</f>
        <v>33.88</v>
      </c>
    </row>
    <row r="86" spans="1:8" x14ac:dyDescent="0.25">
      <c r="A86" s="32" t="s">
        <v>209</v>
      </c>
      <c r="B86" s="32" t="s">
        <v>213</v>
      </c>
      <c r="C86" s="63">
        <v>12000</v>
      </c>
      <c r="D86" s="42">
        <v>1</v>
      </c>
      <c r="E86" s="33">
        <f>C86*D86</f>
        <v>12000</v>
      </c>
      <c r="F86" s="67">
        <v>0.15</v>
      </c>
      <c r="G86" s="33">
        <f>IFERROR(E86/(1-F86),0)</f>
        <v>14117.65</v>
      </c>
      <c r="H86" s="33">
        <f>IFERROR(G86-E86,0)</f>
        <v>2117.65</v>
      </c>
    </row>
    <row r="87" spans="2:8" x14ac:dyDescent="0.25">
      <c r="B87" s="25" t="s">
        <v>212</v>
      </c>
      <c r="E87" s="52">
        <f>SUM(E84:E86)</f>
        <v>12642</v>
      </c>
      <c r="G87" s="19">
        <f>SUM(G84:G86)</f>
        <v>14872.939999999999</v>
      </c>
      <c r="H87" s="19">
        <f>IFERROR(G87-E87,0)</f>
        <v>2230.9399999999987</v>
      </c>
    </row>
    <row r="89" spans="1:1" s="32" customFormat="1" x14ac:dyDescent="0.25">
      <c r="A89" s="40" t="s">
        <v>60</v>
      </c>
    </row>
    <row r="90" spans="1:8" x14ac:dyDescent="0.25">
      <c r="A90" s="32" t="s">
        <v>209</v>
      </c>
      <c r="B90" s="32" t="s">
        <v>210</v>
      </c>
      <c r="C90" s="63">
        <v>450</v>
      </c>
      <c r="D90" s="42">
        <v>1</v>
      </c>
      <c r="E90" s="33">
        <f>C90*D90</f>
        <v>450</v>
      </c>
      <c r="F90" s="67">
        <v>0.15</v>
      </c>
      <c r="G90" s="33">
        <f>IFERROR(E90/(1-F90),0)</f>
        <v>529.41</v>
      </c>
      <c r="H90" s="33">
        <f>IFERROR(G90-E90,0)</f>
        <v>79.41</v>
      </c>
    </row>
    <row r="91" spans="1:8" x14ac:dyDescent="0.25">
      <c r="A91" t="s">
        <v>209</v>
      </c>
      <c r="B91" t="s">
        <v>211</v>
      </c>
      <c r="C91" s="64">
        <v>204</v>
      </c>
      <c r="D91" s="48">
        <v>1</v>
      </c>
      <c r="E91" s="19">
        <f>C91*D91</f>
        <v>204</v>
      </c>
      <c r="F91" s="20">
        <v>0.15</v>
      </c>
      <c r="G91" s="19">
        <f>IFERROR(E91/(1-F91),0)</f>
        <v>240</v>
      </c>
      <c r="H91" s="19">
        <f>IFERROR(G91-E91,0)</f>
        <v>36</v>
      </c>
    </row>
    <row r="92" spans="1:8" x14ac:dyDescent="0.25">
      <c r="A92" s="32" t="s">
        <v>209</v>
      </c>
      <c r="B92" s="32" t="s">
        <v>213</v>
      </c>
      <c r="C92" s="63">
        <v>12000</v>
      </c>
      <c r="D92" s="42">
        <v>1</v>
      </c>
      <c r="E92" s="33">
        <f>C92*D92</f>
        <v>12000</v>
      </c>
      <c r="F92" s="67">
        <v>0.15</v>
      </c>
      <c r="G92" s="33">
        <f>IFERROR(E92/(1-F92),0)</f>
        <v>14117.65</v>
      </c>
      <c r="H92" s="33">
        <f>IFERROR(G92-E92,0)</f>
        <v>2117.65</v>
      </c>
    </row>
    <row r="93" spans="2:8" x14ac:dyDescent="0.25">
      <c r="B93" s="25" t="s">
        <v>212</v>
      </c>
      <c r="E93" s="52">
        <f>SUM(E90:E92)</f>
        <v>12654</v>
      </c>
      <c r="G93" s="19">
        <f>SUM(G90:G92)</f>
        <v>14887.06</v>
      </c>
      <c r="H93" s="19">
        <f>IFERROR(G93-E93,0)</f>
        <v>2233.0599999999995</v>
      </c>
    </row>
    <row r="95" spans="1:1" s="32" customFormat="1" x14ac:dyDescent="0.25">
      <c r="A95" s="40" t="s">
        <v>62</v>
      </c>
    </row>
    <row r="96" spans="1:8" x14ac:dyDescent="0.25">
      <c r="A96" s="32" t="s">
        <v>209</v>
      </c>
      <c r="B96" s="32" t="s">
        <v>210</v>
      </c>
      <c r="C96" s="63">
        <v>450</v>
      </c>
      <c r="D96" s="42">
        <v>1</v>
      </c>
      <c r="E96" s="33">
        <f>C96*D96</f>
        <v>450</v>
      </c>
      <c r="F96" s="67">
        <v>0.15</v>
      </c>
      <c r="G96" s="33">
        <f>IFERROR(E96/(1-F96),0)</f>
        <v>529.41</v>
      </c>
      <c r="H96" s="33">
        <f>IFERROR(G96-E96,0)</f>
        <v>79.41</v>
      </c>
    </row>
    <row r="97" spans="1:8" x14ac:dyDescent="0.25">
      <c r="A97" t="s">
        <v>209</v>
      </c>
      <c r="B97" t="s">
        <v>211</v>
      </c>
      <c r="C97" s="64">
        <v>204</v>
      </c>
      <c r="D97" s="48">
        <v>1</v>
      </c>
      <c r="E97" s="19">
        <f>C97*D97</f>
        <v>204</v>
      </c>
      <c r="F97" s="20">
        <v>0.15</v>
      </c>
      <c r="G97" s="19">
        <f>IFERROR(E97/(1-F97),0)</f>
        <v>240</v>
      </c>
      <c r="H97" s="19">
        <f>IFERROR(G97-E97,0)</f>
        <v>36</v>
      </c>
    </row>
    <row r="98" spans="1:8" x14ac:dyDescent="0.25">
      <c r="A98" s="32" t="s">
        <v>209</v>
      </c>
      <c r="B98" s="32" t="s">
        <v>213</v>
      </c>
      <c r="C98" s="63">
        <v>12000</v>
      </c>
      <c r="D98" s="42">
        <v>1</v>
      </c>
      <c r="E98" s="33">
        <f>C98*D98</f>
        <v>12000</v>
      </c>
      <c r="F98" s="67">
        <v>0.15</v>
      </c>
      <c r="G98" s="33">
        <f>IFERROR(E98/(1-F98),0)</f>
        <v>14117.65</v>
      </c>
      <c r="H98" s="33">
        <f>IFERROR(G98-E98,0)</f>
        <v>2117.65</v>
      </c>
    </row>
    <row r="99" spans="2:8" x14ac:dyDescent="0.25">
      <c r="B99" s="25" t="s">
        <v>212</v>
      </c>
      <c r="E99" s="52">
        <f>SUM(E96:E98)</f>
        <v>12654</v>
      </c>
      <c r="G99" s="19">
        <f>SUM(G96:G98)</f>
        <v>14887.06</v>
      </c>
      <c r="H99" s="19">
        <f>IFERROR(G99-E99,0)</f>
        <v>2233.0599999999995</v>
      </c>
    </row>
    <row r="101" spans="1:1" s="32" customFormat="1" x14ac:dyDescent="0.25">
      <c r="A101" s="40" t="s">
        <v>65</v>
      </c>
    </row>
    <row r="102" spans="1:8" x14ac:dyDescent="0.25">
      <c r="A102" s="32" t="s">
        <v>209</v>
      </c>
      <c r="B102" s="32" t="s">
        <v>210</v>
      </c>
      <c r="C102" s="63">
        <v>450</v>
      </c>
      <c r="D102" s="42">
        <v>1</v>
      </c>
      <c r="E102" s="33">
        <f>C102*D102</f>
        <v>450</v>
      </c>
      <c r="F102" s="67">
        <v>0.15</v>
      </c>
      <c r="G102" s="33">
        <f>IFERROR(E102/(1-F102),0)</f>
        <v>529.41</v>
      </c>
      <c r="H102" s="33">
        <f>IFERROR(G102-E102,0)</f>
        <v>79.41</v>
      </c>
    </row>
    <row r="103" spans="1:8" x14ac:dyDescent="0.25">
      <c r="A103" t="s">
        <v>209</v>
      </c>
      <c r="B103" t="s">
        <v>211</v>
      </c>
      <c r="C103" s="64">
        <v>39.6</v>
      </c>
      <c r="D103" s="48">
        <v>1</v>
      </c>
      <c r="E103" s="19">
        <f>C103*D103</f>
        <v>39.6</v>
      </c>
      <c r="F103" s="20">
        <v>0.15</v>
      </c>
      <c r="G103" s="19">
        <f>IFERROR(E103/(1-F103),0)</f>
        <v>46.59</v>
      </c>
      <c r="H103" s="19">
        <f>IFERROR(G103-E103,0)</f>
        <v>6.99</v>
      </c>
    </row>
    <row r="104" spans="2:8" x14ac:dyDescent="0.25">
      <c r="B104" s="25" t="s">
        <v>212</v>
      </c>
      <c r="E104" s="52">
        <f>SUM(E102:E103)</f>
        <v>489.6</v>
      </c>
      <c r="G104" s="19">
        <f>SUM(G102:G103)</f>
        <v>576</v>
      </c>
      <c r="H104" s="19">
        <f>IFERROR(G104-E104,0)</f>
        <v>86.39999999999998</v>
      </c>
    </row>
    <row r="106" spans="1:1" s="32" customFormat="1" x14ac:dyDescent="0.25">
      <c r="A106" s="40" t="s">
        <v>65</v>
      </c>
    </row>
    <row r="107" spans="1:8" x14ac:dyDescent="0.25">
      <c r="A107" t="s">
        <v>209</v>
      </c>
      <c r="B107" t="s">
        <v>210</v>
      </c>
      <c r="C107" s="64">
        <v>450</v>
      </c>
      <c r="D107" s="48">
        <v>1</v>
      </c>
      <c r="E107" s="19">
        <f>C107*D107</f>
        <v>450</v>
      </c>
      <c r="F107" s="20">
        <v>0.15</v>
      </c>
      <c r="G107" s="19">
        <f>IFERROR(E107/(1-F107),0)</f>
        <v>529.41</v>
      </c>
      <c r="H107" s="19">
        <f>IFERROR(G107-E107,0)</f>
        <v>79.41</v>
      </c>
    </row>
    <row r="108" spans="1:8" x14ac:dyDescent="0.25">
      <c r="A108" s="32" t="s">
        <v>209</v>
      </c>
      <c r="B108" s="32" t="s">
        <v>211</v>
      </c>
      <c r="C108" s="63">
        <v>139.2</v>
      </c>
      <c r="D108" s="42">
        <v>1</v>
      </c>
      <c r="E108" s="33">
        <f>C108*D108</f>
        <v>139.2</v>
      </c>
      <c r="F108" s="67">
        <v>0.15</v>
      </c>
      <c r="G108" s="33">
        <f>IFERROR(E108/(1-F108),0)</f>
        <v>163.76</v>
      </c>
      <c r="H108" s="33">
        <f>IFERROR(G108-E108,0)</f>
        <v>24.56</v>
      </c>
    </row>
    <row r="109" spans="2:8" x14ac:dyDescent="0.25">
      <c r="B109" s="25" t="s">
        <v>212</v>
      </c>
      <c r="E109" s="52">
        <f>SUM(E107:E108)</f>
        <v>589.2</v>
      </c>
      <c r="G109" s="19">
        <f>SUM(G107:G108)</f>
        <v>693.17</v>
      </c>
      <c r="H109" s="19">
        <f>IFERROR(G109-E109,0)</f>
        <v>103.96999999999997</v>
      </c>
    </row>
    <row r="111" spans="1:1" s="32" customFormat="1" x14ac:dyDescent="0.25">
      <c r="A111" s="40" t="s">
        <v>65</v>
      </c>
    </row>
    <row r="112" spans="1:8" x14ac:dyDescent="0.25">
      <c r="A112" s="32" t="s">
        <v>209</v>
      </c>
      <c r="B112" s="32" t="s">
        <v>210</v>
      </c>
      <c r="C112" s="63">
        <v>450</v>
      </c>
      <c r="D112" s="42">
        <v>1</v>
      </c>
      <c r="E112" s="33">
        <f>C112*D112</f>
        <v>450</v>
      </c>
      <c r="F112" s="67">
        <v>0.15</v>
      </c>
      <c r="G112" s="33">
        <f>IFERROR(E112/(1-F112),0)</f>
        <v>529.41</v>
      </c>
      <c r="H112" s="33">
        <f>IFERROR(G112-E112,0)</f>
        <v>79.41</v>
      </c>
    </row>
    <row r="113" spans="1:8" x14ac:dyDescent="0.25">
      <c r="A113" t="s">
        <v>209</v>
      </c>
      <c r="B113" t="s">
        <v>211</v>
      </c>
      <c r="C113" s="64">
        <v>91.26</v>
      </c>
      <c r="D113" s="48">
        <v>1</v>
      </c>
      <c r="E113" s="19">
        <f>C113*D113</f>
        <v>91.26</v>
      </c>
      <c r="F113" s="20">
        <v>0.15</v>
      </c>
      <c r="G113" s="19">
        <f>IFERROR(E113/(1-F113),0)</f>
        <v>107.36</v>
      </c>
      <c r="H113" s="19">
        <f>IFERROR(G113-E113,0)</f>
        <v>16.1</v>
      </c>
    </row>
    <row r="114" spans="2:8" x14ac:dyDescent="0.25">
      <c r="B114" s="25" t="s">
        <v>212</v>
      </c>
      <c r="E114" s="52">
        <f>SUM(E112:E113)</f>
        <v>541.26</v>
      </c>
      <c r="G114" s="19">
        <f>SUM(G112:G113)</f>
        <v>636.77</v>
      </c>
      <c r="H114" s="19">
        <f>IFERROR(G114-E114,0)</f>
        <v>95.50999999999998</v>
      </c>
    </row>
    <row r="116" spans="1:1" s="32" customFormat="1" x14ac:dyDescent="0.25">
      <c r="A116" s="40" t="s">
        <v>63</v>
      </c>
    </row>
    <row r="117" spans="1:8" x14ac:dyDescent="0.25">
      <c r="A117" t="s">
        <v>209</v>
      </c>
      <c r="B117" t="s">
        <v>210</v>
      </c>
      <c r="C117" s="64">
        <v>450</v>
      </c>
      <c r="D117" s="48">
        <v>1</v>
      </c>
      <c r="E117" s="19">
        <f>C117*D117</f>
        <v>450</v>
      </c>
      <c r="F117" s="20">
        <v>0.15</v>
      </c>
      <c r="G117" s="19">
        <f>IFERROR(E117/(1-F117),0)</f>
        <v>529.41</v>
      </c>
      <c r="H117" s="19">
        <f>IFERROR(G117-E117,0)</f>
        <v>79.41</v>
      </c>
    </row>
    <row r="118" spans="1:8" x14ac:dyDescent="0.25">
      <c r="A118" s="32" t="s">
        <v>209</v>
      </c>
      <c r="B118" s="32" t="s">
        <v>211</v>
      </c>
      <c r="C118" s="63">
        <v>14.4</v>
      </c>
      <c r="D118" s="42">
        <v>1</v>
      </c>
      <c r="E118" s="33">
        <f>C118*D118</f>
        <v>14.4</v>
      </c>
      <c r="F118" s="67">
        <v>0.15</v>
      </c>
      <c r="G118" s="33">
        <f>IFERROR(E118/(1-F118),0)</f>
        <v>16.94</v>
      </c>
      <c r="H118" s="33">
        <f>IFERROR(G118-E118,0)</f>
        <v>2.54</v>
      </c>
    </row>
    <row r="119" spans="2:8" x14ac:dyDescent="0.25">
      <c r="B119" s="25" t="s">
        <v>212</v>
      </c>
      <c r="E119" s="52">
        <f>SUM(E117:E118)</f>
        <v>464.4</v>
      </c>
      <c r="G119" s="19">
        <f>SUM(G117:G118)</f>
        <v>546.35</v>
      </c>
      <c r="H119" s="19">
        <f>IFERROR(G119-E119,0)</f>
        <v>81.94999999999996</v>
      </c>
    </row>
    <row r="121" spans="1:1" s="32" customFormat="1" x14ac:dyDescent="0.25">
      <c r="A121" s="40" t="s">
        <v>63</v>
      </c>
    </row>
    <row r="122" spans="1:8" x14ac:dyDescent="0.25">
      <c r="A122" s="32" t="s">
        <v>209</v>
      </c>
      <c r="B122" s="32" t="s">
        <v>210</v>
      </c>
      <c r="C122" s="63">
        <v>450</v>
      </c>
      <c r="D122" s="42">
        <v>1</v>
      </c>
      <c r="E122" s="33">
        <f>C122*D122</f>
        <v>450</v>
      </c>
      <c r="F122" s="67">
        <v>0.15</v>
      </c>
      <c r="G122" s="33">
        <f>IFERROR(E122/(1-F122),0)</f>
        <v>529.41</v>
      </c>
      <c r="H122" s="33">
        <f>IFERROR(G122-E122,0)</f>
        <v>79.41</v>
      </c>
    </row>
    <row r="123" spans="1:8" x14ac:dyDescent="0.25">
      <c r="A123" t="s">
        <v>209</v>
      </c>
      <c r="B123" t="s">
        <v>211</v>
      </c>
      <c r="C123" s="64">
        <v>14.4</v>
      </c>
      <c r="D123" s="48">
        <v>1</v>
      </c>
      <c r="E123" s="19">
        <f>C123*D123</f>
        <v>14.4</v>
      </c>
      <c r="F123" s="20">
        <v>0.15</v>
      </c>
      <c r="G123" s="19">
        <f>IFERROR(E123/(1-F123),0)</f>
        <v>16.94</v>
      </c>
      <c r="H123" s="19">
        <f>IFERROR(G123-E123,0)</f>
        <v>2.54</v>
      </c>
    </row>
    <row r="124" spans="2:8" x14ac:dyDescent="0.25">
      <c r="B124" s="25" t="s">
        <v>212</v>
      </c>
      <c r="E124" s="52">
        <f>SUM(E122:E123)</f>
        <v>464.4</v>
      </c>
      <c r="G124" s="19">
        <f>SUM(G122:G123)</f>
        <v>546.35</v>
      </c>
      <c r="H124" s="19">
        <f>IFERROR(G124-E124,0)</f>
        <v>81.94999999999996</v>
      </c>
    </row>
    <row r="126" spans="1:1" s="32" customFormat="1" x14ac:dyDescent="0.25">
      <c r="A126" s="40" t="s">
        <v>63</v>
      </c>
    </row>
    <row r="127" spans="1:8" x14ac:dyDescent="0.25">
      <c r="A127" t="s">
        <v>209</v>
      </c>
      <c r="B127" t="s">
        <v>210</v>
      </c>
      <c r="C127" s="64">
        <v>450</v>
      </c>
      <c r="D127" s="48">
        <v>1</v>
      </c>
      <c r="E127" s="19">
        <f>C127*D127</f>
        <v>450</v>
      </c>
      <c r="F127" s="20">
        <v>0.15</v>
      </c>
      <c r="G127" s="19">
        <f>IFERROR(E127/(1-F127),0)</f>
        <v>529.41</v>
      </c>
      <c r="H127" s="19">
        <f>IFERROR(G127-E127,0)</f>
        <v>79.41</v>
      </c>
    </row>
    <row r="128" spans="1:8" x14ac:dyDescent="0.25">
      <c r="A128" s="32" t="s">
        <v>209</v>
      </c>
      <c r="B128" s="32" t="s">
        <v>211</v>
      </c>
      <c r="C128" s="63">
        <v>14.4</v>
      </c>
      <c r="D128" s="42">
        <v>1</v>
      </c>
      <c r="E128" s="33">
        <f>C128*D128</f>
        <v>14.4</v>
      </c>
      <c r="F128" s="67">
        <v>0.15</v>
      </c>
      <c r="G128" s="33">
        <f>IFERROR(E128/(1-F128),0)</f>
        <v>16.94</v>
      </c>
      <c r="H128" s="33">
        <f>IFERROR(G128-E128,0)</f>
        <v>2.54</v>
      </c>
    </row>
    <row r="129" spans="2:8" x14ac:dyDescent="0.25">
      <c r="B129" s="25" t="s">
        <v>212</v>
      </c>
      <c r="E129" s="52">
        <f>SUM(E127:E128)</f>
        <v>464.4</v>
      </c>
      <c r="G129" s="19">
        <f>SUM(G127:G128)</f>
        <v>546.35</v>
      </c>
      <c r="H129" s="19">
        <f>IFERROR(G129-E129,0)</f>
        <v>81.94999999999996</v>
      </c>
    </row>
    <row r="131" spans="1:1" s="32" customFormat="1" x14ac:dyDescent="0.25">
      <c r="A131" s="40" t="s">
        <v>64</v>
      </c>
    </row>
    <row r="132" spans="1:8" x14ac:dyDescent="0.25">
      <c r="A132" s="32" t="s">
        <v>209</v>
      </c>
      <c r="B132" s="32" t="s">
        <v>210</v>
      </c>
      <c r="C132" s="63">
        <v>450</v>
      </c>
      <c r="D132" s="42">
        <v>1</v>
      </c>
      <c r="E132" s="33">
        <f>C132*D132</f>
        <v>450</v>
      </c>
      <c r="F132" s="67">
        <v>0.15</v>
      </c>
      <c r="G132" s="33">
        <f>IFERROR(E132/(1-F132),0)</f>
        <v>529.41</v>
      </c>
      <c r="H132" s="33">
        <f>IFERROR(G132-E132,0)</f>
        <v>79.41</v>
      </c>
    </row>
    <row r="133" spans="1:8" x14ac:dyDescent="0.25">
      <c r="A133" t="s">
        <v>209</v>
      </c>
      <c r="B133" t="s">
        <v>211</v>
      </c>
      <c r="C133" s="64">
        <v>96</v>
      </c>
      <c r="D133" s="48">
        <v>1</v>
      </c>
      <c r="E133" s="19">
        <f>C133*D133</f>
        <v>96</v>
      </c>
      <c r="F133" s="20">
        <v>0.15</v>
      </c>
      <c r="G133" s="19">
        <f>IFERROR(E133/(1-F133),0)</f>
        <v>112.94</v>
      </c>
      <c r="H133" s="19">
        <f>IFERROR(G133-E133,0)</f>
        <v>16.94</v>
      </c>
    </row>
    <row r="134" spans="2:8" x14ac:dyDescent="0.25">
      <c r="B134" s="25" t="s">
        <v>212</v>
      </c>
      <c r="E134" s="52">
        <f>SUM(E132:E133)</f>
        <v>546</v>
      </c>
      <c r="G134" s="19">
        <f>SUM(G132:G133)</f>
        <v>642.3499999999999</v>
      </c>
      <c r="H134" s="19">
        <f>IFERROR(G134-E134,0)</f>
        <v>96.34999999999997</v>
      </c>
    </row>
    <row r="136" spans="1:1" s="32" customFormat="1" x14ac:dyDescent="0.25">
      <c r="A136" s="40" t="s">
        <v>66</v>
      </c>
    </row>
    <row r="137" spans="1:8" x14ac:dyDescent="0.25">
      <c r="A137" t="s">
        <v>209</v>
      </c>
      <c r="B137" t="s">
        <v>210</v>
      </c>
      <c r="C137" s="64">
        <v>450</v>
      </c>
      <c r="D137" s="48">
        <v>1</v>
      </c>
      <c r="E137" s="19">
        <f>C137*D137</f>
        <v>450</v>
      </c>
      <c r="F137" s="20">
        <v>0.15</v>
      </c>
      <c r="G137" s="19">
        <f>IFERROR(E137/(1-F137),0)</f>
        <v>529.41</v>
      </c>
      <c r="H137" s="19">
        <f>IFERROR(G137-E137,0)</f>
        <v>79.41</v>
      </c>
    </row>
    <row r="138" spans="1:8" x14ac:dyDescent="0.25">
      <c r="A138" s="32" t="s">
        <v>209</v>
      </c>
      <c r="B138" s="32" t="s">
        <v>211</v>
      </c>
      <c r="C138" s="63">
        <v>96</v>
      </c>
      <c r="D138" s="42">
        <v>1</v>
      </c>
      <c r="E138" s="33">
        <f>C138*D138</f>
        <v>96</v>
      </c>
      <c r="F138" s="67">
        <v>0.15</v>
      </c>
      <c r="G138" s="33">
        <f>IFERROR(E138/(1-F138),0)</f>
        <v>112.94</v>
      </c>
      <c r="H138" s="33">
        <f>IFERROR(G138-E138,0)</f>
        <v>16.94</v>
      </c>
    </row>
    <row r="139" spans="2:8" x14ac:dyDescent="0.25">
      <c r="B139" s="25" t="s">
        <v>212</v>
      </c>
      <c r="E139" s="52">
        <f>SUM(E137:E138)</f>
        <v>546</v>
      </c>
      <c r="G139" s="19">
        <f>SUM(G137:G138)</f>
        <v>642.3499999999999</v>
      </c>
      <c r="H139" s="19">
        <f>IFERROR(G139-E139,0)</f>
        <v>96.34999999999997</v>
      </c>
    </row>
    <row r="141" spans="1:8" x14ac:dyDescent="0.25">
      <c r="A141" s="27" t="s">
        <v>214</v>
      </c>
      <c r="B141" s="27"/>
      <c r="C141" s="27"/>
      <c r="D141" s="27"/>
      <c r="E141" s="68">
        <f>E10+E15+E20+E26+E32+E38+E44+E50+E55+E61+E66+E71+E76+E81+E87+E93+E99+E104+E109+E114+E119+E124+E129+E134+E139</f>
        <v>139195.39</v>
      </c>
      <c r="F141" s="27"/>
      <c r="G141" s="68">
        <f>G10+G15+G20+G26+G32+G38+G44+G50+G55+G61+G66+G71+G76+G81+G87+G93+G99+G104+G109+G114+G119+G124+G129+G134+G139</f>
        <v>163759.28000000003</v>
      </c>
      <c r="H141" s="68">
        <f>IFERROR(G141-E141,0)</f>
        <v>24563.890000000014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215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38</v>
      </c>
      <c r="B4" s="3" t="s">
        <v>216</v>
      </c>
      <c r="C4" s="3" t="s">
        <v>40</v>
      </c>
      <c r="D4" s="3" t="s">
        <v>217</v>
      </c>
      <c r="E4" s="3" t="s">
        <v>32</v>
      </c>
    </row>
    <row r="5" spans="1:7" x14ac:dyDescent="0.25">
      <c r="A5" s="32"/>
      <c r="B5" s="32" t="s">
        <v>218</v>
      </c>
      <c r="C5" s="33">
        <v>300</v>
      </c>
      <c r="D5" s="69">
        <v>0</v>
      </c>
      <c r="E5" s="33">
        <v>0</v>
      </c>
      <c r="G5" s="70" t="s">
        <v>38</v>
      </c>
    </row>
    <row r="6" spans="2:7" x14ac:dyDescent="0.25">
      <c r="B6" t="s">
        <v>219</v>
      </c>
      <c r="C6" s="19">
        <v>1000</v>
      </c>
      <c r="D6" s="71">
        <v>0</v>
      </c>
      <c r="E6" s="19">
        <v>0</v>
      </c>
      <c r="G6" s="70" t="s">
        <v>38</v>
      </c>
    </row>
    <row r="7" spans="1:7" x14ac:dyDescent="0.25">
      <c r="A7" s="32"/>
      <c r="B7" s="32" t="s">
        <v>220</v>
      </c>
      <c r="C7" s="33">
        <v>125</v>
      </c>
      <c r="D7" s="69">
        <v>0</v>
      </c>
      <c r="E7" s="33">
        <v>0</v>
      </c>
      <c r="G7" s="70" t="s">
        <v>38</v>
      </c>
    </row>
    <row r="8" spans="2:7" x14ac:dyDescent="0.25">
      <c r="B8" t="s">
        <v>221</v>
      </c>
      <c r="C8" s="19">
        <v>100</v>
      </c>
      <c r="D8" s="71">
        <v>0</v>
      </c>
      <c r="E8" s="19">
        <v>0</v>
      </c>
      <c r="G8" s="70" t="s">
        <v>38</v>
      </c>
    </row>
    <row r="9" spans="1:7" x14ac:dyDescent="0.25">
      <c r="A9" s="32"/>
      <c r="B9" s="32" t="s">
        <v>222</v>
      </c>
      <c r="C9" s="33">
        <v>10000</v>
      </c>
      <c r="D9" s="69">
        <v>0</v>
      </c>
      <c r="E9" s="33">
        <v>0</v>
      </c>
      <c r="G9" s="70" t="s">
        <v>223</v>
      </c>
    </row>
    <row r="10" spans="1:5" x14ac:dyDescent="0.25">
      <c r="A10" s="65"/>
      <c r="B10" s="65" t="s">
        <v>224</v>
      </c>
      <c r="C10" s="65"/>
      <c r="D10" s="65"/>
      <c r="E10" s="66">
        <v>0</v>
      </c>
    </row>
    <row r="11" spans="1:5" x14ac:dyDescent="0.25">
      <c r="A11" s="35"/>
      <c r="B11" s="35" t="s">
        <v>204</v>
      </c>
      <c r="C11" s="35" t="s">
        <v>225</v>
      </c>
      <c r="D11" s="35"/>
      <c r="E11" s="36">
        <v>0</v>
      </c>
    </row>
    <row r="13" ht="24" customHeight="1" spans="1:5" x14ac:dyDescent="0.25">
      <c r="A13" s="3" t="s">
        <v>38</v>
      </c>
      <c r="B13" s="3" t="s">
        <v>226</v>
      </c>
      <c r="C13" s="3" t="s">
        <v>40</v>
      </c>
      <c r="D13" s="3" t="s">
        <v>217</v>
      </c>
      <c r="E13" s="3" t="s">
        <v>32</v>
      </c>
    </row>
    <row r="14" spans="1:7" x14ac:dyDescent="0.25">
      <c r="A14" s="32"/>
      <c r="B14" s="32" t="s">
        <v>218</v>
      </c>
      <c r="C14" s="33">
        <v>300</v>
      </c>
      <c r="D14" s="69">
        <v>0</v>
      </c>
      <c r="E14" s="33">
        <v>0</v>
      </c>
      <c r="G14" s="70" t="s">
        <v>38</v>
      </c>
    </row>
    <row r="15" spans="2:7" x14ac:dyDescent="0.25">
      <c r="B15" t="s">
        <v>219</v>
      </c>
      <c r="C15" s="19">
        <v>1000</v>
      </c>
      <c r="D15" s="71">
        <v>0</v>
      </c>
      <c r="E15" s="19">
        <v>0</v>
      </c>
      <c r="G15" s="70" t="s">
        <v>38</v>
      </c>
    </row>
    <row r="16" spans="1:7" x14ac:dyDescent="0.25">
      <c r="A16" s="32"/>
      <c r="B16" s="32" t="s">
        <v>220</v>
      </c>
      <c r="C16" s="33">
        <v>125</v>
      </c>
      <c r="D16" s="69">
        <v>0</v>
      </c>
      <c r="E16" s="33">
        <v>0</v>
      </c>
      <c r="G16" s="70" t="s">
        <v>38</v>
      </c>
    </row>
    <row r="17" spans="2:7" x14ac:dyDescent="0.25">
      <c r="B17" t="s">
        <v>221</v>
      </c>
      <c r="C17" s="19">
        <v>100</v>
      </c>
      <c r="D17" s="71">
        <v>0</v>
      </c>
      <c r="E17" s="19">
        <v>0</v>
      </c>
      <c r="G17" s="70" t="s">
        <v>38</v>
      </c>
    </row>
    <row r="18" spans="1:7" x14ac:dyDescent="0.25">
      <c r="A18" s="32"/>
      <c r="B18" s="32" t="s">
        <v>222</v>
      </c>
      <c r="C18" s="33">
        <v>10000</v>
      </c>
      <c r="D18" s="69">
        <v>0</v>
      </c>
      <c r="E18" s="33">
        <v>0</v>
      </c>
      <c r="G18" s="70" t="s">
        <v>223</v>
      </c>
    </row>
    <row r="19" spans="1:5" x14ac:dyDescent="0.25">
      <c r="A19" s="65"/>
      <c r="B19" s="65" t="s">
        <v>224</v>
      </c>
      <c r="C19" s="65"/>
      <c r="D19" s="65"/>
      <c r="E19" s="66">
        <v>0</v>
      </c>
    </row>
    <row r="20" spans="1:5" x14ac:dyDescent="0.25">
      <c r="A20" s="35"/>
      <c r="B20" s="35" t="s">
        <v>204</v>
      </c>
      <c r="C20" s="35" t="s">
        <v>225</v>
      </c>
      <c r="D20" s="35"/>
      <c r="E20" s="36">
        <v>0</v>
      </c>
    </row>
    <row r="22" ht="24" customHeight="1" spans="1:5" x14ac:dyDescent="0.25">
      <c r="A22" s="3" t="s">
        <v>38</v>
      </c>
      <c r="B22" s="3" t="s">
        <v>227</v>
      </c>
      <c r="C22" s="3" t="s">
        <v>40</v>
      </c>
      <c r="D22" s="3" t="s">
        <v>217</v>
      </c>
      <c r="E22" s="3" t="s">
        <v>32</v>
      </c>
    </row>
    <row r="23" spans="1:7" x14ac:dyDescent="0.25">
      <c r="A23" s="32"/>
      <c r="B23" s="32" t="s">
        <v>218</v>
      </c>
      <c r="C23" s="33">
        <v>300</v>
      </c>
      <c r="D23" s="69">
        <v>0</v>
      </c>
      <c r="E23" s="33">
        <v>0</v>
      </c>
      <c r="G23" s="70" t="s">
        <v>38</v>
      </c>
    </row>
    <row r="24" spans="2:7" x14ac:dyDescent="0.25">
      <c r="B24" t="s">
        <v>219</v>
      </c>
      <c r="C24" s="19">
        <v>1000</v>
      </c>
      <c r="D24" s="71">
        <v>0</v>
      </c>
      <c r="E24" s="19">
        <v>0</v>
      </c>
      <c r="G24" s="70" t="s">
        <v>38</v>
      </c>
    </row>
    <row r="25" spans="1:7" x14ac:dyDescent="0.25">
      <c r="A25" s="32"/>
      <c r="B25" s="32" t="s">
        <v>220</v>
      </c>
      <c r="C25" s="33">
        <v>125</v>
      </c>
      <c r="D25" s="69">
        <v>0</v>
      </c>
      <c r="E25" s="33">
        <v>0</v>
      </c>
      <c r="G25" s="70" t="s">
        <v>38</v>
      </c>
    </row>
    <row r="26" spans="2:7" x14ac:dyDescent="0.25">
      <c r="B26" t="s">
        <v>221</v>
      </c>
      <c r="C26" s="19">
        <v>100</v>
      </c>
      <c r="D26" s="71">
        <v>0</v>
      </c>
      <c r="E26" s="19">
        <v>0</v>
      </c>
      <c r="G26" s="70" t="s">
        <v>38</v>
      </c>
    </row>
    <row r="27" spans="1:7" x14ac:dyDescent="0.25">
      <c r="A27" s="32"/>
      <c r="B27" s="32" t="s">
        <v>222</v>
      </c>
      <c r="C27" s="33">
        <v>10000</v>
      </c>
      <c r="D27" s="69">
        <v>0</v>
      </c>
      <c r="E27" s="33">
        <v>0</v>
      </c>
      <c r="G27" s="70" t="s">
        <v>223</v>
      </c>
    </row>
    <row r="28" spans="2:7" x14ac:dyDescent="0.25">
      <c r="B28" t="s">
        <v>228</v>
      </c>
      <c r="C28" s="19">
        <v>1500</v>
      </c>
      <c r="D28" s="71">
        <v>0</v>
      </c>
      <c r="E28" s="19">
        <v>0</v>
      </c>
      <c r="G28" s="70" t="s">
        <v>38</v>
      </c>
    </row>
    <row r="29" spans="1:5" x14ac:dyDescent="0.25">
      <c r="A29" s="65"/>
      <c r="B29" s="65" t="s">
        <v>224</v>
      </c>
      <c r="C29" s="65"/>
      <c r="D29" s="65"/>
      <c r="E29" s="66">
        <v>0</v>
      </c>
    </row>
    <row r="30" spans="1:5" x14ac:dyDescent="0.25">
      <c r="A30" s="35"/>
      <c r="B30" s="35" t="s">
        <v>204</v>
      </c>
      <c r="C30" s="35" t="s">
        <v>225</v>
      </c>
      <c r="D30" s="35"/>
      <c r="E30" s="36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229</v>
      </c>
      <c r="B1" s="1"/>
      <c r="C1" s="1"/>
      <c r="D1" s="1"/>
      <c r="E1" s="1"/>
      <c r="F1" s="1"/>
      <c r="G1" s="1"/>
    </row>
    <row r="4" spans="2:2" x14ac:dyDescent="0.25">
      <c r="B4" s="61" t="s">
        <v>230</v>
      </c>
    </row>
    <row r="5" spans="2:2" x14ac:dyDescent="0.25">
      <c r="B5" s="72" t="s">
        <v>231</v>
      </c>
    </row>
    <row r="6" ht="24" customHeight="1" spans="1:9" x14ac:dyDescent="0.25">
      <c r="A6" s="24" t="s">
        <v>38</v>
      </c>
      <c r="B6" s="24" t="s">
        <v>78</v>
      </c>
      <c r="C6" s="24" t="s">
        <v>232</v>
      </c>
      <c r="D6" s="24" t="s">
        <v>40</v>
      </c>
      <c r="E6" s="24" t="s">
        <v>217</v>
      </c>
      <c r="F6" s="24" t="s">
        <v>32</v>
      </c>
      <c r="G6" s="24" t="s">
        <v>208</v>
      </c>
      <c r="H6" s="24" t="s">
        <v>41</v>
      </c>
      <c r="I6" s="24" t="s">
        <v>42</v>
      </c>
    </row>
    <row r="7" spans="1:9" x14ac:dyDescent="0.25">
      <c r="A7" s="32"/>
      <c r="B7" s="6" t="s">
        <v>233</v>
      </c>
      <c r="C7" s="32" t="s">
        <v>234</v>
      </c>
      <c r="D7" s="63">
        <v>0</v>
      </c>
      <c r="E7" s="69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233</v>
      </c>
      <c r="C8" t="s">
        <v>235</v>
      </c>
      <c r="D8" s="64">
        <v>0</v>
      </c>
      <c r="E8" s="71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233</v>
      </c>
      <c r="C9" s="32" t="s">
        <v>236</v>
      </c>
      <c r="D9" s="63">
        <v>0</v>
      </c>
      <c r="E9" s="69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233</v>
      </c>
      <c r="C10" t="s">
        <v>237</v>
      </c>
      <c r="D10" s="64">
        <v>0</v>
      </c>
      <c r="E10" s="71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238</v>
      </c>
      <c r="C11" s="32" t="s">
        <v>234</v>
      </c>
      <c r="D11" s="63">
        <v>0</v>
      </c>
      <c r="E11" s="69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238</v>
      </c>
      <c r="C12" t="s">
        <v>235</v>
      </c>
      <c r="D12" s="64">
        <v>0</v>
      </c>
      <c r="E12" s="71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238</v>
      </c>
      <c r="C13" s="32" t="s">
        <v>236</v>
      </c>
      <c r="D13" s="63">
        <v>0</v>
      </c>
      <c r="E13" s="69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239</v>
      </c>
      <c r="C14" t="s">
        <v>240</v>
      </c>
      <c r="D14" s="64">
        <v>0</v>
      </c>
      <c r="E14" s="71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239</v>
      </c>
      <c r="C15" s="32" t="s">
        <v>241</v>
      </c>
      <c r="D15" s="63">
        <v>0</v>
      </c>
      <c r="E15" s="69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239</v>
      </c>
      <c r="C16" t="s">
        <v>242</v>
      </c>
      <c r="D16" s="64">
        <v>0</v>
      </c>
      <c r="E16" s="71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7" t="s">
        <v>38</v>
      </c>
      <c r="C17" s="32" t="s">
        <v>243</v>
      </c>
      <c r="D17" s="63">
        <v>0</v>
      </c>
      <c r="E17" s="69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38</v>
      </c>
      <c r="C18" t="s">
        <v>244</v>
      </c>
      <c r="D18" s="64">
        <v>0</v>
      </c>
      <c r="E18" s="71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38</v>
      </c>
      <c r="C19" s="32" t="s">
        <v>110</v>
      </c>
      <c r="D19" s="63">
        <v>0</v>
      </c>
      <c r="E19" s="69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38</v>
      </c>
      <c r="C20" t="s">
        <v>245</v>
      </c>
      <c r="D20" s="64">
        <v>0</v>
      </c>
      <c r="E20" s="71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2" spans="1:9" x14ac:dyDescent="0.25">
      <c r="A22" s="53"/>
      <c r="B22" s="53"/>
      <c r="C22" s="53" t="s">
        <v>246</v>
      </c>
      <c r="D22" s="53"/>
      <c r="E22" s="53"/>
      <c r="F22" s="55">
        <f>SUM(F7:F20)</f>
        <v>0</v>
      </c>
      <c r="G22" s="53"/>
      <c r="H22" s="55">
        <f>SUM(H7:H20)</f>
        <v>0</v>
      </c>
      <c r="I22" s="55">
        <f>IFERROR(H22-F22,0)</f>
        <v>0</v>
      </c>
    </row>
    <row r="24" spans="2:6" x14ac:dyDescent="0.25">
      <c r="B24" t="s">
        <v>87</v>
      </c>
      <c r="F24" s="64">
        <v>0</v>
      </c>
    </row>
    <row r="25" spans="2:6" x14ac:dyDescent="0.25">
      <c r="B25" t="s">
        <v>88</v>
      </c>
      <c r="F25" s="64">
        <v>0</v>
      </c>
    </row>
    <row r="26" spans="1:9" x14ac:dyDescent="0.25">
      <c r="A26" s="27"/>
      <c r="B26" s="73" t="s">
        <v>247</v>
      </c>
      <c r="C26" s="73" t="s">
        <v>225</v>
      </c>
      <c r="D26" s="27"/>
      <c r="E26" s="27"/>
      <c r="F26" s="74">
        <f>F22+F24+F25</f>
        <v>0</v>
      </c>
      <c r="G26" s="27"/>
      <c r="H26" s="74">
        <f>H22</f>
        <v>0</v>
      </c>
      <c r="I26" s="74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248</v>
      </c>
      <c r="B1" s="1"/>
      <c r="C1" s="1"/>
      <c r="D1" s="1"/>
      <c r="E1" s="1"/>
      <c r="F1" s="1"/>
      <c r="G1" s="1"/>
    </row>
    <row r="4" spans="2:2" x14ac:dyDescent="0.25">
      <c r="B4" s="61" t="s">
        <v>249</v>
      </c>
    </row>
    <row r="5" spans="2:2" x14ac:dyDescent="0.25">
      <c r="B5" s="72" t="s">
        <v>231</v>
      </c>
    </row>
    <row r="6" ht="24" customHeight="1" spans="1:9" x14ac:dyDescent="0.25">
      <c r="A6" s="24" t="s">
        <v>38</v>
      </c>
      <c r="B6" s="24" t="s">
        <v>78</v>
      </c>
      <c r="C6" s="24" t="s">
        <v>232</v>
      </c>
      <c r="D6" s="24" t="s">
        <v>40</v>
      </c>
      <c r="E6" s="24" t="s">
        <v>217</v>
      </c>
      <c r="F6" s="24" t="s">
        <v>32</v>
      </c>
      <c r="G6" s="24" t="s">
        <v>208</v>
      </c>
      <c r="H6" s="24" t="s">
        <v>41</v>
      </c>
      <c r="I6" s="24" t="s">
        <v>42</v>
      </c>
    </row>
    <row r="7" spans="1:9" x14ac:dyDescent="0.25">
      <c r="A7" s="32"/>
      <c r="B7" s="6" t="s">
        <v>250</v>
      </c>
      <c r="C7" s="32" t="s">
        <v>251</v>
      </c>
      <c r="D7" s="63">
        <v>0</v>
      </c>
      <c r="E7" s="69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250</v>
      </c>
      <c r="C8" t="s">
        <v>252</v>
      </c>
      <c r="D8" s="64">
        <v>0</v>
      </c>
      <c r="E8" s="71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250</v>
      </c>
      <c r="C9" s="32" t="s">
        <v>253</v>
      </c>
      <c r="D9" s="63">
        <v>0</v>
      </c>
      <c r="E9" s="69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250</v>
      </c>
      <c r="C10" t="s">
        <v>254</v>
      </c>
      <c r="D10" s="64">
        <v>0</v>
      </c>
      <c r="E10" s="71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250</v>
      </c>
      <c r="C11" s="32" t="s">
        <v>255</v>
      </c>
      <c r="D11" s="63">
        <v>0</v>
      </c>
      <c r="E11" s="69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256</v>
      </c>
      <c r="C12" t="s">
        <v>257</v>
      </c>
      <c r="D12" s="64">
        <v>0</v>
      </c>
      <c r="E12" s="71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256</v>
      </c>
      <c r="C13" s="32" t="s">
        <v>258</v>
      </c>
      <c r="D13" s="63">
        <v>0</v>
      </c>
      <c r="E13" s="69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256</v>
      </c>
      <c r="C14" t="s">
        <v>259</v>
      </c>
      <c r="D14" s="64">
        <v>0</v>
      </c>
      <c r="E14" s="71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260</v>
      </c>
      <c r="C15" s="32" t="s">
        <v>240</v>
      </c>
      <c r="D15" s="63">
        <v>0</v>
      </c>
      <c r="E15" s="69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260</v>
      </c>
      <c r="C16" t="s">
        <v>261</v>
      </c>
      <c r="D16" s="64">
        <v>0</v>
      </c>
      <c r="E16" s="71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6" t="s">
        <v>260</v>
      </c>
      <c r="C17" s="32" t="s">
        <v>242</v>
      </c>
      <c r="D17" s="63">
        <v>0</v>
      </c>
      <c r="E17" s="69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38</v>
      </c>
      <c r="C18" t="s">
        <v>243</v>
      </c>
      <c r="D18" s="64">
        <v>0</v>
      </c>
      <c r="E18" s="71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38</v>
      </c>
      <c r="C19" s="32" t="s">
        <v>244</v>
      </c>
      <c r="D19" s="63">
        <v>0</v>
      </c>
      <c r="E19" s="69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38</v>
      </c>
      <c r="C20" t="s">
        <v>110</v>
      </c>
      <c r="D20" s="64">
        <v>0</v>
      </c>
      <c r="E20" s="71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1" spans="1:9" x14ac:dyDescent="0.25">
      <c r="A21" s="32"/>
      <c r="B21" s="7" t="s">
        <v>38</v>
      </c>
      <c r="C21" s="32" t="s">
        <v>245</v>
      </c>
      <c r="D21" s="63">
        <v>0</v>
      </c>
      <c r="E21" s="69">
        <v>0</v>
      </c>
      <c r="F21" s="33">
        <f>D21*E21</f>
        <v>0</v>
      </c>
      <c r="G21" s="34">
        <v>0.1</v>
      </c>
      <c r="H21" s="33">
        <f>IFERROR(F21/(1-G21),0)</f>
        <v>0</v>
      </c>
      <c r="I21" s="33">
        <f>IFERROR(H21-F21,0)</f>
        <v>0</v>
      </c>
    </row>
    <row r="23" spans="1:9" x14ac:dyDescent="0.25">
      <c r="A23" s="53"/>
      <c r="B23" s="53"/>
      <c r="C23" s="53" t="s">
        <v>262</v>
      </c>
      <c r="D23" s="53"/>
      <c r="E23" s="53"/>
      <c r="F23" s="55">
        <f>SUM(F7:F21)</f>
        <v>0</v>
      </c>
      <c r="G23" s="53"/>
      <c r="H23" s="55">
        <f>SUM(H7:H21)</f>
        <v>0</v>
      </c>
      <c r="I23" s="55">
        <f>IFERROR(H23-F23,0)</f>
        <v>0</v>
      </c>
    </row>
    <row r="25" spans="2:6" x14ac:dyDescent="0.25">
      <c r="B25" t="s">
        <v>87</v>
      </c>
      <c r="F25" s="64">
        <v>0</v>
      </c>
    </row>
    <row r="26" spans="2:6" x14ac:dyDescent="0.25">
      <c r="B26" t="s">
        <v>88</v>
      </c>
      <c r="F26" s="64">
        <v>0</v>
      </c>
    </row>
    <row r="27" spans="1:9" x14ac:dyDescent="0.25">
      <c r="A27" s="27"/>
      <c r="B27" s="73" t="s">
        <v>247</v>
      </c>
      <c r="C27" s="73" t="s">
        <v>225</v>
      </c>
      <c r="D27" s="27"/>
      <c r="E27" s="27"/>
      <c r="F27" s="74">
        <f>F23+F25+F26</f>
        <v>0</v>
      </c>
      <c r="G27" s="27"/>
      <c r="H27" s="74">
        <f>H23</f>
        <v>0</v>
      </c>
      <c r="I27" s="74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263</v>
      </c>
      <c r="B1" s="1"/>
      <c r="C1" s="1"/>
      <c r="D1" s="1"/>
      <c r="E1" s="1"/>
    </row>
    <row r="2" spans="1:5" x14ac:dyDescent="0.25">
      <c r="A2" s="2" t="s">
        <v>264</v>
      </c>
      <c r="B2" s="2"/>
      <c r="C2" s="2"/>
      <c r="D2" s="2"/>
      <c r="E2" s="2"/>
    </row>
    <row r="4" spans="1:3" x14ac:dyDescent="0.25">
      <c r="A4" t="s">
        <v>265</v>
      </c>
      <c r="B4" s="71">
        <v>3</v>
      </c>
      <c r="C4" s="75" t="s">
        <v>266</v>
      </c>
    </row>
    <row r="5" spans="1:3" x14ac:dyDescent="0.25">
      <c r="A5" t="s">
        <v>267</v>
      </c>
      <c r="B5" s="64">
        <v>0</v>
      </c>
      <c r="C5" s="75" t="s">
        <v>268</v>
      </c>
    </row>
    <row r="6" spans="1:3" x14ac:dyDescent="0.25">
      <c r="A6" t="s">
        <v>269</v>
      </c>
      <c r="B6" s="20">
        <v>0.03</v>
      </c>
      <c r="C6" s="75" t="s">
        <v>270</v>
      </c>
    </row>
    <row r="7" spans="1:3" x14ac:dyDescent="0.25">
      <c r="A7" t="s">
        <v>43</v>
      </c>
      <c r="B7" s="20">
        <v>0.15</v>
      </c>
      <c r="C7" s="75" t="s">
        <v>271</v>
      </c>
    </row>
    <row r="10" spans="1:5" x14ac:dyDescent="0.25">
      <c r="A10" s="24" t="s">
        <v>272</v>
      </c>
      <c r="B10" s="24" t="s">
        <v>40</v>
      </c>
      <c r="C10" s="24" t="s">
        <v>41</v>
      </c>
      <c r="D10" s="24" t="s">
        <v>42</v>
      </c>
      <c r="E10" s="24" t="s">
        <v>273</v>
      </c>
    </row>
    <row r="11" spans="1:5" x14ac:dyDescent="0.25">
      <c r="A11" s="32" t="str">
        <f>IF($B$4&gt;=1,"Year 1","")</f>
        <v>Year 1</v>
      </c>
      <c r="B11" s="33">
        <f>$B$5</f>
        <v>0</v>
      </c>
      <c r="C11" s="33">
        <f>IF(A11="",0,IFERROR(B11/(1-$B$7),0))</f>
        <v>0</v>
      </c>
      <c r="D11" s="33">
        <f>IF(A11="",0,IFERROR(C11-B11,0))</f>
        <v>0</v>
      </c>
      <c r="E11" s="32" t="s">
        <v>274</v>
      </c>
    </row>
    <row r="12" spans="1:5" x14ac:dyDescent="0.25">
      <c r="A12" t="str">
        <f>IF($B$4&gt;=2,"Year 2","")</f>
        <v>Year 2</v>
      </c>
      <c r="B12" s="19">
        <f>IF(A12="",0,B11*(1+$B$6))</f>
        <v>0</v>
      </c>
      <c r="C12" s="19">
        <f>IF(A12="",0,IFERROR(B12/(1-$B$7),0))</f>
        <v>0</v>
      </c>
      <c r="D12" s="19">
        <f>IF(A12="",0,IFERROR(C12-B12,0))</f>
        <v>0</v>
      </c>
      <c r="E12" t="s">
        <v>274</v>
      </c>
    </row>
    <row r="13" spans="1:5" x14ac:dyDescent="0.25">
      <c r="A13" s="32" t="str">
        <f>IF($B$4&gt;=3,"Year 3","")</f>
        <v>Year 3</v>
      </c>
      <c r="B13" s="33">
        <f>IF(A13="",0,B12*(1+$B$6))</f>
        <v>0</v>
      </c>
      <c r="C13" s="33">
        <f>IF(A13="",0,IFERROR(B13/(1-$B$7),0))</f>
        <v>0</v>
      </c>
      <c r="D13" s="33">
        <f>IF(A13="",0,IFERROR(C13-B13,0))</f>
        <v>0</v>
      </c>
      <c r="E13" s="32" t="s">
        <v>274</v>
      </c>
    </row>
    <row r="14" spans="1:5" x14ac:dyDescent="0.25">
      <c r="A14" t="str">
        <f>IF($B$4&gt;=4,"Year 4","")</f>
        <v/>
      </c>
      <c r="B14" s="19">
        <f>IF(A14="",0,B13*(1+$B$6))</f>
        <v>0</v>
      </c>
      <c r="C14" s="19">
        <f>IF(A14="",0,IFERROR(B14/(1-$B$7),0))</f>
        <v>0</v>
      </c>
      <c r="D14" s="19">
        <f>IF(A14="",0,IFERROR(C14-B14,0))</f>
        <v>0</v>
      </c>
      <c r="E14" t="s">
        <v>38</v>
      </c>
    </row>
    <row r="15" spans="1:5" x14ac:dyDescent="0.25">
      <c r="A15" s="32" t="str">
        <f>IF($B$4&gt;=5,"Year 5","")</f>
        <v/>
      </c>
      <c r="B15" s="33">
        <f>IF(A15="",0,B14*(1+$B$6))</f>
        <v>0</v>
      </c>
      <c r="C15" s="33">
        <f>IF(A15="",0,IFERROR(B15/(1-$B$7),0))</f>
        <v>0</v>
      </c>
      <c r="D15" s="33">
        <f>IF(A15="",0,IFERROR(C15-B15,0))</f>
        <v>0</v>
      </c>
      <c r="E15" s="32" t="s">
        <v>38</v>
      </c>
    </row>
    <row r="17" spans="1:5" x14ac:dyDescent="0.25">
      <c r="A17" s="53" t="s">
        <v>275</v>
      </c>
      <c r="B17" s="55">
        <f>SUM(B11:B15)</f>
        <v>0</v>
      </c>
      <c r="C17" s="55">
        <f>SUM(C11:C15)</f>
        <v>0</v>
      </c>
      <c r="D17" s="55">
        <f>IFERROR(C17-B17,0)</f>
        <v>0</v>
      </c>
      <c r="E17" s="53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276</v>
      </c>
      <c r="B1" s="1"/>
      <c r="C1" s="1"/>
      <c r="D1" s="1"/>
      <c r="E1" s="1"/>
      <c r="F1" s="1"/>
      <c r="G1" s="1"/>
      <c r="H1" s="1"/>
    </row>
    <row r="4" spans="1:9" x14ac:dyDescent="0.25">
      <c r="A4" s="24" t="s">
        <v>38</v>
      </c>
      <c r="B4" s="24" t="s">
        <v>78</v>
      </c>
      <c r="C4" s="24" t="s">
        <v>232</v>
      </c>
      <c r="D4" s="24" t="s">
        <v>40</v>
      </c>
      <c r="E4" s="24" t="s">
        <v>217</v>
      </c>
      <c r="F4" s="24" t="s">
        <v>32</v>
      </c>
      <c r="G4" s="24" t="s">
        <v>208</v>
      </c>
      <c r="H4" s="24" t="s">
        <v>41</v>
      </c>
      <c r="I4" s="24" t="s">
        <v>42</v>
      </c>
    </row>
    <row r="5" spans="1:9" x14ac:dyDescent="0.25">
      <c r="A5" s="32"/>
      <c r="B5" s="32" t="s">
        <v>277</v>
      </c>
      <c r="C5" s="32" t="s">
        <v>278</v>
      </c>
      <c r="D5" s="63">
        <v>0</v>
      </c>
      <c r="E5" s="69">
        <v>1</v>
      </c>
      <c r="F5" s="33">
        <f>D5*E5</f>
        <v>0</v>
      </c>
      <c r="G5" s="67">
        <v>0.15</v>
      </c>
      <c r="H5" s="33">
        <f>IFERROR(F5/(1-G5),0)</f>
        <v>0</v>
      </c>
      <c r="I5" s="33">
        <f>IFERROR(H5-F5,0)</f>
        <v>0</v>
      </c>
    </row>
    <row r="6" spans="2:9" x14ac:dyDescent="0.25">
      <c r="B6" t="s">
        <v>279</v>
      </c>
      <c r="C6" t="s">
        <v>72</v>
      </c>
      <c r="D6" s="64">
        <v>0</v>
      </c>
      <c r="E6" s="71">
        <v>1</v>
      </c>
      <c r="F6" s="19">
        <f>D6*E6</f>
        <v>0</v>
      </c>
      <c r="G6" s="20">
        <v>0.15</v>
      </c>
      <c r="H6" s="19">
        <f>IFERROR(F6/(1-G6),0)</f>
        <v>0</v>
      </c>
      <c r="I6" s="19">
        <f>IFERROR(H6-F6,0)</f>
        <v>0</v>
      </c>
    </row>
    <row r="7" spans="1:9" x14ac:dyDescent="0.25">
      <c r="A7" s="32"/>
      <c r="B7" s="32" t="s">
        <v>280</v>
      </c>
      <c r="C7" s="32" t="s">
        <v>73</v>
      </c>
      <c r="D7" s="63">
        <v>0</v>
      </c>
      <c r="E7" s="69">
        <v>1</v>
      </c>
      <c r="F7" s="33">
        <f>D7*E7</f>
        <v>0</v>
      </c>
      <c r="G7" s="67">
        <v>0.15</v>
      </c>
      <c r="H7" s="33">
        <f>IFERROR(F7/(1-G7),0)</f>
        <v>0</v>
      </c>
      <c r="I7" s="33">
        <f>IFERROR(H7-F7,0)</f>
        <v>0</v>
      </c>
    </row>
    <row r="8" spans="2:9" x14ac:dyDescent="0.25">
      <c r="B8" t="s">
        <v>169</v>
      </c>
      <c r="C8" t="s">
        <v>74</v>
      </c>
      <c r="D8" s="64">
        <v>0</v>
      </c>
      <c r="E8" s="71">
        <v>1</v>
      </c>
      <c r="F8" s="19">
        <f>D8*E8</f>
        <v>0</v>
      </c>
      <c r="G8" s="20">
        <v>0.15</v>
      </c>
      <c r="H8" s="19">
        <f>IFERROR(F8/(1-G8),0)</f>
        <v>0</v>
      </c>
      <c r="I8" s="19">
        <f>IFERROR(H8-F8,0)</f>
        <v>0</v>
      </c>
    </row>
    <row r="10" spans="1:9" x14ac:dyDescent="0.25">
      <c r="A10" s="53"/>
      <c r="B10" s="53"/>
      <c r="C10" s="53" t="s">
        <v>281</v>
      </c>
      <c r="D10" s="53"/>
      <c r="E10" s="53"/>
      <c r="F10" s="55">
        <f>SUM(F5:F8)</f>
        <v>0</v>
      </c>
      <c r="G10" s="53"/>
      <c r="H10" s="55">
        <f>SUM(H5:H8)</f>
        <v>0</v>
      </c>
      <c r="I10" s="55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6" t="s">
        <v>282</v>
      </c>
    </row>
    <row r="2" spans="2:2" x14ac:dyDescent="0.25">
      <c r="B2" t="s">
        <v>283</v>
      </c>
    </row>
    <row r="4" ht="24" customHeight="1" spans="2:4" x14ac:dyDescent="0.25">
      <c r="B4" s="77" t="s">
        <v>284</v>
      </c>
      <c r="C4" s="78" t="s">
        <v>285</v>
      </c>
      <c r="D4" s="78" t="s">
        <v>286</v>
      </c>
    </row>
    <row r="5" spans="1:4" x14ac:dyDescent="0.25">
      <c r="A5" s="32"/>
      <c r="B5" s="79" t="s">
        <v>287</v>
      </c>
      <c r="C5" s="42" t="s">
        <v>38</v>
      </c>
      <c r="D5" s="42" t="s">
        <v>288</v>
      </c>
    </row>
    <row r="6" spans="2:4" x14ac:dyDescent="0.25">
      <c r="B6" s="80" t="s">
        <v>289</v>
      </c>
      <c r="C6" s="48" t="s">
        <v>290</v>
      </c>
      <c r="D6" s="48" t="s">
        <v>38</v>
      </c>
    </row>
    <row r="7" spans="1:4" x14ac:dyDescent="0.25">
      <c r="A7" s="32"/>
      <c r="B7" s="79" t="s">
        <v>291</v>
      </c>
      <c r="C7" s="42" t="s">
        <v>290</v>
      </c>
      <c r="D7" s="42" t="s">
        <v>38</v>
      </c>
    </row>
    <row r="8" spans="2:4" x14ac:dyDescent="0.25">
      <c r="B8" s="80" t="s">
        <v>292</v>
      </c>
      <c r="C8" s="48" t="s">
        <v>288</v>
      </c>
      <c r="D8" s="48" t="s">
        <v>38</v>
      </c>
    </row>
    <row r="9" spans="1:4" x14ac:dyDescent="0.25">
      <c r="A9" s="32"/>
      <c r="B9" s="79" t="s">
        <v>293</v>
      </c>
      <c r="C9" s="42" t="s">
        <v>288</v>
      </c>
      <c r="D9" s="42" t="s">
        <v>38</v>
      </c>
    </row>
    <row r="10" spans="2:4" x14ac:dyDescent="0.25">
      <c r="B10" s="80" t="s">
        <v>294</v>
      </c>
      <c r="C10" s="48" t="s">
        <v>38</v>
      </c>
      <c r="D10" s="48" t="s">
        <v>288</v>
      </c>
    </row>
    <row r="11" spans="1:4" x14ac:dyDescent="0.25">
      <c r="A11" s="32"/>
      <c r="B11" s="79" t="s">
        <v>295</v>
      </c>
      <c r="C11" s="42" t="s">
        <v>38</v>
      </c>
      <c r="D11" s="42" t="s">
        <v>288</v>
      </c>
    </row>
    <row r="13" ht="24" customHeight="1" spans="2:4" x14ac:dyDescent="0.25">
      <c r="B13" s="77" t="s">
        <v>296</v>
      </c>
      <c r="C13" s="78" t="s">
        <v>285</v>
      </c>
      <c r="D13" s="78" t="s">
        <v>286</v>
      </c>
    </row>
    <row r="14" spans="1:4" x14ac:dyDescent="0.25">
      <c r="A14" s="32"/>
      <c r="B14" s="79" t="s">
        <v>297</v>
      </c>
      <c r="C14" s="42" t="s">
        <v>38</v>
      </c>
      <c r="D14" s="42" t="s">
        <v>288</v>
      </c>
    </row>
    <row r="15" spans="2:4" x14ac:dyDescent="0.25">
      <c r="B15" s="80" t="s">
        <v>298</v>
      </c>
      <c r="C15" s="48" t="s">
        <v>288</v>
      </c>
      <c r="D15" s="48" t="s">
        <v>38</v>
      </c>
    </row>
    <row r="16" spans="1:4" x14ac:dyDescent="0.25">
      <c r="A16" s="32"/>
      <c r="B16" s="79" t="s">
        <v>299</v>
      </c>
      <c r="C16" s="42" t="s">
        <v>288</v>
      </c>
      <c r="D16" s="42" t="s">
        <v>38</v>
      </c>
    </row>
    <row r="17" spans="2:4" x14ac:dyDescent="0.25">
      <c r="B17" s="80" t="s">
        <v>300</v>
      </c>
      <c r="C17" s="48" t="s">
        <v>38</v>
      </c>
      <c r="D17" s="48" t="s">
        <v>288</v>
      </c>
    </row>
    <row r="18" spans="1:4" x14ac:dyDescent="0.25">
      <c r="A18" s="32"/>
      <c r="B18" s="79" t="s">
        <v>301</v>
      </c>
      <c r="C18" s="42" t="s">
        <v>38</v>
      </c>
      <c r="D18" s="42" t="s">
        <v>288</v>
      </c>
    </row>
    <row r="20" ht="24" customHeight="1" spans="2:4" x14ac:dyDescent="0.25">
      <c r="B20" s="77" t="s">
        <v>302</v>
      </c>
      <c r="C20" s="78" t="s">
        <v>285</v>
      </c>
      <c r="D20" s="78" t="s">
        <v>286</v>
      </c>
    </row>
    <row r="21" spans="1:4" x14ac:dyDescent="0.25">
      <c r="A21" s="32"/>
      <c r="B21" s="79" t="s">
        <v>303</v>
      </c>
      <c r="C21" s="42" t="s">
        <v>304</v>
      </c>
      <c r="D21" s="42" t="s">
        <v>38</v>
      </c>
    </row>
    <row r="22" spans="2:4" x14ac:dyDescent="0.25">
      <c r="B22" s="80" t="s">
        <v>305</v>
      </c>
      <c r="C22" s="48" t="s">
        <v>38</v>
      </c>
      <c r="D22" s="48" t="s">
        <v>288</v>
      </c>
    </row>
    <row r="23" spans="1:4" x14ac:dyDescent="0.25">
      <c r="A23" s="32"/>
      <c r="B23" s="79" t="s">
        <v>306</v>
      </c>
      <c r="C23" s="42" t="s">
        <v>304</v>
      </c>
      <c r="D23" s="42" t="s">
        <v>38</v>
      </c>
    </row>
    <row r="24" spans="2:4" x14ac:dyDescent="0.25">
      <c r="B24" s="80" t="s">
        <v>307</v>
      </c>
      <c r="C24" s="48" t="s">
        <v>288</v>
      </c>
      <c r="D24" s="48" t="s">
        <v>38</v>
      </c>
    </row>
    <row r="25" spans="1:4" x14ac:dyDescent="0.25">
      <c r="A25" s="32"/>
      <c r="B25" s="79" t="s">
        <v>308</v>
      </c>
      <c r="C25" s="42" t="s">
        <v>288</v>
      </c>
      <c r="D25" s="42" t="s">
        <v>38</v>
      </c>
    </row>
    <row r="26" spans="2:4" x14ac:dyDescent="0.25">
      <c r="B26" s="80" t="s">
        <v>309</v>
      </c>
      <c r="C26" s="48" t="s">
        <v>38</v>
      </c>
      <c r="D26" s="48" t="s">
        <v>288</v>
      </c>
    </row>
    <row r="28" ht="24" customHeight="1" spans="2:4" x14ac:dyDescent="0.25">
      <c r="B28" s="77" t="s">
        <v>310</v>
      </c>
      <c r="C28" s="78" t="s">
        <v>285</v>
      </c>
      <c r="D28" s="78" t="s">
        <v>286</v>
      </c>
    </row>
    <row r="29" spans="1:4" x14ac:dyDescent="0.25">
      <c r="A29" s="32"/>
      <c r="B29" s="79" t="s">
        <v>311</v>
      </c>
      <c r="C29" s="42" t="s">
        <v>288</v>
      </c>
      <c r="D29" s="42" t="s">
        <v>38</v>
      </c>
    </row>
    <row r="30" spans="2:4" x14ac:dyDescent="0.25">
      <c r="B30" s="80" t="s">
        <v>312</v>
      </c>
      <c r="C30" s="48" t="s">
        <v>38</v>
      </c>
      <c r="D30" s="48" t="s">
        <v>288</v>
      </c>
    </row>
    <row r="31" spans="1:4" x14ac:dyDescent="0.25">
      <c r="A31" s="32"/>
      <c r="B31" s="79" t="s">
        <v>313</v>
      </c>
      <c r="C31" s="42" t="s">
        <v>38</v>
      </c>
      <c r="D31" s="42" t="s">
        <v>288</v>
      </c>
    </row>
    <row r="32" spans="2:4" x14ac:dyDescent="0.25">
      <c r="B32" s="80" t="s">
        <v>314</v>
      </c>
      <c r="C32" s="48" t="s">
        <v>288</v>
      </c>
      <c r="D32" s="48" t="s">
        <v>38</v>
      </c>
    </row>
    <row r="33" spans="1:4" x14ac:dyDescent="0.25">
      <c r="A33" s="32"/>
      <c r="B33" s="79" t="s">
        <v>315</v>
      </c>
      <c r="C33" s="42" t="s">
        <v>38</v>
      </c>
      <c r="D33" s="42" t="s">
        <v>288</v>
      </c>
    </row>
    <row r="34" spans="2:4" x14ac:dyDescent="0.25">
      <c r="B34" s="80" t="s">
        <v>316</v>
      </c>
      <c r="C34" s="48" t="s">
        <v>288</v>
      </c>
      <c r="D34" s="48" t="s">
        <v>38</v>
      </c>
    </row>
    <row r="35" spans="1:4" x14ac:dyDescent="0.25">
      <c r="A35" s="32"/>
      <c r="B35" s="79" t="s">
        <v>317</v>
      </c>
      <c r="C35" s="42" t="s">
        <v>288</v>
      </c>
      <c r="D35" s="42" t="s">
        <v>38</v>
      </c>
    </row>
    <row r="36" spans="2:4" x14ac:dyDescent="0.25">
      <c r="B36" s="80" t="s">
        <v>318</v>
      </c>
      <c r="C36" s="48" t="s">
        <v>288</v>
      </c>
      <c r="D36" s="48" t="s">
        <v>38</v>
      </c>
    </row>
    <row r="37" spans="1:4" x14ac:dyDescent="0.25">
      <c r="A37" s="32"/>
      <c r="B37" s="79" t="s">
        <v>319</v>
      </c>
      <c r="C37" s="42" t="s">
        <v>38</v>
      </c>
      <c r="D37" s="42" t="s">
        <v>288</v>
      </c>
    </row>
    <row r="39" ht="24" customHeight="1" spans="2:4" x14ac:dyDescent="0.25">
      <c r="B39" s="77" t="s">
        <v>320</v>
      </c>
      <c r="C39" s="78" t="s">
        <v>285</v>
      </c>
      <c r="D39" s="78" t="s">
        <v>286</v>
      </c>
    </row>
    <row r="40" spans="1:4" x14ac:dyDescent="0.25">
      <c r="A40" s="32"/>
      <c r="B40" s="79" t="s">
        <v>321</v>
      </c>
      <c r="C40" s="42" t="s">
        <v>304</v>
      </c>
      <c r="D40" s="42" t="s">
        <v>38</v>
      </c>
    </row>
    <row r="41" spans="2:4" x14ac:dyDescent="0.25">
      <c r="B41" s="80" t="s">
        <v>322</v>
      </c>
      <c r="C41" s="48" t="s">
        <v>38</v>
      </c>
      <c r="D41" s="48" t="s">
        <v>288</v>
      </c>
    </row>
    <row r="42" spans="1:4" x14ac:dyDescent="0.25">
      <c r="A42" s="32"/>
      <c r="B42" s="79" t="s">
        <v>323</v>
      </c>
      <c r="C42" s="42" t="s">
        <v>38</v>
      </c>
      <c r="D42" s="42" t="s">
        <v>288</v>
      </c>
    </row>
    <row r="44" ht="24" customHeight="1" spans="2:4" x14ac:dyDescent="0.25">
      <c r="B44" s="77" t="s">
        <v>324</v>
      </c>
      <c r="C44" s="78" t="s">
        <v>285</v>
      </c>
      <c r="D44" s="78" t="s">
        <v>286</v>
      </c>
    </row>
    <row r="45" spans="1:4" x14ac:dyDescent="0.25">
      <c r="A45" s="32"/>
      <c r="B45" s="79" t="s">
        <v>325</v>
      </c>
      <c r="C45" s="42" t="s">
        <v>288</v>
      </c>
      <c r="D45" s="42" t="s">
        <v>38</v>
      </c>
    </row>
    <row r="46" spans="2:4" x14ac:dyDescent="0.25">
      <c r="B46" s="80" t="s">
        <v>326</v>
      </c>
      <c r="C46" s="48" t="s">
        <v>288</v>
      </c>
      <c r="D46" s="48" t="s">
        <v>38</v>
      </c>
    </row>
    <row r="47" spans="1:4" x14ac:dyDescent="0.25">
      <c r="A47" s="32"/>
      <c r="B47" s="79" t="s">
        <v>327</v>
      </c>
      <c r="C47" s="42" t="s">
        <v>288</v>
      </c>
      <c r="D47" s="42" t="s">
        <v>38</v>
      </c>
    </row>
    <row r="48" spans="2:4" x14ac:dyDescent="0.25">
      <c r="B48" s="80" t="s">
        <v>328</v>
      </c>
      <c r="C48" s="48" t="s">
        <v>288</v>
      </c>
      <c r="D48" s="48" t="s">
        <v>38</v>
      </c>
    </row>
    <row r="50" ht="24" customHeight="1" spans="2:4" x14ac:dyDescent="0.25">
      <c r="B50" s="77" t="s">
        <v>329</v>
      </c>
      <c r="C50" s="78" t="s">
        <v>285</v>
      </c>
      <c r="D50" s="78" t="s">
        <v>286</v>
      </c>
    </row>
    <row r="51" spans="1:4" x14ac:dyDescent="0.25">
      <c r="A51" s="32"/>
      <c r="B51" s="79" t="s">
        <v>330</v>
      </c>
      <c r="C51" s="42" t="s">
        <v>304</v>
      </c>
      <c r="D51" s="42" t="s">
        <v>38</v>
      </c>
    </row>
    <row r="52" spans="2:4" x14ac:dyDescent="0.25">
      <c r="B52" s="80" t="s">
        <v>331</v>
      </c>
      <c r="C52" s="48" t="s">
        <v>38</v>
      </c>
      <c r="D52" s="48" t="s">
        <v>288</v>
      </c>
    </row>
    <row r="53" spans="1:4" x14ac:dyDescent="0.25">
      <c r="A53" s="32"/>
      <c r="B53" s="79" t="s">
        <v>332</v>
      </c>
      <c r="C53" s="42" t="s">
        <v>304</v>
      </c>
      <c r="D53" s="42" t="s">
        <v>38</v>
      </c>
    </row>
    <row r="54" spans="2:4" x14ac:dyDescent="0.25">
      <c r="B54" s="80" t="s">
        <v>333</v>
      </c>
      <c r="C54" s="48" t="s">
        <v>304</v>
      </c>
      <c r="D54" s="48" t="s">
        <v>38</v>
      </c>
    </row>
    <row r="55" spans="1:4" x14ac:dyDescent="0.25">
      <c r="A55" s="32"/>
      <c r="B55" s="79" t="s">
        <v>334</v>
      </c>
      <c r="C55" s="42" t="s">
        <v>304</v>
      </c>
      <c r="D55" s="4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5" t="s">
        <v>336</v>
      </c>
      <c r="D3" s="81" t="s">
        <v>337</v>
      </c>
    </row>
    <row r="5" spans="2:9" x14ac:dyDescent="0.25">
      <c r="B5" s="61" t="s">
        <v>338</v>
      </c>
      <c r="I5" s="61" t="s">
        <v>339</v>
      </c>
    </row>
    <row r="6" spans="1:10" x14ac:dyDescent="0.25">
      <c r="A6" s="24" t="s">
        <v>38</v>
      </c>
      <c r="B6" s="24" t="s">
        <v>340</v>
      </c>
      <c r="C6" s="24" t="s">
        <v>341</v>
      </c>
      <c r="D6" s="24" t="s">
        <v>208</v>
      </c>
      <c r="I6" s="24" t="s">
        <v>340</v>
      </c>
      <c r="J6" s="24" t="s">
        <v>341</v>
      </c>
    </row>
    <row r="7" spans="1:10" x14ac:dyDescent="0.25">
      <c r="A7" t="s">
        <v>342</v>
      </c>
      <c r="B7" s="19">
        <v>3706135.2199999993</v>
      </c>
      <c r="C7" s="19">
        <v>3218418.220000002</v>
      </c>
      <c r="D7" s="19">
        <v>487717</v>
      </c>
      <c r="H7" s="25" t="s">
        <v>343</v>
      </c>
      <c r="I7" s="19">
        <v>3706135.2199999993</v>
      </c>
      <c r="J7" s="19">
        <v>3218418.220000002</v>
      </c>
    </row>
    <row r="8" spans="1:6" x14ac:dyDescent="0.25">
      <c r="A8" s="35" t="s">
        <v>343</v>
      </c>
      <c r="B8" s="36">
        <v>3706135.2199999993</v>
      </c>
      <c r="C8" s="36">
        <v>3218418.220000002</v>
      </c>
      <c r="D8" s="36">
        <v>487717</v>
      </c>
      <c r="E8" s="35"/>
      <c r="F8" s="35"/>
    </row>
    <row r="10" spans="1:1" x14ac:dyDescent="0.25">
      <c r="A10" s="82" t="s">
        <v>344</v>
      </c>
    </row>
    <row r="11" spans="1:4" x14ac:dyDescent="0.25">
      <c r="A11" t="s">
        <v>345</v>
      </c>
      <c r="B11" s="19">
        <v>0</v>
      </c>
      <c r="C11" s="19">
        <v>0</v>
      </c>
      <c r="D11" s="19">
        <v>0</v>
      </c>
    </row>
    <row r="13" spans="1:6" x14ac:dyDescent="0.25">
      <c r="A13" s="53" t="s">
        <v>346</v>
      </c>
      <c r="B13" s="55">
        <v>3706135.2199999993</v>
      </c>
      <c r="C13" s="55">
        <v>3218418.220000002</v>
      </c>
      <c r="D13" s="55">
        <v>487717</v>
      </c>
      <c r="E13" s="53"/>
      <c r="F13" s="53"/>
    </row>
    <row r="16" spans="1:5" x14ac:dyDescent="0.25">
      <c r="A16" s="24" t="s">
        <v>347</v>
      </c>
      <c r="B16" s="24" t="s">
        <v>340</v>
      </c>
      <c r="C16" s="24" t="s">
        <v>348</v>
      </c>
      <c r="D16" s="24" t="s">
        <v>349</v>
      </c>
      <c r="E16" s="24" t="s">
        <v>350</v>
      </c>
    </row>
    <row r="17" spans="1:5" x14ac:dyDescent="0.25">
      <c r="A17" s="32" t="s">
        <v>351</v>
      </c>
      <c r="B17" s="33">
        <v>0</v>
      </c>
      <c r="C17" s="33">
        <v>1567793.9900000002</v>
      </c>
      <c r="D17" s="63">
        <v>0</v>
      </c>
      <c r="E17" s="33">
        <v>1567793.9900000002</v>
      </c>
    </row>
    <row r="18" spans="1:5" x14ac:dyDescent="0.25">
      <c r="A18" t="s">
        <v>352</v>
      </c>
      <c r="B18" s="19">
        <v>0</v>
      </c>
      <c r="C18" s="19">
        <v>401411.28</v>
      </c>
      <c r="D18" s="64">
        <v>0</v>
      </c>
      <c r="E18" s="19">
        <v>401411.28</v>
      </c>
    </row>
    <row r="19" spans="1:5" x14ac:dyDescent="0.25">
      <c r="A19" s="32" t="s">
        <v>353</v>
      </c>
      <c r="B19" s="33">
        <v>0</v>
      </c>
      <c r="C19" s="33">
        <v>323718.78</v>
      </c>
      <c r="D19" s="63">
        <v>0</v>
      </c>
      <c r="E19" s="33">
        <v>323718.78</v>
      </c>
    </row>
    <row r="20" spans="1:5" x14ac:dyDescent="0.25">
      <c r="A20" t="s">
        <v>354</v>
      </c>
      <c r="B20" s="19">
        <v>0</v>
      </c>
      <c r="C20" s="19">
        <v>375000</v>
      </c>
      <c r="D20" s="64">
        <v>0</v>
      </c>
      <c r="E20" s="19">
        <v>375000</v>
      </c>
    </row>
    <row r="21" spans="1:5" x14ac:dyDescent="0.25">
      <c r="A21" s="32" t="s">
        <v>355</v>
      </c>
      <c r="B21" s="33">
        <v>0</v>
      </c>
      <c r="C21" s="33">
        <v>117647.00000000004</v>
      </c>
      <c r="D21" s="63">
        <v>0</v>
      </c>
      <c r="E21" s="33">
        <v>117647.00000000004</v>
      </c>
    </row>
    <row r="22" spans="1:5" x14ac:dyDescent="0.25">
      <c r="A22" t="s">
        <v>356</v>
      </c>
      <c r="B22" s="19">
        <v>0</v>
      </c>
      <c r="C22" s="19">
        <v>0</v>
      </c>
      <c r="D22" s="64">
        <v>0</v>
      </c>
      <c r="E22" s="19">
        <v>0</v>
      </c>
    </row>
    <row r="23" spans="1:5" x14ac:dyDescent="0.25">
      <c r="A23" s="32" t="s">
        <v>357</v>
      </c>
      <c r="B23" s="33">
        <v>0</v>
      </c>
      <c r="C23" s="33">
        <v>0</v>
      </c>
      <c r="D23" s="63">
        <v>0</v>
      </c>
      <c r="E23" s="33">
        <v>0</v>
      </c>
    </row>
    <row r="24" spans="1:5" x14ac:dyDescent="0.25">
      <c r="A24" t="s">
        <v>358</v>
      </c>
      <c r="B24" s="19">
        <v>0</v>
      </c>
      <c r="C24" s="19">
        <v>0</v>
      </c>
      <c r="D24" s="64">
        <v>0</v>
      </c>
      <c r="E24" s="19">
        <v>0</v>
      </c>
    </row>
    <row r="25" spans="1:5" x14ac:dyDescent="0.25">
      <c r="A25" s="32" t="s">
        <v>359</v>
      </c>
      <c r="B25" s="33">
        <v>0</v>
      </c>
      <c r="C25" s="33">
        <v>0</v>
      </c>
      <c r="D25" s="63">
        <v>0</v>
      </c>
      <c r="E25" s="33">
        <v>0</v>
      </c>
    </row>
    <row r="26" spans="1:5" x14ac:dyDescent="0.25">
      <c r="A26" t="s">
        <v>360</v>
      </c>
      <c r="B26" s="19">
        <v>0</v>
      </c>
      <c r="C26" s="19">
        <v>0</v>
      </c>
      <c r="D26" s="64">
        <v>0</v>
      </c>
      <c r="E26" s="19">
        <v>0</v>
      </c>
    </row>
    <row r="27" spans="1:5" x14ac:dyDescent="0.25">
      <c r="A27" s="53" t="s">
        <v>361</v>
      </c>
      <c r="B27" s="53"/>
      <c r="C27" s="55">
        <v>3218418.220000002</v>
      </c>
      <c r="D27" s="55">
        <v>0</v>
      </c>
      <c r="E27" s="55">
        <v>3218418.220000002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5" t="s">
        <v>363</v>
      </c>
    </row>
    <row r="4" spans="4:8" x14ac:dyDescent="0.25">
      <c r="D4" s="4" t="s">
        <v>364</v>
      </c>
      <c r="E4" s="4" t="s">
        <v>365</v>
      </c>
      <c r="F4" s="4" t="s">
        <v>366</v>
      </c>
      <c r="G4" s="4" t="s">
        <v>367</v>
      </c>
      <c r="H4" s="4" t="s">
        <v>368</v>
      </c>
    </row>
    <row r="5" spans="4:8" x14ac:dyDescent="0.25">
      <c r="D5" t="s">
        <v>369</v>
      </c>
      <c r="E5" s="26">
        <v>0.5</v>
      </c>
      <c r="F5" s="26">
        <v>0.2</v>
      </c>
      <c r="G5" s="26">
        <v>0.2</v>
      </c>
      <c r="H5" s="26">
        <v>0.1</v>
      </c>
    </row>
    <row r="6" spans="2:3" x14ac:dyDescent="0.25">
      <c r="B6" t="s">
        <v>370</v>
      </c>
      <c r="C6" s="71" t="s">
        <v>371</v>
      </c>
    </row>
    <row r="7" spans="2:3" x14ac:dyDescent="0.25">
      <c r="B7" t="s">
        <v>372</v>
      </c>
      <c r="C7" s="71" t="s">
        <v>371</v>
      </c>
    </row>
    <row r="9" spans="1:6" x14ac:dyDescent="0.25">
      <c r="A9" s="24" t="s">
        <v>38</v>
      </c>
      <c r="B9" s="24" t="s">
        <v>340</v>
      </c>
      <c r="C9" s="24" t="s">
        <v>373</v>
      </c>
      <c r="D9" s="24" t="s">
        <v>374</v>
      </c>
      <c r="E9" s="24" t="s">
        <v>375</v>
      </c>
      <c r="F9" s="24" t="s">
        <v>376</v>
      </c>
    </row>
    <row r="10" spans="1:6" x14ac:dyDescent="0.25">
      <c r="A10" s="53"/>
      <c r="B10" s="55">
        <v>3706135.2199999993</v>
      </c>
      <c r="C10" s="55">
        <v>3218418.220000002</v>
      </c>
      <c r="D10" s="55">
        <v>487716.9999999972</v>
      </c>
      <c r="E10" s="56">
        <v>0.131597195204334</v>
      </c>
      <c r="F10" s="55">
        <v>0</v>
      </c>
    </row>
    <row r="12" spans="1:14" x14ac:dyDescent="0.25">
      <c r="A12" s="25" t="s">
        <v>377</v>
      </c>
      <c r="E12" s="83" t="s">
        <v>378</v>
      </c>
      <c r="F12" s="83" t="s">
        <v>379</v>
      </c>
      <c r="G12" s="83" t="s">
        <v>380</v>
      </c>
      <c r="H12" s="83" t="s">
        <v>381</v>
      </c>
      <c r="I12" s="83" t="s">
        <v>382</v>
      </c>
      <c r="J12" s="83" t="s">
        <v>383</v>
      </c>
      <c r="K12" s="83" t="s">
        <v>384</v>
      </c>
      <c r="L12" s="83" t="s">
        <v>385</v>
      </c>
      <c r="M12" s="83" t="s">
        <v>386</v>
      </c>
      <c r="N12" s="83" t="s">
        <v>387</v>
      </c>
    </row>
    <row r="13" spans="1:4" x14ac:dyDescent="0.25">
      <c r="A13" s="3" t="s">
        <v>340</v>
      </c>
      <c r="C13" s="3" t="s">
        <v>388</v>
      </c>
      <c r="D13" s="3" t="s">
        <v>389</v>
      </c>
    </row>
    <row r="14" spans="1:14" x14ac:dyDescent="0.25">
      <c r="A14" s="32">
        <v>1</v>
      </c>
      <c r="B14" s="32"/>
      <c r="C14" s="63">
        <v>0</v>
      </c>
      <c r="D14" s="69" t="s">
        <v>38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</row>
    <row r="15" spans="1:14" x14ac:dyDescent="0.25">
      <c r="A15">
        <v>2</v>
      </c>
      <c r="C15" s="64">
        <v>0</v>
      </c>
      <c r="D15" s="71" t="s">
        <v>38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</row>
    <row r="16" spans="1:14" x14ac:dyDescent="0.25">
      <c r="A16" s="32">
        <v>3</v>
      </c>
      <c r="B16" s="32"/>
      <c r="C16" s="63">
        <v>0</v>
      </c>
      <c r="D16" s="69" t="s">
        <v>38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</row>
    <row r="17" spans="1:14" x14ac:dyDescent="0.25">
      <c r="A17">
        <v>4</v>
      </c>
      <c r="C17" s="64">
        <v>0</v>
      </c>
      <c r="D17" s="71" t="s">
        <v>38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</row>
    <row r="18" spans="1:14" x14ac:dyDescent="0.25">
      <c r="A18" s="32">
        <v>5</v>
      </c>
      <c r="B18" s="32"/>
      <c r="C18" s="63">
        <v>0</v>
      </c>
      <c r="D18" s="69" t="s">
        <v>38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</row>
    <row r="19" spans="1:14" x14ac:dyDescent="0.25">
      <c r="A19">
        <v>6</v>
      </c>
      <c r="C19" s="64">
        <v>0</v>
      </c>
      <c r="D19" s="71" t="s">
        <v>38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</row>
    <row r="20" spans="1:14" x14ac:dyDescent="0.25">
      <c r="A20" s="32">
        <v>7</v>
      </c>
      <c r="B20" s="32"/>
      <c r="C20" s="63">
        <v>0</v>
      </c>
      <c r="D20" s="69" t="s">
        <v>38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</row>
    <row r="21" spans="1:14" x14ac:dyDescent="0.25">
      <c r="A21">
        <v>8</v>
      </c>
      <c r="C21" s="64">
        <v>0</v>
      </c>
      <c r="D21" s="71" t="s">
        <v>38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</row>
    <row r="22" spans="1:14" x14ac:dyDescent="0.25">
      <c r="A22" s="32">
        <v>9</v>
      </c>
      <c r="B22" s="32"/>
      <c r="C22" s="63">
        <v>0</v>
      </c>
      <c r="D22" s="69" t="s">
        <v>38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</row>
    <row r="23" spans="1:14" x14ac:dyDescent="0.25">
      <c r="A23">
        <v>10</v>
      </c>
      <c r="C23" s="64">
        <v>0</v>
      </c>
      <c r="D23" s="71" t="s">
        <v>38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</row>
    <row r="24" spans="1:14" x14ac:dyDescent="0.25">
      <c r="A24" s="65" t="s">
        <v>390</v>
      </c>
      <c r="B24" s="65"/>
      <c r="C24" s="66">
        <v>0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340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37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</row>
    <row r="5" spans="2:4" s="12" customFormat="1" x14ac:dyDescent="0.25">
      <c r="B5" s="12" t="s">
        <v>44</v>
      </c>
      <c r="D5" s="13" t="s">
        <v>41</v>
      </c>
    </row>
    <row r="6" spans="2:6" x14ac:dyDescent="0.25" outlineLevel="1" collapsed="1">
      <c r="B6" s="14" t="s">
        <v>45</v>
      </c>
      <c r="C6" s="15">
        <f>'LED Cost Sheet'!T4</f>
        <v>28982.73</v>
      </c>
      <c r="D6" s="15">
        <f>'LED Cost Sheet'!V4</f>
        <v>34097.33</v>
      </c>
      <c r="E6" s="15">
        <f>IFERROR(D6-C6,0)</f>
        <v>5114.6</v>
      </c>
      <c r="F6" s="16">
        <v>0.15</v>
      </c>
    </row>
    <row r="7" spans="2:6" x14ac:dyDescent="0.25" outlineLevel="1" collapsed="1">
      <c r="B7" s="14" t="s">
        <v>46</v>
      </c>
      <c r="C7" s="15">
        <f>'Team Room - Install'!I26</f>
        <v>1290</v>
      </c>
      <c r="D7" s="15">
        <f>IFERROR(C7/(1-F7),0)</f>
        <v>1517.65</v>
      </c>
      <c r="E7" s="15">
        <f>IFERROR(D7-C7,0)</f>
        <v>227.65</v>
      </c>
      <c r="F7" s="16">
        <v>0.15</v>
      </c>
    </row>
    <row r="8" spans="2:6" x14ac:dyDescent="0.25" outlineLevel="1" collapsed="1">
      <c r="B8" s="14" t="s">
        <v>47</v>
      </c>
      <c r="C8" s="15">
        <f>'Team Room - Install'!I35-'Team Room - Install'!I34</f>
        <v>5375</v>
      </c>
      <c r="D8" s="15">
        <f>IFERROR(C8/(1-F8),0)</f>
        <v>6323.53</v>
      </c>
      <c r="E8" s="15">
        <f>IFERROR(D8-C8,0)</f>
        <v>948.53</v>
      </c>
      <c r="F8" s="16">
        <v>0.15</v>
      </c>
    </row>
    <row r="9" spans="2:6" x14ac:dyDescent="0.25" outlineLevel="1" collapsed="1">
      <c r="B9" s="14" t="s">
        <v>48</v>
      </c>
      <c r="C9" s="15">
        <f>'Team Room - Install'!I44</f>
        <v>5375</v>
      </c>
      <c r="D9" s="15">
        <f>IFERROR(C9/(1-F9),0)</f>
        <v>6323.53</v>
      </c>
      <c r="E9" s="15">
        <f>IFERROR(D9-C9,0)</f>
        <v>948.53</v>
      </c>
      <c r="F9" s="16">
        <v>0.15</v>
      </c>
    </row>
    <row r="10" spans="2:6" x14ac:dyDescent="0.25" outlineLevel="1" collapsed="1">
      <c r="B10" s="14" t="s">
        <v>49</v>
      </c>
      <c r="C10" s="15">
        <f>'Team Room - Install'!I34</f>
        <v>20882.35</v>
      </c>
      <c r="D10" s="15">
        <f>IFERROR(C10/(1-F10),0)</f>
        <v>24567.47</v>
      </c>
      <c r="E10" s="15">
        <f>IFERROR(D10-C10,0)</f>
        <v>3685.12</v>
      </c>
      <c r="F10" s="16">
        <v>0.15</v>
      </c>
    </row>
    <row r="11" spans="2:6" x14ac:dyDescent="0.25" outlineLevel="1" collapsed="1">
      <c r="B11" s="14" t="s">
        <v>50</v>
      </c>
      <c r="C11" s="15">
        <f>'Team Room - Install'!I52</f>
        <v>4705.88</v>
      </c>
      <c r="D11" s="15">
        <f>IFERROR(C11/(1-F11),0)</f>
        <v>5536.33</v>
      </c>
      <c r="E11" s="15">
        <f>IFERROR(D11-C11,0)</f>
        <v>830.45</v>
      </c>
      <c r="F11" s="16">
        <v>0.15</v>
      </c>
    </row>
    <row r="12" spans="2:6" x14ac:dyDescent="0.25" outlineLevel="1" collapsed="1">
      <c r="B12" s="4" t="s">
        <v>51</v>
      </c>
      <c r="C12" s="17">
        <f>SUM(C6:C11)</f>
        <v>66610.96</v>
      </c>
      <c r="D12" s="17">
        <f>SUM(D6:D11)</f>
        <v>77048.19</v>
      </c>
      <c r="E12" s="17">
        <f>IFERROR(D12-C12,0)</f>
        <v>10437.23</v>
      </c>
      <c r="F12" s="18">
        <f>IFERROR(1-C12/D12,0)</f>
        <v>0.135464</v>
      </c>
    </row>
    <row r="13" spans="2:7" x14ac:dyDescent="0.25" outlineLevel="1" collapsed="1">
      <c r="B13" s="14" t="s">
        <v>52</v>
      </c>
      <c r="C13" s="19">
        <v>0</v>
      </c>
      <c r="D13" s="19">
        <v>0</v>
      </c>
      <c r="E13" s="19">
        <v>0</v>
      </c>
      <c r="G13" s="20">
        <v>0</v>
      </c>
    </row>
    <row r="14" spans="2:7" x14ac:dyDescent="0.25" outlineLevel="1" collapsed="1">
      <c r="B14" s="14" t="s">
        <v>53</v>
      </c>
      <c r="C14" s="19">
        <v>0</v>
      </c>
      <c r="D14" s="19">
        <v>0</v>
      </c>
      <c r="E14" s="19">
        <v>0</v>
      </c>
      <c r="G14" s="20">
        <v>0</v>
      </c>
    </row>
    <row r="15" spans="2:7" x14ac:dyDescent="0.25" outlineLevel="1" collapsed="1">
      <c r="B15" s="14" t="s">
        <v>54</v>
      </c>
      <c r="C15" s="19">
        <v>0</v>
      </c>
      <c r="D15" s="19">
        <v>0</v>
      </c>
      <c r="E15" s="19">
        <v>0</v>
      </c>
      <c r="G15" s="20">
        <v>0</v>
      </c>
    </row>
    <row r="16" spans="2:6" x14ac:dyDescent="0.25">
      <c r="B16" s="21" t="s">
        <v>55</v>
      </c>
      <c r="C16" s="22">
        <f>C12+C13+C14+C15</f>
        <v>66610.96</v>
      </c>
      <c r="D16" s="22">
        <f>D12+D13+D14+D15</f>
        <v>77048.19</v>
      </c>
      <c r="E16" s="22">
        <f>IFERROR(D16-C16,0)</f>
        <v>10437.229999999996</v>
      </c>
      <c r="F16" s="23">
        <f>IFERROR(1-C16/D16,0)</f>
        <v>0.1354636624169886</v>
      </c>
    </row>
    <row r="18" spans="2:4" s="12" customFormat="1" x14ac:dyDescent="0.25">
      <c r="B18" s="12" t="s">
        <v>56</v>
      </c>
      <c r="D18" s="13" t="s">
        <v>41</v>
      </c>
    </row>
    <row r="19" spans="2:6" x14ac:dyDescent="0.25" outlineLevel="1" collapsed="1">
      <c r="B19" s="14" t="s">
        <v>45</v>
      </c>
      <c r="C19" s="15">
        <f>'LED Cost Sheet'!T5</f>
        <v>31247.51</v>
      </c>
      <c r="D19" s="15">
        <f>'LED Cost Sheet'!V5</f>
        <v>36761.78</v>
      </c>
      <c r="E19" s="15">
        <f>IFERROR(D19-C19,0)</f>
        <v>5514.27</v>
      </c>
      <c r="F19" s="16">
        <v>0.15</v>
      </c>
    </row>
    <row r="20" spans="2:6" x14ac:dyDescent="0.25" outlineLevel="1" collapsed="1">
      <c r="B20" s="14" t="s">
        <v>46</v>
      </c>
      <c r="C20" s="15">
        <f>'Incident Command - Install'!I26</f>
        <v>1391.25</v>
      </c>
      <c r="D20" s="15">
        <f>IFERROR(C20/(1-F20),0)</f>
        <v>1636.76</v>
      </c>
      <c r="E20" s="15">
        <f>IFERROR(D20-C20,0)</f>
        <v>245.51</v>
      </c>
      <c r="F20" s="16">
        <v>0.15</v>
      </c>
    </row>
    <row r="21" spans="2:6" x14ac:dyDescent="0.25" outlineLevel="1" collapsed="1">
      <c r="B21" s="14" t="s">
        <v>47</v>
      </c>
      <c r="C21" s="15">
        <f>'Incident Command - Install'!I35-'Incident Command - Install'!I34</f>
        <v>5796.88</v>
      </c>
      <c r="D21" s="15">
        <f>IFERROR(C21/(1-F21),0)</f>
        <v>6819.86</v>
      </c>
      <c r="E21" s="15">
        <f>IFERROR(D21-C21,0)</f>
        <v>1022.98</v>
      </c>
      <c r="F21" s="16">
        <v>0.15</v>
      </c>
    </row>
    <row r="22" spans="2:6" x14ac:dyDescent="0.25" outlineLevel="1" collapsed="1">
      <c r="B22" s="14" t="s">
        <v>48</v>
      </c>
      <c r="C22" s="15">
        <f>'Incident Command - Install'!I44</f>
        <v>5796.88</v>
      </c>
      <c r="D22" s="15">
        <f>IFERROR(C22/(1-F22),0)</f>
        <v>6819.86</v>
      </c>
      <c r="E22" s="15">
        <f>IFERROR(D22-C22,0)</f>
        <v>1022.98</v>
      </c>
      <c r="F22" s="16">
        <v>0.15</v>
      </c>
    </row>
    <row r="23" spans="2:6" x14ac:dyDescent="0.25" outlineLevel="1" collapsed="1">
      <c r="B23" s="14" t="s">
        <v>49</v>
      </c>
      <c r="C23" s="15">
        <f>'Incident Command - Install'!I34</f>
        <v>20882.35</v>
      </c>
      <c r="D23" s="15">
        <f>IFERROR(C23/(1-F23),0)</f>
        <v>24567.47</v>
      </c>
      <c r="E23" s="15">
        <f>IFERROR(D23-C23,0)</f>
        <v>3685.12</v>
      </c>
      <c r="F23" s="16">
        <v>0.15</v>
      </c>
    </row>
    <row r="24" spans="2:6" x14ac:dyDescent="0.25" outlineLevel="1" collapsed="1">
      <c r="B24" s="14" t="s">
        <v>50</v>
      </c>
      <c r="C24" s="15">
        <f>'Incident Command - Install'!I52</f>
        <v>4705.88</v>
      </c>
      <c r="D24" s="15">
        <f>IFERROR(C24/(1-F24),0)</f>
        <v>5536.33</v>
      </c>
      <c r="E24" s="15">
        <f>IFERROR(D24-C24,0)</f>
        <v>830.45</v>
      </c>
      <c r="F24" s="16">
        <v>0.15</v>
      </c>
    </row>
    <row r="25" spans="2:6" x14ac:dyDescent="0.25" outlineLevel="1" collapsed="1">
      <c r="B25" s="4" t="s">
        <v>51</v>
      </c>
      <c r="C25" s="17">
        <f>SUM(C19:C24)</f>
        <v>69820.75</v>
      </c>
      <c r="D25" s="17">
        <f>SUM(D19:D24)</f>
        <v>80719.82</v>
      </c>
      <c r="E25" s="17">
        <f>IFERROR(D25-C25,0)</f>
        <v>10899.07</v>
      </c>
      <c r="F25" s="18">
        <f>IFERROR(1-C25/D25,0)</f>
        <v>0.135023</v>
      </c>
    </row>
    <row r="26" spans="2:7" x14ac:dyDescent="0.25" outlineLevel="1" collapsed="1">
      <c r="B26" s="14" t="s">
        <v>52</v>
      </c>
      <c r="C26" s="19">
        <v>0</v>
      </c>
      <c r="D26" s="19">
        <v>0</v>
      </c>
      <c r="E26" s="19">
        <v>0</v>
      </c>
      <c r="G26" s="20">
        <v>0</v>
      </c>
    </row>
    <row r="27" spans="2:7" x14ac:dyDescent="0.25" outlineLevel="1" collapsed="1">
      <c r="B27" s="14" t="s">
        <v>53</v>
      </c>
      <c r="C27" s="19">
        <v>0</v>
      </c>
      <c r="D27" s="19">
        <v>0</v>
      </c>
      <c r="E27" s="19">
        <v>0</v>
      </c>
      <c r="G27" s="20">
        <v>0</v>
      </c>
    </row>
    <row r="28" spans="2:7" x14ac:dyDescent="0.25" outlineLevel="1" collapsed="1">
      <c r="B28" s="14" t="s">
        <v>54</v>
      </c>
      <c r="C28" s="19">
        <v>0</v>
      </c>
      <c r="D28" s="19">
        <v>0</v>
      </c>
      <c r="E28" s="19">
        <v>0</v>
      </c>
      <c r="G28" s="20">
        <v>0</v>
      </c>
    </row>
    <row r="29" spans="2:6" x14ac:dyDescent="0.25">
      <c r="B29" s="21" t="s">
        <v>55</v>
      </c>
      <c r="C29" s="22">
        <f>C25+C26+C27+C28</f>
        <v>69820.75</v>
      </c>
      <c r="D29" s="22">
        <f>D25+D26+D27+D28</f>
        <v>80719.82</v>
      </c>
      <c r="E29" s="22">
        <f>IFERROR(D29-C29,0)</f>
        <v>10899.070000000007</v>
      </c>
      <c r="F29" s="23">
        <f>IFERROR(1-C29/D29,0)</f>
        <v>0.13502346759445205</v>
      </c>
    </row>
    <row r="31" spans="2:4" s="12" customFormat="1" x14ac:dyDescent="0.25">
      <c r="B31" s="12" t="s">
        <v>57</v>
      </c>
      <c r="D31" s="13" t="s">
        <v>41</v>
      </c>
    </row>
    <row r="32" spans="2:6" x14ac:dyDescent="0.25" outlineLevel="1" collapsed="1">
      <c r="B32" s="14" t="s">
        <v>45</v>
      </c>
      <c r="C32" s="15">
        <f>'LED Cost Sheet'!T6</f>
        <v>28982.73</v>
      </c>
      <c r="D32" s="15">
        <f>'LED Cost Sheet'!V6</f>
        <v>34097.33</v>
      </c>
      <c r="E32" s="15">
        <f>IFERROR(D32-C32,0)</f>
        <v>5114.6</v>
      </c>
      <c r="F32" s="16">
        <v>0.15</v>
      </c>
    </row>
    <row r="33" spans="2:6" x14ac:dyDescent="0.25" outlineLevel="1" collapsed="1">
      <c r="B33" s="14" t="s">
        <v>46</v>
      </c>
      <c r="C33" s="15">
        <f>'Def. Unit - Install'!I26</f>
        <v>1290</v>
      </c>
      <c r="D33" s="15">
        <f>IFERROR(C33/(1-F33),0)</f>
        <v>1517.65</v>
      </c>
      <c r="E33" s="15">
        <f>IFERROR(D33-C33,0)</f>
        <v>227.65</v>
      </c>
      <c r="F33" s="16">
        <v>0.15</v>
      </c>
    </row>
    <row r="34" spans="2:6" x14ac:dyDescent="0.25" outlineLevel="1" collapsed="1">
      <c r="B34" s="14" t="s">
        <v>47</v>
      </c>
      <c r="C34" s="15">
        <f>'Def. Unit - Install'!I35-'Def. Unit - Install'!I34</f>
        <v>5375</v>
      </c>
      <c r="D34" s="15">
        <f>IFERROR(C34/(1-F34),0)</f>
        <v>6323.53</v>
      </c>
      <c r="E34" s="15">
        <f>IFERROR(D34-C34,0)</f>
        <v>948.53</v>
      </c>
      <c r="F34" s="16">
        <v>0.15</v>
      </c>
    </row>
    <row r="35" spans="2:6" x14ac:dyDescent="0.25" outlineLevel="1" collapsed="1">
      <c r="B35" s="14" t="s">
        <v>48</v>
      </c>
      <c r="C35" s="15">
        <f>'Def. Unit - Install'!I44</f>
        <v>5375</v>
      </c>
      <c r="D35" s="15">
        <f>IFERROR(C35/(1-F35),0)</f>
        <v>6323.53</v>
      </c>
      <c r="E35" s="15">
        <f>IFERROR(D35-C35,0)</f>
        <v>948.53</v>
      </c>
      <c r="F35" s="16">
        <v>0.15</v>
      </c>
    </row>
    <row r="36" spans="2:6" x14ac:dyDescent="0.25" outlineLevel="1" collapsed="1">
      <c r="B36" s="14" t="s">
        <v>49</v>
      </c>
      <c r="C36" s="15">
        <f>'Def. Unit - Install'!I34</f>
        <v>20882.35</v>
      </c>
      <c r="D36" s="15">
        <f>IFERROR(C36/(1-F36),0)</f>
        <v>24567.47</v>
      </c>
      <c r="E36" s="15">
        <f>IFERROR(D36-C36,0)</f>
        <v>3685.12</v>
      </c>
      <c r="F36" s="16">
        <v>0.15</v>
      </c>
    </row>
    <row r="37" spans="2:6" x14ac:dyDescent="0.25" outlineLevel="1" collapsed="1">
      <c r="B37" s="14" t="s">
        <v>50</v>
      </c>
      <c r="C37" s="15">
        <f>'Def. Unit - Install'!I52</f>
        <v>4705.88</v>
      </c>
      <c r="D37" s="15">
        <f>IFERROR(C37/(1-F37),0)</f>
        <v>5536.33</v>
      </c>
      <c r="E37" s="15">
        <f>IFERROR(D37-C37,0)</f>
        <v>830.45</v>
      </c>
      <c r="F37" s="16">
        <v>0.15</v>
      </c>
    </row>
    <row r="38" spans="2:6" x14ac:dyDescent="0.25" outlineLevel="1" collapsed="1">
      <c r="B38" s="4" t="s">
        <v>51</v>
      </c>
      <c r="C38" s="17">
        <f>SUM(C32:C37)</f>
        <v>66610.96</v>
      </c>
      <c r="D38" s="17">
        <f>SUM(D32:D37)</f>
        <v>77048.19</v>
      </c>
      <c r="E38" s="17">
        <f>IFERROR(D38-C38,0)</f>
        <v>10437.23</v>
      </c>
      <c r="F38" s="18">
        <f>IFERROR(1-C38/D38,0)</f>
        <v>0.135464</v>
      </c>
    </row>
    <row r="39" spans="2:7" x14ac:dyDescent="0.25" outlineLevel="1" collapsed="1">
      <c r="B39" s="14" t="s">
        <v>52</v>
      </c>
      <c r="C39" s="19">
        <v>0</v>
      </c>
      <c r="D39" s="19">
        <v>0</v>
      </c>
      <c r="E39" s="19">
        <v>0</v>
      </c>
      <c r="G39" s="20">
        <v>0</v>
      </c>
    </row>
    <row r="40" spans="2:7" x14ac:dyDescent="0.25" outlineLevel="1" collapsed="1">
      <c r="B40" s="14" t="s">
        <v>53</v>
      </c>
      <c r="C40" s="19">
        <v>0</v>
      </c>
      <c r="D40" s="19">
        <v>0</v>
      </c>
      <c r="E40" s="19">
        <v>0</v>
      </c>
      <c r="G40" s="20">
        <v>0</v>
      </c>
    </row>
    <row r="41" spans="2:7" x14ac:dyDescent="0.25" outlineLevel="1" collapsed="1">
      <c r="B41" s="14" t="s">
        <v>54</v>
      </c>
      <c r="C41" s="19">
        <v>0</v>
      </c>
      <c r="D41" s="19">
        <v>0</v>
      </c>
      <c r="E41" s="19">
        <v>0</v>
      </c>
      <c r="G41" s="20">
        <v>0</v>
      </c>
    </row>
    <row r="42" spans="2:6" x14ac:dyDescent="0.25">
      <c r="B42" s="21" t="s">
        <v>55</v>
      </c>
      <c r="C42" s="22">
        <f>C38+C39+C40+C41</f>
        <v>66610.96</v>
      </c>
      <c r="D42" s="22">
        <f>D38+D39+D40+D41</f>
        <v>77048.19</v>
      </c>
      <c r="E42" s="22">
        <f>IFERROR(D42-C42,0)</f>
        <v>10437.229999999996</v>
      </c>
      <c r="F42" s="23">
        <f>IFERROR(1-C42/D42,0)</f>
        <v>0.1354636624169886</v>
      </c>
    </row>
    <row r="44" spans="2:4" s="12" customFormat="1" x14ac:dyDescent="0.25">
      <c r="B44" s="12" t="s">
        <v>58</v>
      </c>
      <c r="D44" s="13" t="s">
        <v>41</v>
      </c>
    </row>
    <row r="45" spans="2:6" x14ac:dyDescent="0.25" outlineLevel="1" collapsed="1">
      <c r="B45" s="14" t="s">
        <v>45</v>
      </c>
      <c r="C45" s="15">
        <f>'LED Cost Sheet'!T7</f>
        <v>300632.15</v>
      </c>
      <c r="D45" s="15">
        <f>'LED Cost Sheet'!V7</f>
        <v>353684.88</v>
      </c>
      <c r="E45" s="15">
        <f>IFERROR(D45-C45,0)</f>
        <v>53052.73</v>
      </c>
      <c r="F45" s="16">
        <v>0.15</v>
      </c>
    </row>
    <row r="46" spans="2:6" x14ac:dyDescent="0.25" outlineLevel="1" collapsed="1">
      <c r="B46" s="14" t="s">
        <v>46</v>
      </c>
      <c r="C46" s="15">
        <f>'North Corridor - Install'!I26</f>
        <v>12678.75</v>
      </c>
      <c r="D46" s="15">
        <f>IFERROR(C46/(1-F46),0)</f>
        <v>14916.18</v>
      </c>
      <c r="E46" s="15">
        <f>IFERROR(D46-C46,0)</f>
        <v>2237.43</v>
      </c>
      <c r="F46" s="16">
        <v>0.15</v>
      </c>
    </row>
    <row r="47" spans="2:6" x14ac:dyDescent="0.25" outlineLevel="1" collapsed="1">
      <c r="B47" s="14" t="s">
        <v>47</v>
      </c>
      <c r="C47" s="15">
        <f>'North Corridor - Install'!I35-'North Corridor - Install'!I34</f>
        <v>52828.13</v>
      </c>
      <c r="D47" s="15">
        <f>IFERROR(C47/(1-F47),0)</f>
        <v>62150.74</v>
      </c>
      <c r="E47" s="15">
        <f>IFERROR(D47-C47,0)</f>
        <v>9322.61</v>
      </c>
      <c r="F47" s="16">
        <v>0.15</v>
      </c>
    </row>
    <row r="48" spans="2:6" x14ac:dyDescent="0.25" outlineLevel="1" collapsed="1">
      <c r="B48" s="14" t="s">
        <v>48</v>
      </c>
      <c r="C48" s="15">
        <f>'North Corridor - Install'!I44</f>
        <v>52828.13</v>
      </c>
      <c r="D48" s="15">
        <f>IFERROR(C48/(1-F48),0)</f>
        <v>62150.74</v>
      </c>
      <c r="E48" s="15">
        <f>IFERROR(D48-C48,0)</f>
        <v>9322.61</v>
      </c>
      <c r="F48" s="16">
        <v>0.15</v>
      </c>
    </row>
    <row r="49" spans="2:6" x14ac:dyDescent="0.25" outlineLevel="1" collapsed="1">
      <c r="B49" s="14" t="s">
        <v>49</v>
      </c>
      <c r="C49" s="15">
        <f>'North Corridor - Install'!I34</f>
        <v>20882.35</v>
      </c>
      <c r="D49" s="15">
        <f>IFERROR(C49/(1-F49),0)</f>
        <v>24567.47</v>
      </c>
      <c r="E49" s="15">
        <f>IFERROR(D49-C49,0)</f>
        <v>3685.12</v>
      </c>
      <c r="F49" s="16">
        <v>0.15</v>
      </c>
    </row>
    <row r="50" spans="2:6" x14ac:dyDescent="0.25" outlineLevel="1" collapsed="1">
      <c r="B50" s="14" t="s">
        <v>50</v>
      </c>
      <c r="C50" s="15">
        <f>'North Corridor - Install'!I52</f>
        <v>4705.88</v>
      </c>
      <c r="D50" s="15">
        <f>IFERROR(C50/(1-F50),0)</f>
        <v>5536.33</v>
      </c>
      <c r="E50" s="15">
        <f>IFERROR(D50-C50,0)</f>
        <v>830.45</v>
      </c>
      <c r="F50" s="16">
        <v>0.15</v>
      </c>
    </row>
    <row r="51" spans="2:6" x14ac:dyDescent="0.25" outlineLevel="1" collapsed="1">
      <c r="B51" s="4" t="s">
        <v>51</v>
      </c>
      <c r="C51" s="17">
        <f>SUM(C45:C50)</f>
        <v>444555.39</v>
      </c>
      <c r="D51" s="17">
        <f>SUM(D45:D50)</f>
        <v>510065.17</v>
      </c>
      <c r="E51" s="17">
        <f>IFERROR(D51-C51,0)</f>
        <v>65509.78</v>
      </c>
      <c r="F51" s="18">
        <f>IFERROR(1-C51/D51,0)</f>
        <v>0.128434</v>
      </c>
    </row>
    <row r="52" spans="2:7" x14ac:dyDescent="0.25" outlineLevel="1" collapsed="1">
      <c r="B52" s="14" t="s">
        <v>52</v>
      </c>
      <c r="C52" s="19">
        <v>0</v>
      </c>
      <c r="D52" s="19">
        <v>0</v>
      </c>
      <c r="E52" s="19">
        <v>0</v>
      </c>
      <c r="G52" s="20">
        <v>0</v>
      </c>
    </row>
    <row r="53" spans="2:7" x14ac:dyDescent="0.25" outlineLevel="1" collapsed="1">
      <c r="B53" s="14" t="s">
        <v>53</v>
      </c>
      <c r="C53" s="19">
        <v>0</v>
      </c>
      <c r="D53" s="19">
        <v>0</v>
      </c>
      <c r="E53" s="19">
        <v>0</v>
      </c>
      <c r="G53" s="20">
        <v>0</v>
      </c>
    </row>
    <row r="54" spans="2:7" x14ac:dyDescent="0.25" outlineLevel="1" collapsed="1">
      <c r="B54" s="14" t="s">
        <v>54</v>
      </c>
      <c r="C54" s="19">
        <v>0</v>
      </c>
      <c r="D54" s="19">
        <v>0</v>
      </c>
      <c r="E54" s="19">
        <v>0</v>
      </c>
      <c r="G54" s="20">
        <v>0</v>
      </c>
    </row>
    <row r="55" spans="2:6" x14ac:dyDescent="0.25">
      <c r="B55" s="21" t="s">
        <v>55</v>
      </c>
      <c r="C55" s="22">
        <f>C51+C52+C53+C54</f>
        <v>444555.39</v>
      </c>
      <c r="D55" s="22">
        <f>D51+D52+D53+D54</f>
        <v>510065.17</v>
      </c>
      <c r="E55" s="22">
        <f>IFERROR(D55-C55,0)</f>
        <v>65509.77999999997</v>
      </c>
      <c r="F55" s="23">
        <f>IFERROR(1-C55/D55,0)</f>
        <v>0.12843413715153296</v>
      </c>
    </row>
    <row r="57" spans="2:4" s="12" customFormat="1" x14ac:dyDescent="0.25">
      <c r="B57" s="12" t="s">
        <v>59</v>
      </c>
      <c r="D57" s="13" t="s">
        <v>41</v>
      </c>
    </row>
    <row r="58" spans="2:6" x14ac:dyDescent="0.25" outlineLevel="1" collapsed="1">
      <c r="B58" s="14" t="s">
        <v>45</v>
      </c>
      <c r="C58" s="15">
        <f>'LED Cost Sheet'!T8</f>
        <v>258597.33</v>
      </c>
      <c r="D58" s="15">
        <f>'LED Cost Sheet'!V8</f>
        <v>304232.15</v>
      </c>
      <c r="E58" s="15">
        <f>IFERROR(D58-C58,0)</f>
        <v>45634.82</v>
      </c>
      <c r="F58" s="16">
        <v>0.15</v>
      </c>
    </row>
    <row r="59" spans="2:6" x14ac:dyDescent="0.25" outlineLevel="1" collapsed="1">
      <c r="B59" s="14" t="s">
        <v>46</v>
      </c>
      <c r="C59" s="15">
        <f>'South Corridor - Install'!I26</f>
        <v>10777.5</v>
      </c>
      <c r="D59" s="15">
        <f>IFERROR(C59/(1-F59),0)</f>
        <v>12679.41</v>
      </c>
      <c r="E59" s="15">
        <f>IFERROR(D59-C59,0)</f>
        <v>1901.91</v>
      </c>
      <c r="F59" s="16">
        <v>0.15</v>
      </c>
    </row>
    <row r="60" spans="2:6" x14ac:dyDescent="0.25" outlineLevel="1" collapsed="1">
      <c r="B60" s="14" t="s">
        <v>47</v>
      </c>
      <c r="C60" s="15">
        <f>'South Corridor - Install'!I35-'South Corridor - Install'!I34</f>
        <v>44906.25</v>
      </c>
      <c r="D60" s="15">
        <f>IFERROR(C60/(1-F60),0)</f>
        <v>52830.88</v>
      </c>
      <c r="E60" s="15">
        <f>IFERROR(D60-C60,0)</f>
        <v>7924.63</v>
      </c>
      <c r="F60" s="16">
        <v>0.15</v>
      </c>
    </row>
    <row r="61" spans="2:6" x14ac:dyDescent="0.25" outlineLevel="1" collapsed="1">
      <c r="B61" s="14" t="s">
        <v>48</v>
      </c>
      <c r="C61" s="15">
        <f>'South Corridor - Install'!I44</f>
        <v>44906.25</v>
      </c>
      <c r="D61" s="15">
        <f>IFERROR(C61/(1-F61),0)</f>
        <v>52830.88</v>
      </c>
      <c r="E61" s="15">
        <f>IFERROR(D61-C61,0)</f>
        <v>7924.63</v>
      </c>
      <c r="F61" s="16">
        <v>0.15</v>
      </c>
    </row>
    <row r="62" spans="2:6" x14ac:dyDescent="0.25" outlineLevel="1" collapsed="1">
      <c r="B62" s="14" t="s">
        <v>49</v>
      </c>
      <c r="C62" s="15">
        <f>'South Corridor - Install'!I34</f>
        <v>20882.35</v>
      </c>
      <c r="D62" s="15">
        <f>IFERROR(C62/(1-F62),0)</f>
        <v>24567.47</v>
      </c>
      <c r="E62" s="15">
        <f>IFERROR(D62-C62,0)</f>
        <v>3685.12</v>
      </c>
      <c r="F62" s="16">
        <v>0.15</v>
      </c>
    </row>
    <row r="63" spans="2:6" x14ac:dyDescent="0.25" outlineLevel="1" collapsed="1">
      <c r="B63" s="14" t="s">
        <v>50</v>
      </c>
      <c r="C63" s="15">
        <f>'South Corridor - Install'!I52</f>
        <v>4705.88</v>
      </c>
      <c r="D63" s="15">
        <f>IFERROR(C63/(1-F63),0)</f>
        <v>5536.33</v>
      </c>
      <c r="E63" s="15">
        <f>IFERROR(D63-C63,0)</f>
        <v>830.45</v>
      </c>
      <c r="F63" s="16">
        <v>0.15</v>
      </c>
    </row>
    <row r="64" spans="2:6" x14ac:dyDescent="0.25" outlineLevel="1" collapsed="1">
      <c r="B64" s="4" t="s">
        <v>51</v>
      </c>
      <c r="C64" s="17">
        <f>SUM(C58:C63)</f>
        <v>384775.56</v>
      </c>
      <c r="D64" s="17">
        <f>SUM(D58:D63)</f>
        <v>441677.13</v>
      </c>
      <c r="E64" s="17">
        <f>IFERROR(D64-C64,0)</f>
        <v>56901.57</v>
      </c>
      <c r="F64" s="18">
        <f>IFERROR(1-C64/D64,0)</f>
        <v>0.128831</v>
      </c>
    </row>
    <row r="65" spans="2:7" x14ac:dyDescent="0.25" outlineLevel="1" collapsed="1">
      <c r="B65" s="14" t="s">
        <v>52</v>
      </c>
      <c r="C65" s="19">
        <v>0</v>
      </c>
      <c r="D65" s="19">
        <v>0</v>
      </c>
      <c r="E65" s="19">
        <v>0</v>
      </c>
      <c r="G65" s="20">
        <v>0</v>
      </c>
    </row>
    <row r="66" spans="2:7" x14ac:dyDescent="0.25" outlineLevel="1" collapsed="1">
      <c r="B66" s="14" t="s">
        <v>53</v>
      </c>
      <c r="C66" s="19">
        <v>0</v>
      </c>
      <c r="D66" s="19">
        <v>0</v>
      </c>
      <c r="E66" s="19">
        <v>0</v>
      </c>
      <c r="G66" s="20">
        <v>0</v>
      </c>
    </row>
    <row r="67" spans="2:7" x14ac:dyDescent="0.25" outlineLevel="1" collapsed="1">
      <c r="B67" s="14" t="s">
        <v>54</v>
      </c>
      <c r="C67" s="19">
        <v>0</v>
      </c>
      <c r="D67" s="19">
        <v>0</v>
      </c>
      <c r="E67" s="19">
        <v>0</v>
      </c>
      <c r="G67" s="20">
        <v>0</v>
      </c>
    </row>
    <row r="68" spans="2:6" x14ac:dyDescent="0.25">
      <c r="B68" s="21" t="s">
        <v>55</v>
      </c>
      <c r="C68" s="22">
        <f>C64+C65+C66+C67</f>
        <v>384775.56</v>
      </c>
      <c r="D68" s="22">
        <f>D64+D65+D66+D67</f>
        <v>441677.13</v>
      </c>
      <c r="E68" s="22">
        <f>IFERROR(D68-C68,0)</f>
        <v>56901.57000000001</v>
      </c>
      <c r="F68" s="23">
        <f>IFERROR(1-C68/D68,0)</f>
        <v>0.12883069132422598</v>
      </c>
    </row>
    <row r="70" spans="2:4" s="12" customFormat="1" x14ac:dyDescent="0.25">
      <c r="B70" s="12" t="s">
        <v>60</v>
      </c>
      <c r="D70" s="13" t="s">
        <v>41</v>
      </c>
    </row>
    <row r="71" spans="2:6" x14ac:dyDescent="0.25" outlineLevel="1" collapsed="1">
      <c r="B71" s="14" t="s">
        <v>45</v>
      </c>
      <c r="C71" s="15">
        <f>'LED Cost Sheet'!T9</f>
        <v>185684.41999999998</v>
      </c>
      <c r="D71" s="15">
        <f>'LED Cost Sheet'!V9</f>
        <v>218452.26</v>
      </c>
      <c r="E71" s="15">
        <f>IFERROR(D71-C71,0)</f>
        <v>32767.84</v>
      </c>
      <c r="F71" s="16">
        <v>0.15</v>
      </c>
    </row>
    <row r="72" spans="2:6" x14ac:dyDescent="0.25" outlineLevel="1" collapsed="1">
      <c r="B72" s="14" t="s">
        <v>46</v>
      </c>
      <c r="C72" s="15">
        <f>'S.E Corridor - Install'!I26</f>
        <v>7837.5</v>
      </c>
      <c r="D72" s="15">
        <f>IFERROR(C72/(1-F72),0)</f>
        <v>9220.59</v>
      </c>
      <c r="E72" s="15">
        <f>IFERROR(D72-C72,0)</f>
        <v>1383.09</v>
      </c>
      <c r="F72" s="16">
        <v>0.15</v>
      </c>
    </row>
    <row r="73" spans="2:6" x14ac:dyDescent="0.25" outlineLevel="1" collapsed="1">
      <c r="B73" s="14" t="s">
        <v>47</v>
      </c>
      <c r="C73" s="15">
        <f>'S.E Corridor - Install'!I35-'S.E Corridor - Install'!I34</f>
        <v>32656.25</v>
      </c>
      <c r="D73" s="15">
        <f>IFERROR(C73/(1-F73),0)</f>
        <v>38419.12</v>
      </c>
      <c r="E73" s="15">
        <f>IFERROR(D73-C73,0)</f>
        <v>5762.87</v>
      </c>
      <c r="F73" s="16">
        <v>0.15</v>
      </c>
    </row>
    <row r="74" spans="2:6" x14ac:dyDescent="0.25" outlineLevel="1" collapsed="1">
      <c r="B74" s="14" t="s">
        <v>48</v>
      </c>
      <c r="C74" s="15">
        <f>'S.E Corridor - Install'!I44</f>
        <v>32656.25</v>
      </c>
      <c r="D74" s="15">
        <f>IFERROR(C74/(1-F74),0)</f>
        <v>38419.12</v>
      </c>
      <c r="E74" s="15">
        <f>IFERROR(D74-C74,0)</f>
        <v>5762.87</v>
      </c>
      <c r="F74" s="16">
        <v>0.15</v>
      </c>
    </row>
    <row r="75" spans="2:6" x14ac:dyDescent="0.25" outlineLevel="1" collapsed="1">
      <c r="B75" s="14" t="s">
        <v>49</v>
      </c>
      <c r="C75" s="15">
        <f>'S.E Corridor - Install'!I34</f>
        <v>20882.35</v>
      </c>
      <c r="D75" s="15">
        <f>IFERROR(C75/(1-F75),0)</f>
        <v>24567.47</v>
      </c>
      <c r="E75" s="15">
        <f>IFERROR(D75-C75,0)</f>
        <v>3685.12</v>
      </c>
      <c r="F75" s="16">
        <v>0.15</v>
      </c>
    </row>
    <row r="76" spans="2:6" x14ac:dyDescent="0.25" outlineLevel="1" collapsed="1">
      <c r="B76" s="14" t="s">
        <v>50</v>
      </c>
      <c r="C76" s="15">
        <f>'S.E Corridor - Install'!I52</f>
        <v>4705.88</v>
      </c>
      <c r="D76" s="15">
        <f>IFERROR(C76/(1-F76),0)</f>
        <v>5536.33</v>
      </c>
      <c r="E76" s="15">
        <f>IFERROR(D76-C76,0)</f>
        <v>830.45</v>
      </c>
      <c r="F76" s="16">
        <v>0.15</v>
      </c>
    </row>
    <row r="77" spans="2:6" x14ac:dyDescent="0.25" outlineLevel="1" collapsed="1">
      <c r="B77" s="4" t="s">
        <v>51</v>
      </c>
      <c r="C77" s="17">
        <f>SUM(C71:C76)</f>
        <v>284422.65</v>
      </c>
      <c r="D77" s="17">
        <f>SUM(D71:D76)</f>
        <v>326614.88</v>
      </c>
      <c r="E77" s="17">
        <f>IFERROR(D77-C77,0)</f>
        <v>42192.23</v>
      </c>
      <c r="F77" s="18">
        <f>IFERROR(1-C77/D77,0)</f>
        <v>0.12918</v>
      </c>
    </row>
    <row r="78" spans="2:7" x14ac:dyDescent="0.25" outlineLevel="1" collapsed="1">
      <c r="B78" s="14" t="s">
        <v>52</v>
      </c>
      <c r="C78" s="19">
        <v>0</v>
      </c>
      <c r="D78" s="19">
        <v>0</v>
      </c>
      <c r="E78" s="19">
        <v>0</v>
      </c>
      <c r="G78" s="20">
        <v>0</v>
      </c>
    </row>
    <row r="79" spans="2:7" x14ac:dyDescent="0.25" outlineLevel="1" collapsed="1">
      <c r="B79" s="14" t="s">
        <v>53</v>
      </c>
      <c r="C79" s="19">
        <v>0</v>
      </c>
      <c r="D79" s="19">
        <v>0</v>
      </c>
      <c r="E79" s="19">
        <v>0</v>
      </c>
      <c r="G79" s="20">
        <v>0</v>
      </c>
    </row>
    <row r="80" spans="2:7" x14ac:dyDescent="0.25" outlineLevel="1" collapsed="1">
      <c r="B80" s="14" t="s">
        <v>54</v>
      </c>
      <c r="C80" s="19">
        <v>0</v>
      </c>
      <c r="D80" s="19">
        <v>0</v>
      </c>
      <c r="E80" s="19">
        <v>0</v>
      </c>
      <c r="G80" s="20">
        <v>0</v>
      </c>
    </row>
    <row r="81" spans="2:6" x14ac:dyDescent="0.25">
      <c r="B81" s="21" t="s">
        <v>55</v>
      </c>
      <c r="C81" s="22">
        <f>C77+C78+C79+C80</f>
        <v>284422.65</v>
      </c>
      <c r="D81" s="22">
        <f>D77+D78+D79+D80</f>
        <v>326614.88</v>
      </c>
      <c r="E81" s="22">
        <f>IFERROR(D81-C81,0)</f>
        <v>42192.22999999998</v>
      </c>
      <c r="F81" s="23">
        <f>IFERROR(1-C81/D81,0)</f>
        <v>0.12918036679774048</v>
      </c>
    </row>
    <row r="83" spans="2:4" s="12" customFormat="1" x14ac:dyDescent="0.25">
      <c r="B83" s="12" t="s">
        <v>61</v>
      </c>
      <c r="D83" s="13" t="s">
        <v>41</v>
      </c>
    </row>
    <row r="84" spans="2:6" x14ac:dyDescent="0.25" outlineLevel="1" collapsed="1">
      <c r="B84" s="14" t="s">
        <v>45</v>
      </c>
      <c r="C84" s="15">
        <f>'LED Cost Sheet'!T10</f>
        <v>104162.34</v>
      </c>
      <c r="D84" s="15">
        <f>'LED Cost Sheet'!V10</f>
        <v>122543.93</v>
      </c>
      <c r="E84" s="15">
        <f>IFERROR(D84-C84,0)</f>
        <v>18381.59</v>
      </c>
      <c r="F84" s="16">
        <v>0.15</v>
      </c>
    </row>
    <row r="85" spans="2:6" x14ac:dyDescent="0.25" outlineLevel="1" collapsed="1">
      <c r="B85" s="14" t="s">
        <v>46</v>
      </c>
      <c r="C85" s="15">
        <f>'East Corridor - Install'!I26</f>
        <v>4151.25</v>
      </c>
      <c r="D85" s="15">
        <f>IFERROR(C85/(1-F85),0)</f>
        <v>4883.82</v>
      </c>
      <c r="E85" s="15">
        <f>IFERROR(D85-C85,0)</f>
        <v>732.57</v>
      </c>
      <c r="F85" s="16">
        <v>0.15</v>
      </c>
    </row>
    <row r="86" spans="2:6" x14ac:dyDescent="0.25" outlineLevel="1" collapsed="1">
      <c r="B86" s="14" t="s">
        <v>47</v>
      </c>
      <c r="C86" s="15">
        <f>'East Corridor - Install'!I35-'East Corridor - Install'!I34</f>
        <v>17296.88</v>
      </c>
      <c r="D86" s="15">
        <f>IFERROR(C86/(1-F86),0)</f>
        <v>20349.27</v>
      </c>
      <c r="E86" s="15">
        <f>IFERROR(D86-C86,0)</f>
        <v>3052.39</v>
      </c>
      <c r="F86" s="16">
        <v>0.15</v>
      </c>
    </row>
    <row r="87" spans="2:6" x14ac:dyDescent="0.25" outlineLevel="1" collapsed="1">
      <c r="B87" s="14" t="s">
        <v>48</v>
      </c>
      <c r="C87" s="15">
        <f>'East Corridor - Install'!I44</f>
        <v>17296.88</v>
      </c>
      <c r="D87" s="15">
        <f>IFERROR(C87/(1-F87),0)</f>
        <v>20349.27</v>
      </c>
      <c r="E87" s="15">
        <f>IFERROR(D87-C87,0)</f>
        <v>3052.39</v>
      </c>
      <c r="F87" s="16">
        <v>0.15</v>
      </c>
    </row>
    <row r="88" spans="2:6" x14ac:dyDescent="0.25" outlineLevel="1" collapsed="1">
      <c r="B88" s="14" t="s">
        <v>49</v>
      </c>
      <c r="C88" s="15">
        <f>'East Corridor - Install'!I34</f>
        <v>20882.35</v>
      </c>
      <c r="D88" s="15">
        <f>IFERROR(C88/(1-F88),0)</f>
        <v>24567.47</v>
      </c>
      <c r="E88" s="15">
        <f>IFERROR(D88-C88,0)</f>
        <v>3685.12</v>
      </c>
      <c r="F88" s="16">
        <v>0.15</v>
      </c>
    </row>
    <row r="89" spans="2:6" x14ac:dyDescent="0.25" outlineLevel="1" collapsed="1">
      <c r="B89" s="14" t="s">
        <v>50</v>
      </c>
      <c r="C89" s="15">
        <f>'East Corridor - Install'!I52</f>
        <v>4705.88</v>
      </c>
      <c r="D89" s="15">
        <f>IFERROR(C89/(1-F89),0)</f>
        <v>5536.33</v>
      </c>
      <c r="E89" s="15">
        <f>IFERROR(D89-C89,0)</f>
        <v>830.45</v>
      </c>
      <c r="F89" s="16">
        <v>0.15</v>
      </c>
    </row>
    <row r="90" spans="2:6" x14ac:dyDescent="0.25" outlineLevel="1" collapsed="1">
      <c r="B90" s="4" t="s">
        <v>51</v>
      </c>
      <c r="C90" s="17">
        <f>SUM(C84:C89)</f>
        <v>168495.58</v>
      </c>
      <c r="D90" s="17">
        <f>SUM(D84:D89)</f>
        <v>193994.8</v>
      </c>
      <c r="E90" s="17">
        <f>IFERROR(D90-C90,0)</f>
        <v>25499.22</v>
      </c>
      <c r="F90" s="18">
        <f>IFERROR(1-C90/D90,0)</f>
        <v>0.131443</v>
      </c>
    </row>
    <row r="91" spans="2:7" x14ac:dyDescent="0.25" outlineLevel="1" collapsed="1">
      <c r="B91" s="14" t="s">
        <v>52</v>
      </c>
      <c r="C91" s="19">
        <v>0</v>
      </c>
      <c r="D91" s="19">
        <v>0</v>
      </c>
      <c r="E91" s="19">
        <v>0</v>
      </c>
      <c r="G91" s="20">
        <v>0</v>
      </c>
    </row>
    <row r="92" spans="2:7" x14ac:dyDescent="0.25" outlineLevel="1" collapsed="1">
      <c r="B92" s="14" t="s">
        <v>53</v>
      </c>
      <c r="C92" s="19">
        <v>0</v>
      </c>
      <c r="D92" s="19">
        <v>0</v>
      </c>
      <c r="E92" s="19">
        <v>0</v>
      </c>
      <c r="G92" s="20">
        <v>0</v>
      </c>
    </row>
    <row r="93" spans="2:7" x14ac:dyDescent="0.25" outlineLevel="1" collapsed="1">
      <c r="B93" s="14" t="s">
        <v>54</v>
      </c>
      <c r="C93" s="19">
        <v>0</v>
      </c>
      <c r="D93" s="19">
        <v>0</v>
      </c>
      <c r="E93" s="19">
        <v>0</v>
      </c>
      <c r="G93" s="20">
        <v>0</v>
      </c>
    </row>
    <row r="94" spans="2:6" x14ac:dyDescent="0.25">
      <c r="B94" s="21" t="s">
        <v>55</v>
      </c>
      <c r="C94" s="22">
        <f>C90+C91+C92+C93</f>
        <v>168495.58</v>
      </c>
      <c r="D94" s="22">
        <f>D90+D91+D92+D93</f>
        <v>193994.8</v>
      </c>
      <c r="E94" s="22">
        <f>IFERROR(D94-C94,0)</f>
        <v>25499.22</v>
      </c>
      <c r="F94" s="23">
        <f>IFERROR(1-C94/D94,0)</f>
        <v>0.1314428015596294</v>
      </c>
    </row>
    <row r="96" spans="2:4" s="12" customFormat="1" x14ac:dyDescent="0.25">
      <c r="B96" s="12" t="s">
        <v>62</v>
      </c>
      <c r="D96" s="13" t="s">
        <v>41</v>
      </c>
    </row>
    <row r="97" spans="2:6" x14ac:dyDescent="0.25" outlineLevel="1" collapsed="1">
      <c r="B97" s="14" t="s">
        <v>45</v>
      </c>
      <c r="C97" s="15">
        <f>'LED Cost Sheet'!T11</f>
        <v>185684.41999999998</v>
      </c>
      <c r="D97" s="15">
        <f>'LED Cost Sheet'!V11</f>
        <v>218452.26</v>
      </c>
      <c r="E97" s="15">
        <f>IFERROR(D97-C97,0)</f>
        <v>32767.84</v>
      </c>
      <c r="F97" s="16">
        <v>0.15</v>
      </c>
    </row>
    <row r="98" spans="2:6" x14ac:dyDescent="0.25" outlineLevel="1" collapsed="1">
      <c r="B98" s="14" t="s">
        <v>46</v>
      </c>
      <c r="C98" s="15">
        <f>'N.E Corridor - Install'!I26</f>
        <v>7837.5</v>
      </c>
      <c r="D98" s="15">
        <f>IFERROR(C98/(1-F98),0)</f>
        <v>9220.59</v>
      </c>
      <c r="E98" s="15">
        <f>IFERROR(D98-C98,0)</f>
        <v>1383.09</v>
      </c>
      <c r="F98" s="16">
        <v>0.15</v>
      </c>
    </row>
    <row r="99" spans="2:6" x14ac:dyDescent="0.25" outlineLevel="1" collapsed="1">
      <c r="B99" s="14" t="s">
        <v>47</v>
      </c>
      <c r="C99" s="15">
        <f>'N.E Corridor - Install'!I35-'N.E Corridor - Install'!I34</f>
        <v>32656.25</v>
      </c>
      <c r="D99" s="15">
        <f>IFERROR(C99/(1-F99),0)</f>
        <v>38419.12</v>
      </c>
      <c r="E99" s="15">
        <f>IFERROR(D99-C99,0)</f>
        <v>5762.87</v>
      </c>
      <c r="F99" s="16">
        <v>0.15</v>
      </c>
    </row>
    <row r="100" spans="2:6" x14ac:dyDescent="0.25" outlineLevel="1" collapsed="1">
      <c r="B100" s="14" t="s">
        <v>48</v>
      </c>
      <c r="C100" s="15">
        <f>'N.E Corridor - Install'!I44</f>
        <v>32656.25</v>
      </c>
      <c r="D100" s="15">
        <f>IFERROR(C100/(1-F100),0)</f>
        <v>38419.12</v>
      </c>
      <c r="E100" s="15">
        <f>IFERROR(D100-C100,0)</f>
        <v>5762.87</v>
      </c>
      <c r="F100" s="16">
        <v>0.15</v>
      </c>
    </row>
    <row r="101" spans="2:6" x14ac:dyDescent="0.25" outlineLevel="1" collapsed="1">
      <c r="B101" s="14" t="s">
        <v>49</v>
      </c>
      <c r="C101" s="15">
        <f>'N.E Corridor - Install'!I34</f>
        <v>20882.35</v>
      </c>
      <c r="D101" s="15">
        <f>IFERROR(C101/(1-F101),0)</f>
        <v>24567.47</v>
      </c>
      <c r="E101" s="15">
        <f>IFERROR(D101-C101,0)</f>
        <v>3685.12</v>
      </c>
      <c r="F101" s="16">
        <v>0.15</v>
      </c>
    </row>
    <row r="102" spans="2:6" x14ac:dyDescent="0.25" outlineLevel="1" collapsed="1">
      <c r="B102" s="14" t="s">
        <v>50</v>
      </c>
      <c r="C102" s="15">
        <f>'N.E Corridor - Install'!I52</f>
        <v>4705.88</v>
      </c>
      <c r="D102" s="15">
        <f>IFERROR(C102/(1-F102),0)</f>
        <v>5536.33</v>
      </c>
      <c r="E102" s="15">
        <f>IFERROR(D102-C102,0)</f>
        <v>830.45</v>
      </c>
      <c r="F102" s="16">
        <v>0.15</v>
      </c>
    </row>
    <row r="103" spans="2:6" x14ac:dyDescent="0.25" outlineLevel="1" collapsed="1">
      <c r="B103" s="4" t="s">
        <v>51</v>
      </c>
      <c r="C103" s="17">
        <f>SUM(C97:C102)</f>
        <v>284422.65</v>
      </c>
      <c r="D103" s="17">
        <f>SUM(D97:D102)</f>
        <v>326614.88</v>
      </c>
      <c r="E103" s="17">
        <f>IFERROR(D103-C103,0)</f>
        <v>42192.23</v>
      </c>
      <c r="F103" s="18">
        <f>IFERROR(1-C103/D103,0)</f>
        <v>0.12918</v>
      </c>
    </row>
    <row r="104" spans="2:7" x14ac:dyDescent="0.25" outlineLevel="1" collapsed="1">
      <c r="B104" s="14" t="s">
        <v>52</v>
      </c>
      <c r="C104" s="19">
        <v>0</v>
      </c>
      <c r="D104" s="19">
        <v>0</v>
      </c>
      <c r="E104" s="19">
        <v>0</v>
      </c>
      <c r="G104" s="20">
        <v>0</v>
      </c>
    </row>
    <row r="105" spans="2:7" x14ac:dyDescent="0.25" outlineLevel="1" collapsed="1">
      <c r="B105" s="14" t="s">
        <v>53</v>
      </c>
      <c r="C105" s="19">
        <v>0</v>
      </c>
      <c r="D105" s="19">
        <v>0</v>
      </c>
      <c r="E105" s="19">
        <v>0</v>
      </c>
      <c r="G105" s="20">
        <v>0</v>
      </c>
    </row>
    <row r="106" spans="2:7" x14ac:dyDescent="0.25" outlineLevel="1" collapsed="1">
      <c r="B106" s="14" t="s">
        <v>54</v>
      </c>
      <c r="C106" s="19">
        <v>0</v>
      </c>
      <c r="D106" s="19">
        <v>0</v>
      </c>
      <c r="E106" s="19">
        <v>0</v>
      </c>
      <c r="G106" s="20">
        <v>0</v>
      </c>
    </row>
    <row r="107" spans="2:6" x14ac:dyDescent="0.25">
      <c r="B107" s="21" t="s">
        <v>55</v>
      </c>
      <c r="C107" s="22">
        <f>C103+C104+C105+C106</f>
        <v>284422.65</v>
      </c>
      <c r="D107" s="22">
        <f>D103+D104+D105+D106</f>
        <v>326614.88</v>
      </c>
      <c r="E107" s="22">
        <f>IFERROR(D107-C107,0)</f>
        <v>42192.22999999998</v>
      </c>
      <c r="F107" s="23">
        <f>IFERROR(1-C107/D107,0)</f>
        <v>0.12918036679774048</v>
      </c>
    </row>
    <row r="109" spans="2:4" s="12" customFormat="1" x14ac:dyDescent="0.25">
      <c r="B109" s="12" t="s">
        <v>63</v>
      </c>
      <c r="D109" s="13" t="s">
        <v>41</v>
      </c>
    </row>
    <row r="110" spans="2:6" x14ac:dyDescent="0.25" outlineLevel="1" collapsed="1">
      <c r="B110" s="14" t="s">
        <v>45</v>
      </c>
      <c r="C110" s="15">
        <f>'LED Cost Sheet'!T12</f>
        <v>24906.62</v>
      </c>
      <c r="D110" s="15">
        <f>'LED Cost Sheet'!V12</f>
        <v>29301.91</v>
      </c>
      <c r="E110" s="15">
        <f>IFERROR(D110-C110,0)</f>
        <v>4395.29</v>
      </c>
      <c r="F110" s="16">
        <v>0.15</v>
      </c>
    </row>
    <row r="111" spans="2:6" x14ac:dyDescent="0.25" outlineLevel="1" collapsed="1">
      <c r="B111" s="14" t="s">
        <v>46</v>
      </c>
      <c r="C111" s="15">
        <f>'Elev Lobby - Install'!I26</f>
        <v>1110</v>
      </c>
      <c r="D111" s="15">
        <f>IFERROR(C111/(1-F111),0)</f>
        <v>1305.88</v>
      </c>
      <c r="E111" s="15">
        <f>IFERROR(D111-C111,0)</f>
        <v>195.88</v>
      </c>
      <c r="F111" s="16">
        <v>0.15</v>
      </c>
    </row>
    <row r="112" spans="2:6" x14ac:dyDescent="0.25" outlineLevel="1" collapsed="1">
      <c r="B112" s="14" t="s">
        <v>47</v>
      </c>
      <c r="C112" s="15">
        <f>'Elev Lobby - Install'!I35-'Elev Lobby - Install'!I34</f>
        <v>4625</v>
      </c>
      <c r="D112" s="15">
        <f>IFERROR(C112/(1-F112),0)</f>
        <v>5441.18</v>
      </c>
      <c r="E112" s="15">
        <f>IFERROR(D112-C112,0)</f>
        <v>816.18</v>
      </c>
      <c r="F112" s="16">
        <v>0.15</v>
      </c>
    </row>
    <row r="113" spans="2:6" x14ac:dyDescent="0.25" outlineLevel="1" collapsed="1">
      <c r="B113" s="14" t="s">
        <v>48</v>
      </c>
      <c r="C113" s="15">
        <f>'Elev Lobby - Install'!I44</f>
        <v>4625</v>
      </c>
      <c r="D113" s="15">
        <f>IFERROR(C113/(1-F113),0)</f>
        <v>5441.18</v>
      </c>
      <c r="E113" s="15">
        <f>IFERROR(D113-C113,0)</f>
        <v>816.18</v>
      </c>
      <c r="F113" s="16">
        <v>0.15</v>
      </c>
    </row>
    <row r="114" spans="2:6" x14ac:dyDescent="0.25" outlineLevel="1" collapsed="1">
      <c r="B114" s="14" t="s">
        <v>49</v>
      </c>
      <c r="C114" s="15">
        <f>'Elev Lobby - Install'!I34</f>
        <v>20882.35</v>
      </c>
      <c r="D114" s="15">
        <f>IFERROR(C114/(1-F114),0)</f>
        <v>24567.47</v>
      </c>
      <c r="E114" s="15">
        <f>IFERROR(D114-C114,0)</f>
        <v>3685.12</v>
      </c>
      <c r="F114" s="16">
        <v>0.15</v>
      </c>
    </row>
    <row r="115" spans="2:6" x14ac:dyDescent="0.25" outlineLevel="1" collapsed="1">
      <c r="B115" s="14" t="s">
        <v>50</v>
      </c>
      <c r="C115" s="15">
        <f>'Elev Lobby - Install'!I52</f>
        <v>4705.88</v>
      </c>
      <c r="D115" s="15">
        <f>IFERROR(C115/(1-F115),0)</f>
        <v>5536.33</v>
      </c>
      <c r="E115" s="15">
        <f>IFERROR(D115-C115,0)</f>
        <v>830.45</v>
      </c>
      <c r="F115" s="16">
        <v>0.15</v>
      </c>
    </row>
    <row r="116" spans="2:6" x14ac:dyDescent="0.25" outlineLevel="1" collapsed="1">
      <c r="B116" s="4" t="s">
        <v>51</v>
      </c>
      <c r="C116" s="17">
        <f>SUM(C110:C115)</f>
        <v>60854.85</v>
      </c>
      <c r="D116" s="17">
        <f>SUM(D110:D115)</f>
        <v>70464.54</v>
      </c>
      <c r="E116" s="17">
        <f>IFERROR(D116-C116,0)</f>
        <v>9609.69</v>
      </c>
      <c r="F116" s="18">
        <f>IFERROR(1-C116/D116,0)</f>
        <v>0.136376</v>
      </c>
    </row>
    <row r="117" spans="2:7" x14ac:dyDescent="0.25" outlineLevel="1" collapsed="1">
      <c r="B117" s="14" t="s">
        <v>52</v>
      </c>
      <c r="C117" s="19">
        <v>0</v>
      </c>
      <c r="D117" s="19">
        <v>0</v>
      </c>
      <c r="E117" s="19">
        <v>0</v>
      </c>
      <c r="G117" s="20">
        <v>0</v>
      </c>
    </row>
    <row r="118" spans="2:7" x14ac:dyDescent="0.25" outlineLevel="1" collapsed="1">
      <c r="B118" s="14" t="s">
        <v>53</v>
      </c>
      <c r="C118" s="19">
        <v>0</v>
      </c>
      <c r="D118" s="19">
        <v>0</v>
      </c>
      <c r="E118" s="19">
        <v>0</v>
      </c>
      <c r="G118" s="20">
        <v>0</v>
      </c>
    </row>
    <row r="119" spans="2:7" x14ac:dyDescent="0.25" outlineLevel="1" collapsed="1">
      <c r="B119" s="14" t="s">
        <v>54</v>
      </c>
      <c r="C119" s="19">
        <v>0</v>
      </c>
      <c r="D119" s="19">
        <v>0</v>
      </c>
      <c r="E119" s="19">
        <v>0</v>
      </c>
      <c r="G119" s="20">
        <v>0</v>
      </c>
    </row>
    <row r="120" spans="2:6" x14ac:dyDescent="0.25">
      <c r="B120" s="21" t="s">
        <v>55</v>
      </c>
      <c r="C120" s="22">
        <f>C116+C117+C118+C119</f>
        <v>60854.85</v>
      </c>
      <c r="D120" s="22">
        <f>D116+D117+D118+D119</f>
        <v>70464.54</v>
      </c>
      <c r="E120" s="22">
        <f>IFERROR(D120-C120,0)</f>
        <v>9609.689999999995</v>
      </c>
      <c r="F120" s="23">
        <f>IFERROR(1-C120/D120,0)</f>
        <v>0.13637625392857167</v>
      </c>
    </row>
    <row r="122" spans="2:4" s="12" customFormat="1" x14ac:dyDescent="0.25">
      <c r="B122" s="12" t="s">
        <v>64</v>
      </c>
      <c r="D122" s="13" t="s">
        <v>41</v>
      </c>
    </row>
    <row r="123" spans="2:6" x14ac:dyDescent="0.25" outlineLevel="1" collapsed="1">
      <c r="B123" s="14" t="s">
        <v>45</v>
      </c>
      <c r="C123" s="15">
        <f>'LED Cost Sheet'!T13</f>
        <v>93972.08</v>
      </c>
      <c r="D123" s="15">
        <f>'LED Cost Sheet'!V13</f>
        <v>110555.39</v>
      </c>
      <c r="E123" s="15">
        <f>IFERROR(D123-C123,0)</f>
        <v>16583.31</v>
      </c>
      <c r="F123" s="16">
        <v>0.15</v>
      </c>
    </row>
    <row r="124" spans="2:6" x14ac:dyDescent="0.25" outlineLevel="1" collapsed="1">
      <c r="B124" s="14" t="s">
        <v>46</v>
      </c>
      <c r="C124" s="15">
        <f>'North Club - Install'!I26</f>
        <v>3690</v>
      </c>
      <c r="D124" s="15">
        <f>IFERROR(C124/(1-F124),0)</f>
        <v>4341.18</v>
      </c>
      <c r="E124" s="15">
        <f>IFERROR(D124-C124,0)</f>
        <v>651.18</v>
      </c>
      <c r="F124" s="16">
        <v>0.15</v>
      </c>
    </row>
    <row r="125" spans="2:6" x14ac:dyDescent="0.25" outlineLevel="1" collapsed="1">
      <c r="B125" s="14" t="s">
        <v>47</v>
      </c>
      <c r="C125" s="15">
        <f>'North Club - Install'!I35-'North Club - Install'!I34</f>
        <v>15375</v>
      </c>
      <c r="D125" s="15">
        <f>IFERROR(C125/(1-F125),0)</f>
        <v>18088.24</v>
      </c>
      <c r="E125" s="15">
        <f>IFERROR(D125-C125,0)</f>
        <v>2713.24</v>
      </c>
      <c r="F125" s="16">
        <v>0.15</v>
      </c>
    </row>
    <row r="126" spans="2:6" x14ac:dyDescent="0.25" outlineLevel="1" collapsed="1">
      <c r="B126" s="14" t="s">
        <v>48</v>
      </c>
      <c r="C126" s="15">
        <f>'North Club - Install'!I44</f>
        <v>15375</v>
      </c>
      <c r="D126" s="15">
        <f>IFERROR(C126/(1-F126),0)</f>
        <v>18088.24</v>
      </c>
      <c r="E126" s="15">
        <f>IFERROR(D126-C126,0)</f>
        <v>2713.24</v>
      </c>
      <c r="F126" s="16">
        <v>0.15</v>
      </c>
    </row>
    <row r="127" spans="2:6" x14ac:dyDescent="0.25" outlineLevel="1" collapsed="1">
      <c r="B127" s="14" t="s">
        <v>49</v>
      </c>
      <c r="C127" s="15">
        <f>'North Club - Install'!I34</f>
        <v>20882.35</v>
      </c>
      <c r="D127" s="15">
        <f>IFERROR(C127/(1-F127),0)</f>
        <v>24567.47</v>
      </c>
      <c r="E127" s="15">
        <f>IFERROR(D127-C127,0)</f>
        <v>3685.12</v>
      </c>
      <c r="F127" s="16">
        <v>0.15</v>
      </c>
    </row>
    <row r="128" spans="2:6" x14ac:dyDescent="0.25" outlineLevel="1" collapsed="1">
      <c r="B128" s="14" t="s">
        <v>50</v>
      </c>
      <c r="C128" s="15">
        <f>'North Club - Install'!I52</f>
        <v>4705.88</v>
      </c>
      <c r="D128" s="15">
        <f>IFERROR(C128/(1-F128),0)</f>
        <v>5536.33</v>
      </c>
      <c r="E128" s="15">
        <f>IFERROR(D128-C128,0)</f>
        <v>830.45</v>
      </c>
      <c r="F128" s="16">
        <v>0.15</v>
      </c>
    </row>
    <row r="129" spans="2:6" x14ac:dyDescent="0.25" outlineLevel="1" collapsed="1">
      <c r="B129" s="4" t="s">
        <v>51</v>
      </c>
      <c r="C129" s="17">
        <f>SUM(C123:C128)</f>
        <v>154000.31</v>
      </c>
      <c r="D129" s="17">
        <f>SUM(D123:D128)</f>
        <v>177412.13</v>
      </c>
      <c r="E129" s="17">
        <f>IFERROR(D129-C129,0)</f>
        <v>23411.82</v>
      </c>
      <c r="F129" s="18">
        <f>IFERROR(1-C129/D129,0)</f>
        <v>0.13196300000000002</v>
      </c>
    </row>
    <row r="130" spans="2:7" x14ac:dyDescent="0.25" outlineLevel="1" collapsed="1">
      <c r="B130" s="14" t="s">
        <v>52</v>
      </c>
      <c r="C130" s="19">
        <v>0</v>
      </c>
      <c r="D130" s="19">
        <v>0</v>
      </c>
      <c r="E130" s="19">
        <v>0</v>
      </c>
      <c r="G130" s="20">
        <v>0</v>
      </c>
    </row>
    <row r="131" spans="2:7" x14ac:dyDescent="0.25" outlineLevel="1" collapsed="1">
      <c r="B131" s="14" t="s">
        <v>53</v>
      </c>
      <c r="C131" s="19">
        <v>0</v>
      </c>
      <c r="D131" s="19">
        <v>0</v>
      </c>
      <c r="E131" s="19">
        <v>0</v>
      </c>
      <c r="G131" s="20">
        <v>0</v>
      </c>
    </row>
    <row r="132" spans="2:7" x14ac:dyDescent="0.25" outlineLevel="1" collapsed="1">
      <c r="B132" s="14" t="s">
        <v>54</v>
      </c>
      <c r="C132" s="19">
        <v>0</v>
      </c>
      <c r="D132" s="19">
        <v>0</v>
      </c>
      <c r="E132" s="19">
        <v>0</v>
      </c>
      <c r="G132" s="20">
        <v>0</v>
      </c>
    </row>
    <row r="133" spans="2:6" x14ac:dyDescent="0.25">
      <c r="B133" s="21" t="s">
        <v>55</v>
      </c>
      <c r="C133" s="22">
        <f>C129+C130+C131+C132</f>
        <v>154000.31</v>
      </c>
      <c r="D133" s="22">
        <f>D129+D130+D131+D132</f>
        <v>177412.13</v>
      </c>
      <c r="E133" s="22">
        <f>IFERROR(D133-C133,0)</f>
        <v>23411.820000000007</v>
      </c>
      <c r="F133" s="23">
        <f>IFERROR(1-C133/D133,0)</f>
        <v>0.13196290467850202</v>
      </c>
    </row>
    <row r="135" spans="2:4" s="12" customFormat="1" x14ac:dyDescent="0.25">
      <c r="B135" s="12" t="s">
        <v>65</v>
      </c>
      <c r="D135" s="13" t="s">
        <v>41</v>
      </c>
    </row>
    <row r="136" spans="2:6" x14ac:dyDescent="0.25" outlineLevel="1" collapsed="1">
      <c r="B136" s="14" t="s">
        <v>45</v>
      </c>
      <c r="C136" s="15">
        <f>'LED Cost Sheet'!T14</f>
        <v>50891.79000000001</v>
      </c>
      <c r="D136" s="15">
        <f>'LED Cost Sheet'!V14</f>
        <v>59872.69</v>
      </c>
      <c r="E136" s="15">
        <f>IFERROR(D136-C136,0)</f>
        <v>8980.9</v>
      </c>
      <c r="F136" s="16">
        <v>0.15</v>
      </c>
    </row>
    <row r="137" spans="2:6" x14ac:dyDescent="0.25" outlineLevel="1" collapsed="1">
      <c r="B137" s="14" t="s">
        <v>46</v>
      </c>
      <c r="C137" s="15">
        <f>'Panthers Den - Install'!I26</f>
        <v>2272.5</v>
      </c>
      <c r="D137" s="15">
        <f>IFERROR(C137/(1-F137),0)</f>
        <v>2673.53</v>
      </c>
      <c r="E137" s="15">
        <f>IFERROR(D137-C137,0)</f>
        <v>401.03</v>
      </c>
      <c r="F137" s="16">
        <v>0.15</v>
      </c>
    </row>
    <row r="138" spans="2:6" x14ac:dyDescent="0.25" outlineLevel="1" collapsed="1">
      <c r="B138" s="14" t="s">
        <v>47</v>
      </c>
      <c r="C138" s="15">
        <f>'Panthers Den - Install'!I35-'Panthers Den - Install'!I34</f>
        <v>9468.75</v>
      </c>
      <c r="D138" s="15">
        <f>IFERROR(C138/(1-F138),0)</f>
        <v>11139.71</v>
      </c>
      <c r="E138" s="15">
        <f>IFERROR(D138-C138,0)</f>
        <v>1670.96</v>
      </c>
      <c r="F138" s="16">
        <v>0.15</v>
      </c>
    </row>
    <row r="139" spans="2:6" x14ac:dyDescent="0.25" outlineLevel="1" collapsed="1">
      <c r="B139" s="14" t="s">
        <v>48</v>
      </c>
      <c r="C139" s="15">
        <f>'Panthers Den - Install'!I44</f>
        <v>9468.75</v>
      </c>
      <c r="D139" s="15">
        <f>IFERROR(C139/(1-F139),0)</f>
        <v>11139.71</v>
      </c>
      <c r="E139" s="15">
        <f>IFERROR(D139-C139,0)</f>
        <v>1670.96</v>
      </c>
      <c r="F139" s="16">
        <v>0.15</v>
      </c>
    </row>
    <row r="140" spans="2:6" x14ac:dyDescent="0.25" outlineLevel="1" collapsed="1">
      <c r="B140" s="14" t="s">
        <v>49</v>
      </c>
      <c r="C140" s="15">
        <f>'Panthers Den - Install'!I34</f>
        <v>20882.35</v>
      </c>
      <c r="D140" s="15">
        <f>IFERROR(C140/(1-F140),0)</f>
        <v>24567.47</v>
      </c>
      <c r="E140" s="15">
        <f>IFERROR(D140-C140,0)</f>
        <v>3685.12</v>
      </c>
      <c r="F140" s="16">
        <v>0.15</v>
      </c>
    </row>
    <row r="141" spans="2:6" x14ac:dyDescent="0.25" outlineLevel="1" collapsed="1">
      <c r="B141" s="14" t="s">
        <v>50</v>
      </c>
      <c r="C141" s="15">
        <f>'Panthers Den - Install'!I52</f>
        <v>4705.88</v>
      </c>
      <c r="D141" s="15">
        <f>IFERROR(C141/(1-F141),0)</f>
        <v>5536.33</v>
      </c>
      <c r="E141" s="15">
        <f>IFERROR(D141-C141,0)</f>
        <v>830.45</v>
      </c>
      <c r="F141" s="16">
        <v>0.15</v>
      </c>
    </row>
    <row r="142" spans="2:6" x14ac:dyDescent="0.25" outlineLevel="1" collapsed="1">
      <c r="B142" s="4" t="s">
        <v>51</v>
      </c>
      <c r="C142" s="17">
        <f>SUM(C136:C141)</f>
        <v>97690.02</v>
      </c>
      <c r="D142" s="17">
        <f>SUM(D136:D141)</f>
        <v>112600.03</v>
      </c>
      <c r="E142" s="17">
        <f>IFERROR(D142-C142,0)</f>
        <v>14910.01</v>
      </c>
      <c r="F142" s="18">
        <f>IFERROR(1-C142/D142,0)</f>
        <v>0.132416</v>
      </c>
    </row>
    <row r="143" spans="2:7" x14ac:dyDescent="0.25" outlineLevel="1" collapsed="1">
      <c r="B143" s="14" t="s">
        <v>52</v>
      </c>
      <c r="C143" s="19">
        <v>0</v>
      </c>
      <c r="D143" s="19">
        <v>0</v>
      </c>
      <c r="E143" s="19">
        <v>0</v>
      </c>
      <c r="G143" s="20">
        <v>0</v>
      </c>
    </row>
    <row r="144" spans="2:7" x14ac:dyDescent="0.25" outlineLevel="1" collapsed="1">
      <c r="B144" s="14" t="s">
        <v>53</v>
      </c>
      <c r="C144" s="19">
        <v>0</v>
      </c>
      <c r="D144" s="19">
        <v>0</v>
      </c>
      <c r="E144" s="19">
        <v>0</v>
      </c>
      <c r="G144" s="20">
        <v>0</v>
      </c>
    </row>
    <row r="145" spans="2:7" x14ac:dyDescent="0.25" outlineLevel="1" collapsed="1">
      <c r="B145" s="14" t="s">
        <v>54</v>
      </c>
      <c r="C145" s="19">
        <v>0</v>
      </c>
      <c r="D145" s="19">
        <v>0</v>
      </c>
      <c r="E145" s="19">
        <v>0</v>
      </c>
      <c r="G145" s="20">
        <v>0</v>
      </c>
    </row>
    <row r="146" spans="2:6" x14ac:dyDescent="0.25">
      <c r="B146" s="21" t="s">
        <v>55</v>
      </c>
      <c r="C146" s="22">
        <f>C142+C143+C144+C145</f>
        <v>97690.02</v>
      </c>
      <c r="D146" s="22">
        <f>D142+D143+D144+D145</f>
        <v>112600.03</v>
      </c>
      <c r="E146" s="22">
        <f>IFERROR(D146-C146,0)</f>
        <v>14910.009999999995</v>
      </c>
      <c r="F146" s="23">
        <f>IFERROR(1-C146/D146,0)</f>
        <v>0.13241568408107884</v>
      </c>
    </row>
    <row r="148" spans="2:4" s="12" customFormat="1" x14ac:dyDescent="0.25">
      <c r="B148" s="12" t="s">
        <v>65</v>
      </c>
      <c r="D148" s="13" t="s">
        <v>41</v>
      </c>
    </row>
    <row r="149" spans="2:6" x14ac:dyDescent="0.25" outlineLevel="1" collapsed="1">
      <c r="B149" s="14" t="s">
        <v>45</v>
      </c>
      <c r="C149" s="15">
        <f>'LED Cost Sheet'!T15</f>
        <v>15778.7</v>
      </c>
      <c r="D149" s="15">
        <f>'LED Cost Sheet'!V15</f>
        <v>18563.18</v>
      </c>
      <c r="E149" s="15">
        <f>IFERROR(D149-C149,0)</f>
        <v>2784.48</v>
      </c>
      <c r="F149" s="16">
        <v>0.15</v>
      </c>
    </row>
    <row r="150" spans="2:6" x14ac:dyDescent="0.25" outlineLevel="1" collapsed="1">
      <c r="B150" s="14" t="s">
        <v>46</v>
      </c>
      <c r="C150" s="15">
        <f>'Panthers Den12 - Install'!I26</f>
        <v>690</v>
      </c>
      <c r="D150" s="15">
        <f>IFERROR(C150/(1-F150),0)</f>
        <v>811.76</v>
      </c>
      <c r="E150" s="15">
        <f>IFERROR(D150-C150,0)</f>
        <v>121.76</v>
      </c>
      <c r="F150" s="16">
        <v>0.15</v>
      </c>
    </row>
    <row r="151" spans="2:6" x14ac:dyDescent="0.25" outlineLevel="1" collapsed="1">
      <c r="B151" s="14" t="s">
        <v>47</v>
      </c>
      <c r="C151" s="15">
        <f>'Panthers Den12 - Install'!I35-'Panthers Den12 - Install'!I34</f>
        <v>2875</v>
      </c>
      <c r="D151" s="15">
        <f>IFERROR(C151/(1-F151),0)</f>
        <v>3382.35</v>
      </c>
      <c r="E151" s="15">
        <f>IFERROR(D151-C151,0)</f>
        <v>507.35</v>
      </c>
      <c r="F151" s="16">
        <v>0.15</v>
      </c>
    </row>
    <row r="152" spans="2:6" x14ac:dyDescent="0.25" outlineLevel="1" collapsed="1">
      <c r="B152" s="14" t="s">
        <v>48</v>
      </c>
      <c r="C152" s="15">
        <f>'Panthers Den12 - Install'!I44</f>
        <v>2875</v>
      </c>
      <c r="D152" s="15">
        <f>IFERROR(C152/(1-F152),0)</f>
        <v>3382.35</v>
      </c>
      <c r="E152" s="15">
        <f>IFERROR(D152-C152,0)</f>
        <v>507.35</v>
      </c>
      <c r="F152" s="16">
        <v>0.15</v>
      </c>
    </row>
    <row r="153" spans="2:6" x14ac:dyDescent="0.25" outlineLevel="1" collapsed="1">
      <c r="B153" s="14" t="s">
        <v>49</v>
      </c>
      <c r="C153" s="15">
        <f>'Panthers Den12 - Install'!I34</f>
        <v>20882.35</v>
      </c>
      <c r="D153" s="15">
        <f>IFERROR(C153/(1-F153),0)</f>
        <v>24567.47</v>
      </c>
      <c r="E153" s="15">
        <f>IFERROR(D153-C153,0)</f>
        <v>3685.12</v>
      </c>
      <c r="F153" s="16">
        <v>0.15</v>
      </c>
    </row>
    <row r="154" spans="2:6" x14ac:dyDescent="0.25" outlineLevel="1" collapsed="1">
      <c r="B154" s="14" t="s">
        <v>50</v>
      </c>
      <c r="C154" s="15">
        <f>'Panthers Den12 - Install'!I52</f>
        <v>4705.88</v>
      </c>
      <c r="D154" s="15">
        <f>IFERROR(C154/(1-F154),0)</f>
        <v>5536.33</v>
      </c>
      <c r="E154" s="15">
        <f>IFERROR(D154-C154,0)</f>
        <v>830.45</v>
      </c>
      <c r="F154" s="16">
        <v>0.15</v>
      </c>
    </row>
    <row r="155" spans="2:6" x14ac:dyDescent="0.25" outlineLevel="1" collapsed="1">
      <c r="B155" s="4" t="s">
        <v>51</v>
      </c>
      <c r="C155" s="17">
        <f>SUM(C149:C154)</f>
        <v>47806.93</v>
      </c>
      <c r="D155" s="17">
        <f>SUM(D149:D154)</f>
        <v>55535.56</v>
      </c>
      <c r="E155" s="17">
        <f>IFERROR(D155-C155,0)</f>
        <v>7728.63</v>
      </c>
      <c r="F155" s="18">
        <f>IFERROR(1-C155/D155,0)</f>
        <v>0.139165</v>
      </c>
    </row>
    <row r="156" spans="2:7" x14ac:dyDescent="0.25" outlineLevel="1" collapsed="1">
      <c r="B156" s="14" t="s">
        <v>52</v>
      </c>
      <c r="C156" s="19">
        <v>0</v>
      </c>
      <c r="D156" s="19">
        <v>0</v>
      </c>
      <c r="E156" s="19">
        <v>0</v>
      </c>
      <c r="G156" s="20">
        <v>0</v>
      </c>
    </row>
    <row r="157" spans="2:7" x14ac:dyDescent="0.25" outlineLevel="1" collapsed="1">
      <c r="B157" s="14" t="s">
        <v>53</v>
      </c>
      <c r="C157" s="19">
        <v>0</v>
      </c>
      <c r="D157" s="19">
        <v>0</v>
      </c>
      <c r="E157" s="19">
        <v>0</v>
      </c>
      <c r="G157" s="20">
        <v>0</v>
      </c>
    </row>
    <row r="158" spans="2:7" x14ac:dyDescent="0.25" outlineLevel="1" collapsed="1">
      <c r="B158" s="14" t="s">
        <v>54</v>
      </c>
      <c r="C158" s="19">
        <v>0</v>
      </c>
      <c r="D158" s="19">
        <v>0</v>
      </c>
      <c r="E158" s="19">
        <v>0</v>
      </c>
      <c r="G158" s="20">
        <v>0</v>
      </c>
    </row>
    <row r="159" spans="2:6" x14ac:dyDescent="0.25">
      <c r="B159" s="21" t="s">
        <v>55</v>
      </c>
      <c r="C159" s="22">
        <f>C155+C156+C157+C158</f>
        <v>47806.93</v>
      </c>
      <c r="D159" s="22">
        <f>D155+D156+D157+D158</f>
        <v>55535.56</v>
      </c>
      <c r="E159" s="22">
        <f>IFERROR(D159-C159,0)</f>
        <v>7728.629999999997</v>
      </c>
      <c r="F159" s="23">
        <f>IFERROR(1-C159/D159,0)</f>
        <v>0.13916542842099722</v>
      </c>
    </row>
    <row r="161" spans="2:4" s="12" customFormat="1" x14ac:dyDescent="0.25">
      <c r="B161" s="12" t="s">
        <v>65</v>
      </c>
      <c r="D161" s="13" t="s">
        <v>41</v>
      </c>
    </row>
    <row r="162" spans="2:6" x14ac:dyDescent="0.25" outlineLevel="1" collapsed="1">
      <c r="B162" s="14" t="s">
        <v>45</v>
      </c>
      <c r="C162" s="15">
        <f>'LED Cost Sheet'!T16</f>
        <v>17263.93</v>
      </c>
      <c r="D162" s="15">
        <f>'LED Cost Sheet'!V16</f>
        <v>20310.51</v>
      </c>
      <c r="E162" s="15">
        <f>IFERROR(D162-C162,0)</f>
        <v>3046.58</v>
      </c>
      <c r="F162" s="16">
        <v>0.15</v>
      </c>
    </row>
    <row r="163" spans="2:6" x14ac:dyDescent="0.25" outlineLevel="1" collapsed="1">
      <c r="B163" s="14" t="s">
        <v>46</v>
      </c>
      <c r="C163" s="15">
        <f>'Panthers Den13 - Install'!I26</f>
        <v>757.5</v>
      </c>
      <c r="D163" s="15">
        <f>IFERROR(C163/(1-F163),0)</f>
        <v>891.18</v>
      </c>
      <c r="E163" s="15">
        <f>IFERROR(D163-C163,0)</f>
        <v>133.68</v>
      </c>
      <c r="F163" s="16">
        <v>0.15</v>
      </c>
    </row>
    <row r="164" spans="2:6" x14ac:dyDescent="0.25" outlineLevel="1" collapsed="1">
      <c r="B164" s="14" t="s">
        <v>47</v>
      </c>
      <c r="C164" s="15">
        <f>'Panthers Den13 - Install'!I35-'Panthers Den13 - Install'!I34</f>
        <v>3156.25</v>
      </c>
      <c r="D164" s="15">
        <f>IFERROR(C164/(1-F164),0)</f>
        <v>3713.24</v>
      </c>
      <c r="E164" s="15">
        <f>IFERROR(D164-C164,0)</f>
        <v>556.99</v>
      </c>
      <c r="F164" s="16">
        <v>0.15</v>
      </c>
    </row>
    <row r="165" spans="2:6" x14ac:dyDescent="0.25" outlineLevel="1" collapsed="1">
      <c r="B165" s="14" t="s">
        <v>48</v>
      </c>
      <c r="C165" s="15">
        <f>'Panthers Den13 - Install'!I44</f>
        <v>3156.25</v>
      </c>
      <c r="D165" s="15">
        <f>IFERROR(C165/(1-F165),0)</f>
        <v>3713.24</v>
      </c>
      <c r="E165" s="15">
        <f>IFERROR(D165-C165,0)</f>
        <v>556.99</v>
      </c>
      <c r="F165" s="16">
        <v>0.15</v>
      </c>
    </row>
    <row r="166" spans="2:6" x14ac:dyDescent="0.25" outlineLevel="1" collapsed="1">
      <c r="B166" s="14" t="s">
        <v>49</v>
      </c>
      <c r="C166" s="15">
        <f>'Panthers Den13 - Install'!I34</f>
        <v>20882.35</v>
      </c>
      <c r="D166" s="15">
        <f>IFERROR(C166/(1-F166),0)</f>
        <v>24567.47</v>
      </c>
      <c r="E166" s="15">
        <f>IFERROR(D166-C166,0)</f>
        <v>3685.12</v>
      </c>
      <c r="F166" s="16">
        <v>0.15</v>
      </c>
    </row>
    <row r="167" spans="2:6" x14ac:dyDescent="0.25" outlineLevel="1" collapsed="1">
      <c r="B167" s="14" t="s">
        <v>50</v>
      </c>
      <c r="C167" s="15">
        <f>'Panthers Den13 - Install'!I52</f>
        <v>4705.88</v>
      </c>
      <c r="D167" s="15">
        <f>IFERROR(C167/(1-F167),0)</f>
        <v>5536.33</v>
      </c>
      <c r="E167" s="15">
        <f>IFERROR(D167-C167,0)</f>
        <v>830.45</v>
      </c>
      <c r="F167" s="16">
        <v>0.15</v>
      </c>
    </row>
    <row r="168" spans="2:6" x14ac:dyDescent="0.25" outlineLevel="1" collapsed="1">
      <c r="B168" s="4" t="s">
        <v>51</v>
      </c>
      <c r="C168" s="17">
        <f>SUM(C162:C167)</f>
        <v>49922.16</v>
      </c>
      <c r="D168" s="17">
        <f>SUM(D162:D167)</f>
        <v>57955.49</v>
      </c>
      <c r="E168" s="17">
        <f>IFERROR(D168-C168,0)</f>
        <v>8033.33</v>
      </c>
      <c r="F168" s="18">
        <f>IFERROR(1-C168/D168,0)</f>
        <v>0.13861199999999999</v>
      </c>
    </row>
    <row r="169" spans="2:7" x14ac:dyDescent="0.25" outlineLevel="1" collapsed="1">
      <c r="B169" s="14" t="s">
        <v>52</v>
      </c>
      <c r="C169" s="19">
        <v>0</v>
      </c>
      <c r="D169" s="19">
        <v>0</v>
      </c>
      <c r="E169" s="19">
        <v>0</v>
      </c>
      <c r="G169" s="20">
        <v>0</v>
      </c>
    </row>
    <row r="170" spans="2:7" x14ac:dyDescent="0.25" outlineLevel="1" collapsed="1">
      <c r="B170" s="14" t="s">
        <v>53</v>
      </c>
      <c r="C170" s="19">
        <v>0</v>
      </c>
      <c r="D170" s="19">
        <v>0</v>
      </c>
      <c r="E170" s="19">
        <v>0</v>
      </c>
      <c r="G170" s="20">
        <v>0</v>
      </c>
    </row>
    <row r="171" spans="2:7" x14ac:dyDescent="0.25" outlineLevel="1" collapsed="1">
      <c r="B171" s="14" t="s">
        <v>54</v>
      </c>
      <c r="C171" s="19">
        <v>0</v>
      </c>
      <c r="D171" s="19">
        <v>0</v>
      </c>
      <c r="E171" s="19">
        <v>0</v>
      </c>
      <c r="G171" s="20">
        <v>0</v>
      </c>
    </row>
    <row r="172" spans="2:6" x14ac:dyDescent="0.25">
      <c r="B172" s="21" t="s">
        <v>55</v>
      </c>
      <c r="C172" s="22">
        <f>C168+C169+C170+C171</f>
        <v>49922.16</v>
      </c>
      <c r="D172" s="22">
        <f>D168+D169+D170+D171</f>
        <v>57955.49</v>
      </c>
      <c r="E172" s="22">
        <f>IFERROR(D172-C172,0)</f>
        <v>8033.3299999999945</v>
      </c>
      <c r="F172" s="23">
        <f>IFERROR(1-C172/D172,0)</f>
        <v>0.13861206246379754</v>
      </c>
    </row>
    <row r="174" spans="2:4" s="12" customFormat="1" x14ac:dyDescent="0.25">
      <c r="B174" s="12" t="s">
        <v>65</v>
      </c>
      <c r="D174" s="13" t="s">
        <v>41</v>
      </c>
    </row>
    <row r="175" spans="2:6" x14ac:dyDescent="0.25" outlineLevel="1" collapsed="1">
      <c r="B175" s="14" t="s">
        <v>45</v>
      </c>
      <c r="C175" s="15">
        <f>'LED Cost Sheet'!T17</f>
        <v>15778.7</v>
      </c>
      <c r="D175" s="15">
        <f>'LED Cost Sheet'!V17</f>
        <v>18563.18</v>
      </c>
      <c r="E175" s="15">
        <f>IFERROR(D175-C175,0)</f>
        <v>2784.48</v>
      </c>
      <c r="F175" s="16">
        <v>0.15</v>
      </c>
    </row>
    <row r="176" spans="2:6" x14ac:dyDescent="0.25" outlineLevel="1" collapsed="1">
      <c r="B176" s="14" t="s">
        <v>46</v>
      </c>
      <c r="C176" s="15">
        <f>'Panthers Den14 - Install'!I26</f>
        <v>690</v>
      </c>
      <c r="D176" s="15">
        <f>IFERROR(C176/(1-F176),0)</f>
        <v>811.76</v>
      </c>
      <c r="E176" s="15">
        <f>IFERROR(D176-C176,0)</f>
        <v>121.76</v>
      </c>
      <c r="F176" s="16">
        <v>0.15</v>
      </c>
    </row>
    <row r="177" spans="2:6" x14ac:dyDescent="0.25" outlineLevel="1" collapsed="1">
      <c r="B177" s="14" t="s">
        <v>47</v>
      </c>
      <c r="C177" s="15">
        <f>'Panthers Den14 - Install'!I35-'Panthers Den14 - Install'!I34</f>
        <v>2875</v>
      </c>
      <c r="D177" s="15">
        <f>IFERROR(C177/(1-F177),0)</f>
        <v>3382.35</v>
      </c>
      <c r="E177" s="15">
        <f>IFERROR(D177-C177,0)</f>
        <v>507.35</v>
      </c>
      <c r="F177" s="16">
        <v>0.15</v>
      </c>
    </row>
    <row r="178" spans="2:6" x14ac:dyDescent="0.25" outlineLevel="1" collapsed="1">
      <c r="B178" s="14" t="s">
        <v>48</v>
      </c>
      <c r="C178" s="15">
        <f>'Panthers Den14 - Install'!I44</f>
        <v>2875</v>
      </c>
      <c r="D178" s="15">
        <f>IFERROR(C178/(1-F178),0)</f>
        <v>3382.35</v>
      </c>
      <c r="E178" s="15">
        <f>IFERROR(D178-C178,0)</f>
        <v>507.35</v>
      </c>
      <c r="F178" s="16">
        <v>0.15</v>
      </c>
    </row>
    <row r="179" spans="2:6" x14ac:dyDescent="0.25" outlineLevel="1" collapsed="1">
      <c r="B179" s="14" t="s">
        <v>49</v>
      </c>
      <c r="C179" s="15">
        <f>'Panthers Den14 - Install'!I34</f>
        <v>20882.35</v>
      </c>
      <c r="D179" s="15">
        <f>IFERROR(C179/(1-F179),0)</f>
        <v>24567.47</v>
      </c>
      <c r="E179" s="15">
        <f>IFERROR(D179-C179,0)</f>
        <v>3685.12</v>
      </c>
      <c r="F179" s="16">
        <v>0.15</v>
      </c>
    </row>
    <row r="180" spans="2:6" x14ac:dyDescent="0.25" outlineLevel="1" collapsed="1">
      <c r="B180" s="14" t="s">
        <v>50</v>
      </c>
      <c r="C180" s="15">
        <f>'Panthers Den14 - Install'!I52</f>
        <v>4705.88</v>
      </c>
      <c r="D180" s="15">
        <f>IFERROR(C180/(1-F180),0)</f>
        <v>5536.33</v>
      </c>
      <c r="E180" s="15">
        <f>IFERROR(D180-C180,0)</f>
        <v>830.45</v>
      </c>
      <c r="F180" s="16">
        <v>0.15</v>
      </c>
    </row>
    <row r="181" spans="2:6" x14ac:dyDescent="0.25" outlineLevel="1" collapsed="1">
      <c r="B181" s="4" t="s">
        <v>51</v>
      </c>
      <c r="C181" s="17">
        <f>SUM(C175:C180)</f>
        <v>47806.93</v>
      </c>
      <c r="D181" s="17">
        <f>SUM(D175:D180)</f>
        <v>55535.56</v>
      </c>
      <c r="E181" s="17">
        <f>IFERROR(D181-C181,0)</f>
        <v>7728.63</v>
      </c>
      <c r="F181" s="18">
        <f>IFERROR(1-C181/D181,0)</f>
        <v>0.139165</v>
      </c>
    </row>
    <row r="182" spans="2:7" x14ac:dyDescent="0.25" outlineLevel="1" collapsed="1">
      <c r="B182" s="14" t="s">
        <v>52</v>
      </c>
      <c r="C182" s="19">
        <v>0</v>
      </c>
      <c r="D182" s="19">
        <v>0</v>
      </c>
      <c r="E182" s="19">
        <v>0</v>
      </c>
      <c r="G182" s="20">
        <v>0</v>
      </c>
    </row>
    <row r="183" spans="2:7" x14ac:dyDescent="0.25" outlineLevel="1" collapsed="1">
      <c r="B183" s="14" t="s">
        <v>53</v>
      </c>
      <c r="C183" s="19">
        <v>0</v>
      </c>
      <c r="D183" s="19">
        <v>0</v>
      </c>
      <c r="E183" s="19">
        <v>0</v>
      </c>
      <c r="G183" s="20">
        <v>0</v>
      </c>
    </row>
    <row r="184" spans="2:7" x14ac:dyDescent="0.25" outlineLevel="1" collapsed="1">
      <c r="B184" s="14" t="s">
        <v>54</v>
      </c>
      <c r="C184" s="19">
        <v>0</v>
      </c>
      <c r="D184" s="19">
        <v>0</v>
      </c>
      <c r="E184" s="19">
        <v>0</v>
      </c>
      <c r="G184" s="20">
        <v>0</v>
      </c>
    </row>
    <row r="185" spans="2:6" x14ac:dyDescent="0.25">
      <c r="B185" s="21" t="s">
        <v>55</v>
      </c>
      <c r="C185" s="22">
        <f>C181+C182+C183+C184</f>
        <v>47806.93</v>
      </c>
      <c r="D185" s="22">
        <f>D181+D182+D183+D184</f>
        <v>55535.56</v>
      </c>
      <c r="E185" s="22">
        <f>IFERROR(D185-C185,0)</f>
        <v>7728.629999999997</v>
      </c>
      <c r="F185" s="23">
        <f>IFERROR(1-C185/D185,0)</f>
        <v>0.13916542842099722</v>
      </c>
    </row>
    <row r="187" spans="2:4" s="12" customFormat="1" x14ac:dyDescent="0.25">
      <c r="B187" s="12" t="s">
        <v>66</v>
      </c>
      <c r="D187" s="13" t="s">
        <v>41</v>
      </c>
    </row>
    <row r="188" spans="2:6" x14ac:dyDescent="0.25" outlineLevel="1" collapsed="1">
      <c r="B188" s="14" t="s">
        <v>45</v>
      </c>
      <c r="C188" s="15">
        <f>'LED Cost Sheet'!T18</f>
        <v>93972.08</v>
      </c>
      <c r="D188" s="15">
        <f>'LED Cost Sheet'!V18</f>
        <v>110555.39</v>
      </c>
      <c r="E188" s="15">
        <f>IFERROR(D188-C188,0)</f>
        <v>16583.31</v>
      </c>
      <c r="F188" s="16">
        <v>0.15</v>
      </c>
    </row>
    <row r="189" spans="2:6" x14ac:dyDescent="0.25" outlineLevel="1" collapsed="1">
      <c r="B189" s="14" t="s">
        <v>46</v>
      </c>
      <c r="C189" s="15">
        <f>'South Club - Install'!I26</f>
        <v>3690</v>
      </c>
      <c r="D189" s="15">
        <f>IFERROR(C189/(1-F189),0)</f>
        <v>4341.18</v>
      </c>
      <c r="E189" s="15">
        <f>IFERROR(D189-C189,0)</f>
        <v>651.18</v>
      </c>
      <c r="F189" s="16">
        <v>0.15</v>
      </c>
    </row>
    <row r="190" spans="2:6" x14ac:dyDescent="0.25" outlineLevel="1" collapsed="1">
      <c r="B190" s="14" t="s">
        <v>47</v>
      </c>
      <c r="C190" s="15">
        <f>'South Club - Install'!I35-'South Club - Install'!I34</f>
        <v>15375</v>
      </c>
      <c r="D190" s="15">
        <f>IFERROR(C190/(1-F190),0)</f>
        <v>18088.24</v>
      </c>
      <c r="E190" s="15">
        <f>IFERROR(D190-C190,0)</f>
        <v>2713.24</v>
      </c>
      <c r="F190" s="16">
        <v>0.15</v>
      </c>
    </row>
    <row r="191" spans="2:6" x14ac:dyDescent="0.25" outlineLevel="1" collapsed="1">
      <c r="B191" s="14" t="s">
        <v>48</v>
      </c>
      <c r="C191" s="15">
        <f>'South Club - Install'!I44</f>
        <v>15375</v>
      </c>
      <c r="D191" s="15">
        <f>IFERROR(C191/(1-F191),0)</f>
        <v>18088.24</v>
      </c>
      <c r="E191" s="15">
        <f>IFERROR(D191-C191,0)</f>
        <v>2713.24</v>
      </c>
      <c r="F191" s="16">
        <v>0.15</v>
      </c>
    </row>
    <row r="192" spans="2:6" x14ac:dyDescent="0.25" outlineLevel="1" collapsed="1">
      <c r="B192" s="14" t="s">
        <v>49</v>
      </c>
      <c r="C192" s="15">
        <f>'South Club - Install'!I34</f>
        <v>20882.35</v>
      </c>
      <c r="D192" s="15">
        <f>IFERROR(C192/(1-F192),0)</f>
        <v>24567.47</v>
      </c>
      <c r="E192" s="15">
        <f>IFERROR(D192-C192,0)</f>
        <v>3685.12</v>
      </c>
      <c r="F192" s="16">
        <v>0.15</v>
      </c>
    </row>
    <row r="193" spans="2:6" x14ac:dyDescent="0.25" outlineLevel="1" collapsed="1">
      <c r="B193" s="14" t="s">
        <v>50</v>
      </c>
      <c r="C193" s="15">
        <f>'South Club - Install'!I52</f>
        <v>4705.88</v>
      </c>
      <c r="D193" s="15">
        <f>IFERROR(C193/(1-F193),0)</f>
        <v>5536.33</v>
      </c>
      <c r="E193" s="15">
        <f>IFERROR(D193-C193,0)</f>
        <v>830.45</v>
      </c>
      <c r="F193" s="16">
        <v>0.15</v>
      </c>
    </row>
    <row r="194" spans="2:6" x14ac:dyDescent="0.25" outlineLevel="1" collapsed="1">
      <c r="B194" s="4" t="s">
        <v>51</v>
      </c>
      <c r="C194" s="17">
        <f>SUM(C188:C193)</f>
        <v>154000.31</v>
      </c>
      <c r="D194" s="17">
        <f>SUM(D188:D193)</f>
        <v>177412.13</v>
      </c>
      <c r="E194" s="17">
        <f>IFERROR(D194-C194,0)</f>
        <v>23411.82</v>
      </c>
      <c r="F194" s="18">
        <f>IFERROR(1-C194/D194,0)</f>
        <v>0.13196300000000002</v>
      </c>
    </row>
    <row r="195" spans="2:7" x14ac:dyDescent="0.25" outlineLevel="1" collapsed="1">
      <c r="B195" s="14" t="s">
        <v>52</v>
      </c>
      <c r="C195" s="19">
        <v>0</v>
      </c>
      <c r="D195" s="19">
        <v>0</v>
      </c>
      <c r="E195" s="19">
        <v>0</v>
      </c>
      <c r="G195" s="20">
        <v>0</v>
      </c>
    </row>
    <row r="196" spans="2:7" x14ac:dyDescent="0.25" outlineLevel="1" collapsed="1">
      <c r="B196" s="14" t="s">
        <v>53</v>
      </c>
      <c r="C196" s="19">
        <v>0</v>
      </c>
      <c r="D196" s="19">
        <v>0</v>
      </c>
      <c r="E196" s="19">
        <v>0</v>
      </c>
      <c r="G196" s="20">
        <v>0</v>
      </c>
    </row>
    <row r="197" spans="2:7" x14ac:dyDescent="0.25" outlineLevel="1" collapsed="1">
      <c r="B197" s="14" t="s">
        <v>54</v>
      </c>
      <c r="C197" s="19">
        <v>0</v>
      </c>
      <c r="D197" s="19">
        <v>0</v>
      </c>
      <c r="E197" s="19">
        <v>0</v>
      </c>
      <c r="G197" s="20">
        <v>0</v>
      </c>
    </row>
    <row r="198" spans="2:6" x14ac:dyDescent="0.25">
      <c r="B198" s="21" t="s">
        <v>55</v>
      </c>
      <c r="C198" s="22">
        <f>C194+C195+C196+C197</f>
        <v>154000.31</v>
      </c>
      <c r="D198" s="22">
        <f>D194+D195+D196+D197</f>
        <v>177412.13</v>
      </c>
      <c r="E198" s="22">
        <f>IFERROR(D198-C198,0)</f>
        <v>23411.820000000007</v>
      </c>
      <c r="F198" s="23">
        <f>IFERROR(1-C198/D198,0)</f>
        <v>0.13196290467850202</v>
      </c>
    </row>
    <row r="200" spans="2:4" s="12" customFormat="1" x14ac:dyDescent="0.25">
      <c r="B200" s="12" t="s">
        <v>60</v>
      </c>
      <c r="D200" s="13" t="s">
        <v>41</v>
      </c>
    </row>
    <row r="201" spans="2:6" x14ac:dyDescent="0.25" outlineLevel="1" collapsed="1">
      <c r="B201" s="14" t="s">
        <v>45</v>
      </c>
      <c r="C201" s="15">
        <f>'LED Cost Sheet'!T19</f>
        <v>99067.20999999999</v>
      </c>
      <c r="D201" s="15">
        <f>'LED Cost Sheet'!V19</f>
        <v>116549.66</v>
      </c>
      <c r="E201" s="15">
        <f>IFERROR(D201-C201,0)</f>
        <v>17482.45</v>
      </c>
      <c r="F201" s="16">
        <v>0.15</v>
      </c>
    </row>
    <row r="202" spans="2:6" x14ac:dyDescent="0.25" outlineLevel="1" collapsed="1">
      <c r="B202" s="14" t="s">
        <v>46</v>
      </c>
      <c r="C202" s="15">
        <f>'S.E Corridor16 - Install'!I26</f>
        <v>3918.75</v>
      </c>
      <c r="D202" s="15">
        <f>IFERROR(C202/(1-F202),0)</f>
        <v>4610.29</v>
      </c>
      <c r="E202" s="15">
        <f>IFERROR(D202-C202,0)</f>
        <v>691.54</v>
      </c>
      <c r="F202" s="16">
        <v>0.15</v>
      </c>
    </row>
    <row r="203" spans="2:6" x14ac:dyDescent="0.25" outlineLevel="1" collapsed="1">
      <c r="B203" s="14" t="s">
        <v>47</v>
      </c>
      <c r="C203" s="15">
        <f>'S.E Corridor16 - Install'!I35-'S.E Corridor16 - Install'!I34</f>
        <v>16328.13</v>
      </c>
      <c r="D203" s="15">
        <f>IFERROR(C203/(1-F203),0)</f>
        <v>19209.56</v>
      </c>
      <c r="E203" s="15">
        <f>IFERROR(D203-C203,0)</f>
        <v>2881.43</v>
      </c>
      <c r="F203" s="16">
        <v>0.15</v>
      </c>
    </row>
    <row r="204" spans="2:6" x14ac:dyDescent="0.25" outlineLevel="1" collapsed="1">
      <c r="B204" s="14" t="s">
        <v>48</v>
      </c>
      <c r="C204" s="15">
        <f>'S.E Corridor16 - Install'!I44</f>
        <v>16328.13</v>
      </c>
      <c r="D204" s="15">
        <f>IFERROR(C204/(1-F204),0)</f>
        <v>19209.56</v>
      </c>
      <c r="E204" s="15">
        <f>IFERROR(D204-C204,0)</f>
        <v>2881.43</v>
      </c>
      <c r="F204" s="16">
        <v>0.15</v>
      </c>
    </row>
    <row r="205" spans="2:6" x14ac:dyDescent="0.25" outlineLevel="1" collapsed="1">
      <c r="B205" s="14" t="s">
        <v>49</v>
      </c>
      <c r="C205" s="15">
        <f>'S.E Corridor16 - Install'!I34</f>
        <v>20882.35</v>
      </c>
      <c r="D205" s="15">
        <f>IFERROR(C205/(1-F205),0)</f>
        <v>24567.47</v>
      </c>
      <c r="E205" s="15">
        <f>IFERROR(D205-C205,0)</f>
        <v>3685.12</v>
      </c>
      <c r="F205" s="16">
        <v>0.15</v>
      </c>
    </row>
    <row r="206" spans="2:6" x14ac:dyDescent="0.25" outlineLevel="1" collapsed="1">
      <c r="B206" s="14" t="s">
        <v>50</v>
      </c>
      <c r="C206" s="15">
        <f>'S.E Corridor16 - Install'!I52</f>
        <v>4705.88</v>
      </c>
      <c r="D206" s="15">
        <f>IFERROR(C206/(1-F206),0)</f>
        <v>5536.33</v>
      </c>
      <c r="E206" s="15">
        <f>IFERROR(D206-C206,0)</f>
        <v>830.45</v>
      </c>
      <c r="F206" s="16">
        <v>0.15</v>
      </c>
    </row>
    <row r="207" spans="2:6" x14ac:dyDescent="0.25" outlineLevel="1" collapsed="1">
      <c r="B207" s="4" t="s">
        <v>51</v>
      </c>
      <c r="C207" s="17">
        <f>SUM(C201:C206)</f>
        <v>161230.45</v>
      </c>
      <c r="D207" s="17">
        <f>SUM(D201:D206)</f>
        <v>185682.88</v>
      </c>
      <c r="E207" s="17">
        <f>IFERROR(D207-C207,0)</f>
        <v>24452.43</v>
      </c>
      <c r="F207" s="18">
        <f>IFERROR(1-C207/D207,0)</f>
        <v>0.131689</v>
      </c>
    </row>
    <row r="208" spans="2:7" x14ac:dyDescent="0.25" outlineLevel="1" collapsed="1">
      <c r="B208" s="14" t="s">
        <v>52</v>
      </c>
      <c r="C208" s="19">
        <v>0</v>
      </c>
      <c r="D208" s="19">
        <v>0</v>
      </c>
      <c r="E208" s="19">
        <v>0</v>
      </c>
      <c r="G208" s="20">
        <v>0</v>
      </c>
    </row>
    <row r="209" spans="2:7" x14ac:dyDescent="0.25" outlineLevel="1" collapsed="1">
      <c r="B209" s="14" t="s">
        <v>53</v>
      </c>
      <c r="C209" s="19">
        <v>0</v>
      </c>
      <c r="D209" s="19">
        <v>0</v>
      </c>
      <c r="E209" s="19">
        <v>0</v>
      </c>
      <c r="G209" s="20">
        <v>0</v>
      </c>
    </row>
    <row r="210" spans="2:7" x14ac:dyDescent="0.25" outlineLevel="1" collapsed="1">
      <c r="B210" s="14" t="s">
        <v>54</v>
      </c>
      <c r="C210" s="19">
        <v>0</v>
      </c>
      <c r="D210" s="19">
        <v>0</v>
      </c>
      <c r="E210" s="19">
        <v>0</v>
      </c>
      <c r="G210" s="20">
        <v>0</v>
      </c>
    </row>
    <row r="211" spans="2:6" x14ac:dyDescent="0.25">
      <c r="B211" s="21" t="s">
        <v>55</v>
      </c>
      <c r="C211" s="22">
        <f>C207+C208+C209+C210</f>
        <v>161230.45</v>
      </c>
      <c r="D211" s="22">
        <f>D207+D208+D209+D210</f>
        <v>185682.88</v>
      </c>
      <c r="E211" s="22">
        <f>IFERROR(D211-C211,0)</f>
        <v>24452.429999999993</v>
      </c>
      <c r="F211" s="23">
        <f>IFERROR(1-C211/D211,0)</f>
        <v>0.13168920042601662</v>
      </c>
    </row>
    <row r="213" spans="2:4" s="12" customFormat="1" x14ac:dyDescent="0.25">
      <c r="B213" s="12" t="s">
        <v>62</v>
      </c>
      <c r="D213" s="13" t="s">
        <v>41</v>
      </c>
    </row>
    <row r="214" spans="2:6" x14ac:dyDescent="0.25" outlineLevel="1" collapsed="1">
      <c r="B214" s="14" t="s">
        <v>45</v>
      </c>
      <c r="C214" s="15">
        <f>'LED Cost Sheet'!T20</f>
        <v>99067.20999999999</v>
      </c>
      <c r="D214" s="15">
        <f>'LED Cost Sheet'!V20</f>
        <v>116549.66</v>
      </c>
      <c r="E214" s="15">
        <f>IFERROR(D214-C214,0)</f>
        <v>17482.45</v>
      </c>
      <c r="F214" s="16">
        <v>0.15</v>
      </c>
    </row>
    <row r="215" spans="2:6" x14ac:dyDescent="0.25" outlineLevel="1" collapsed="1">
      <c r="B215" s="14" t="s">
        <v>46</v>
      </c>
      <c r="C215" s="15">
        <f>'N.E Corridor17 - Install'!I26</f>
        <v>3918.75</v>
      </c>
      <c r="D215" s="15">
        <f>IFERROR(C215/(1-F215),0)</f>
        <v>4610.29</v>
      </c>
      <c r="E215" s="15">
        <f>IFERROR(D215-C215,0)</f>
        <v>691.54</v>
      </c>
      <c r="F215" s="16">
        <v>0.15</v>
      </c>
    </row>
    <row r="216" spans="2:6" x14ac:dyDescent="0.25" outlineLevel="1" collapsed="1">
      <c r="B216" s="14" t="s">
        <v>47</v>
      </c>
      <c r="C216" s="15">
        <f>'N.E Corridor17 - Install'!I35-'N.E Corridor17 - Install'!I34</f>
        <v>16328.13</v>
      </c>
      <c r="D216" s="15">
        <f>IFERROR(C216/(1-F216),0)</f>
        <v>19209.56</v>
      </c>
      <c r="E216" s="15">
        <f>IFERROR(D216-C216,0)</f>
        <v>2881.43</v>
      </c>
      <c r="F216" s="16">
        <v>0.15</v>
      </c>
    </row>
    <row r="217" spans="2:6" x14ac:dyDescent="0.25" outlineLevel="1" collapsed="1">
      <c r="B217" s="14" t="s">
        <v>48</v>
      </c>
      <c r="C217" s="15">
        <f>'N.E Corridor17 - Install'!I44</f>
        <v>16328.13</v>
      </c>
      <c r="D217" s="15">
        <f>IFERROR(C217/(1-F217),0)</f>
        <v>19209.56</v>
      </c>
      <c r="E217" s="15">
        <f>IFERROR(D217-C217,0)</f>
        <v>2881.43</v>
      </c>
      <c r="F217" s="16">
        <v>0.15</v>
      </c>
    </row>
    <row r="218" spans="2:6" x14ac:dyDescent="0.25" outlineLevel="1" collapsed="1">
      <c r="B218" s="14" t="s">
        <v>49</v>
      </c>
      <c r="C218" s="15">
        <f>'N.E Corridor17 - Install'!I34</f>
        <v>20882.35</v>
      </c>
      <c r="D218" s="15">
        <f>IFERROR(C218/(1-F218),0)</f>
        <v>24567.47</v>
      </c>
      <c r="E218" s="15">
        <f>IFERROR(D218-C218,0)</f>
        <v>3685.12</v>
      </c>
      <c r="F218" s="16">
        <v>0.15</v>
      </c>
    </row>
    <row r="219" spans="2:6" x14ac:dyDescent="0.25" outlineLevel="1" collapsed="1">
      <c r="B219" s="14" t="s">
        <v>50</v>
      </c>
      <c r="C219" s="15">
        <f>'N.E Corridor17 - Install'!I52</f>
        <v>4705.88</v>
      </c>
      <c r="D219" s="15">
        <f>IFERROR(C219/(1-F219),0)</f>
        <v>5536.33</v>
      </c>
      <c r="E219" s="15">
        <f>IFERROR(D219-C219,0)</f>
        <v>830.45</v>
      </c>
      <c r="F219" s="16">
        <v>0.15</v>
      </c>
    </row>
    <row r="220" spans="2:6" x14ac:dyDescent="0.25" outlineLevel="1" collapsed="1">
      <c r="B220" s="4" t="s">
        <v>51</v>
      </c>
      <c r="C220" s="17">
        <f>SUM(C214:C219)</f>
        <v>161230.45</v>
      </c>
      <c r="D220" s="17">
        <f>SUM(D214:D219)</f>
        <v>185682.88</v>
      </c>
      <c r="E220" s="17">
        <f>IFERROR(D220-C220,0)</f>
        <v>24452.43</v>
      </c>
      <c r="F220" s="18">
        <f>IFERROR(1-C220/D220,0)</f>
        <v>0.131689</v>
      </c>
    </row>
    <row r="221" spans="2:7" x14ac:dyDescent="0.25" outlineLevel="1" collapsed="1">
      <c r="B221" s="14" t="s">
        <v>52</v>
      </c>
      <c r="C221" s="19">
        <v>0</v>
      </c>
      <c r="D221" s="19">
        <v>0</v>
      </c>
      <c r="E221" s="19">
        <v>0</v>
      </c>
      <c r="G221" s="20">
        <v>0</v>
      </c>
    </row>
    <row r="222" spans="2:7" x14ac:dyDescent="0.25" outlineLevel="1" collapsed="1">
      <c r="B222" s="14" t="s">
        <v>53</v>
      </c>
      <c r="C222" s="19">
        <v>0</v>
      </c>
      <c r="D222" s="19">
        <v>0</v>
      </c>
      <c r="E222" s="19">
        <v>0</v>
      </c>
      <c r="G222" s="20">
        <v>0</v>
      </c>
    </row>
    <row r="223" spans="2:7" x14ac:dyDescent="0.25" outlineLevel="1" collapsed="1">
      <c r="B223" s="14" t="s">
        <v>54</v>
      </c>
      <c r="C223" s="19">
        <v>0</v>
      </c>
      <c r="D223" s="19">
        <v>0</v>
      </c>
      <c r="E223" s="19">
        <v>0</v>
      </c>
      <c r="G223" s="20">
        <v>0</v>
      </c>
    </row>
    <row r="224" spans="2:6" x14ac:dyDescent="0.25">
      <c r="B224" s="21" t="s">
        <v>55</v>
      </c>
      <c r="C224" s="22">
        <f>C220+C221+C222+C223</f>
        <v>161230.45</v>
      </c>
      <c r="D224" s="22">
        <f>D220+D221+D222+D223</f>
        <v>185682.88</v>
      </c>
      <c r="E224" s="22">
        <f>IFERROR(D224-C224,0)</f>
        <v>24452.429999999993</v>
      </c>
      <c r="F224" s="23">
        <f>IFERROR(1-C224/D224,0)</f>
        <v>0.13168920042601662</v>
      </c>
    </row>
    <row r="226" spans="2:4" s="12" customFormat="1" x14ac:dyDescent="0.25">
      <c r="B226" s="12" t="s">
        <v>65</v>
      </c>
      <c r="D226" s="13" t="s">
        <v>41</v>
      </c>
    </row>
    <row r="227" spans="2:6" x14ac:dyDescent="0.25" outlineLevel="1" collapsed="1">
      <c r="B227" s="14" t="s">
        <v>45</v>
      </c>
      <c r="C227" s="15">
        <f>'LED Cost Sheet'!T21</f>
        <v>17263.93</v>
      </c>
      <c r="D227" s="15">
        <f>'LED Cost Sheet'!V21</f>
        <v>20310.51</v>
      </c>
      <c r="E227" s="15">
        <f>IFERROR(D227-C227,0)</f>
        <v>3046.58</v>
      </c>
      <c r="F227" s="16">
        <v>0.15</v>
      </c>
    </row>
    <row r="228" spans="2:6" x14ac:dyDescent="0.25" outlineLevel="1" collapsed="1">
      <c r="B228" s="14" t="s">
        <v>46</v>
      </c>
      <c r="C228" s="15">
        <f>'Panthers Den18 - Install'!I26</f>
        <v>757.5</v>
      </c>
      <c r="D228" s="15">
        <f>IFERROR(C228/(1-F228),0)</f>
        <v>891.18</v>
      </c>
      <c r="E228" s="15">
        <f>IFERROR(D228-C228,0)</f>
        <v>133.68</v>
      </c>
      <c r="F228" s="16">
        <v>0.15</v>
      </c>
    </row>
    <row r="229" spans="2:6" x14ac:dyDescent="0.25" outlineLevel="1" collapsed="1">
      <c r="B229" s="14" t="s">
        <v>47</v>
      </c>
      <c r="C229" s="15">
        <f>'Panthers Den18 - Install'!I35-'Panthers Den18 - Install'!I34</f>
        <v>3156.25</v>
      </c>
      <c r="D229" s="15">
        <f>IFERROR(C229/(1-F229),0)</f>
        <v>3713.24</v>
      </c>
      <c r="E229" s="15">
        <f>IFERROR(D229-C229,0)</f>
        <v>556.99</v>
      </c>
      <c r="F229" s="16">
        <v>0.15</v>
      </c>
    </row>
    <row r="230" spans="2:6" x14ac:dyDescent="0.25" outlineLevel="1" collapsed="1">
      <c r="B230" s="14" t="s">
        <v>48</v>
      </c>
      <c r="C230" s="15">
        <f>'Panthers Den18 - Install'!I44</f>
        <v>3156.25</v>
      </c>
      <c r="D230" s="15">
        <f>IFERROR(C230/(1-F230),0)</f>
        <v>3713.24</v>
      </c>
      <c r="E230" s="15">
        <f>IFERROR(D230-C230,0)</f>
        <v>556.99</v>
      </c>
      <c r="F230" s="16">
        <v>0.15</v>
      </c>
    </row>
    <row r="231" spans="2:6" x14ac:dyDescent="0.25" outlineLevel="1" collapsed="1">
      <c r="B231" s="14" t="s">
        <v>49</v>
      </c>
      <c r="C231" s="15">
        <f>'Panthers Den18 - Install'!I34</f>
        <v>20882.35</v>
      </c>
      <c r="D231" s="15">
        <f>IFERROR(C231/(1-F231),0)</f>
        <v>24567.47</v>
      </c>
      <c r="E231" s="15">
        <f>IFERROR(D231-C231,0)</f>
        <v>3685.12</v>
      </c>
      <c r="F231" s="16">
        <v>0.15</v>
      </c>
    </row>
    <row r="232" spans="2:6" x14ac:dyDescent="0.25" outlineLevel="1" collapsed="1">
      <c r="B232" s="14" t="s">
        <v>50</v>
      </c>
      <c r="C232" s="15">
        <f>'Panthers Den18 - Install'!I52</f>
        <v>4705.88</v>
      </c>
      <c r="D232" s="15">
        <f>IFERROR(C232/(1-F232),0)</f>
        <v>5536.33</v>
      </c>
      <c r="E232" s="15">
        <f>IFERROR(D232-C232,0)</f>
        <v>830.45</v>
      </c>
      <c r="F232" s="16">
        <v>0.15</v>
      </c>
    </row>
    <row r="233" spans="2:6" x14ac:dyDescent="0.25" outlineLevel="1" collapsed="1">
      <c r="B233" s="4" t="s">
        <v>51</v>
      </c>
      <c r="C233" s="17">
        <f>SUM(C227:C232)</f>
        <v>49922.16</v>
      </c>
      <c r="D233" s="17">
        <f>SUM(D227:D232)</f>
        <v>57955.49</v>
      </c>
      <c r="E233" s="17">
        <f>IFERROR(D233-C233,0)</f>
        <v>8033.33</v>
      </c>
      <c r="F233" s="18">
        <f>IFERROR(1-C233/D233,0)</f>
        <v>0.13861199999999999</v>
      </c>
    </row>
    <row r="234" spans="2:7" x14ac:dyDescent="0.25" outlineLevel="1" collapsed="1">
      <c r="B234" s="14" t="s">
        <v>52</v>
      </c>
      <c r="C234" s="19">
        <v>0</v>
      </c>
      <c r="D234" s="19">
        <v>0</v>
      </c>
      <c r="E234" s="19">
        <v>0</v>
      </c>
      <c r="G234" s="20">
        <v>0</v>
      </c>
    </row>
    <row r="235" spans="2:7" x14ac:dyDescent="0.25" outlineLevel="1" collapsed="1">
      <c r="B235" s="14" t="s">
        <v>53</v>
      </c>
      <c r="C235" s="19">
        <v>0</v>
      </c>
      <c r="D235" s="19">
        <v>0</v>
      </c>
      <c r="E235" s="19">
        <v>0</v>
      </c>
      <c r="G235" s="20">
        <v>0</v>
      </c>
    </row>
    <row r="236" spans="2:7" x14ac:dyDescent="0.25" outlineLevel="1" collapsed="1">
      <c r="B236" s="14" t="s">
        <v>54</v>
      </c>
      <c r="C236" s="19">
        <v>0</v>
      </c>
      <c r="D236" s="19">
        <v>0</v>
      </c>
      <c r="E236" s="19">
        <v>0</v>
      </c>
      <c r="G236" s="20">
        <v>0</v>
      </c>
    </row>
    <row r="237" spans="2:6" x14ac:dyDescent="0.25">
      <c r="B237" s="21" t="s">
        <v>55</v>
      </c>
      <c r="C237" s="22">
        <f>C233+C234+C235+C236</f>
        <v>49922.16</v>
      </c>
      <c r="D237" s="22">
        <f>D233+D234+D235+D236</f>
        <v>57955.49</v>
      </c>
      <c r="E237" s="22">
        <f>IFERROR(D237-C237,0)</f>
        <v>8033.3299999999945</v>
      </c>
      <c r="F237" s="23">
        <f>IFERROR(1-C237/D237,0)</f>
        <v>0.13861206246379754</v>
      </c>
    </row>
    <row r="239" spans="2:4" s="12" customFormat="1" x14ac:dyDescent="0.25">
      <c r="B239" s="12" t="s">
        <v>65</v>
      </c>
      <c r="D239" s="13" t="s">
        <v>41</v>
      </c>
    </row>
    <row r="240" spans="2:6" x14ac:dyDescent="0.25" outlineLevel="1" collapsed="1">
      <c r="B240" s="14" t="s">
        <v>45</v>
      </c>
      <c r="C240" s="15">
        <f>'LED Cost Sheet'!T22</f>
        <v>59553.509999999995</v>
      </c>
      <c r="D240" s="15">
        <f>'LED Cost Sheet'!V22</f>
        <v>70062.95</v>
      </c>
      <c r="E240" s="15">
        <f>IFERROR(D240-C240,0)</f>
        <v>10509.44</v>
      </c>
      <c r="F240" s="16">
        <v>0.15</v>
      </c>
    </row>
    <row r="241" spans="2:6" x14ac:dyDescent="0.25" outlineLevel="1" collapsed="1">
      <c r="B241" s="14" t="s">
        <v>46</v>
      </c>
      <c r="C241" s="15">
        <f>'Panthers Den19 - Install'!I26</f>
        <v>2670</v>
      </c>
      <c r="D241" s="15">
        <f>IFERROR(C241/(1-F241),0)</f>
        <v>3141.18</v>
      </c>
      <c r="E241" s="15">
        <f>IFERROR(D241-C241,0)</f>
        <v>471.18</v>
      </c>
      <c r="F241" s="16">
        <v>0.15</v>
      </c>
    </row>
    <row r="242" spans="2:6" x14ac:dyDescent="0.25" outlineLevel="1" collapsed="1">
      <c r="B242" s="14" t="s">
        <v>47</v>
      </c>
      <c r="C242" s="15">
        <f>'Panthers Den19 - Install'!I35-'Panthers Den19 - Install'!I34</f>
        <v>11125</v>
      </c>
      <c r="D242" s="15">
        <f>IFERROR(C242/(1-F242),0)</f>
        <v>13088.24</v>
      </c>
      <c r="E242" s="15">
        <f>IFERROR(D242-C242,0)</f>
        <v>1963.24</v>
      </c>
      <c r="F242" s="16">
        <v>0.15</v>
      </c>
    </row>
    <row r="243" spans="2:6" x14ac:dyDescent="0.25" outlineLevel="1" collapsed="1">
      <c r="B243" s="14" t="s">
        <v>48</v>
      </c>
      <c r="C243" s="15">
        <f>'Panthers Den19 - Install'!I44</f>
        <v>11125</v>
      </c>
      <c r="D243" s="15">
        <f>IFERROR(C243/(1-F243),0)</f>
        <v>13088.24</v>
      </c>
      <c r="E243" s="15">
        <f>IFERROR(D243-C243,0)</f>
        <v>1963.24</v>
      </c>
      <c r="F243" s="16">
        <v>0.15</v>
      </c>
    </row>
    <row r="244" spans="2:6" x14ac:dyDescent="0.25" outlineLevel="1" collapsed="1">
      <c r="B244" s="14" t="s">
        <v>49</v>
      </c>
      <c r="C244" s="15">
        <f>'Panthers Den19 - Install'!I34</f>
        <v>20882.35</v>
      </c>
      <c r="D244" s="15">
        <f>IFERROR(C244/(1-F244),0)</f>
        <v>24567.47</v>
      </c>
      <c r="E244" s="15">
        <f>IFERROR(D244-C244,0)</f>
        <v>3685.12</v>
      </c>
      <c r="F244" s="16">
        <v>0.15</v>
      </c>
    </row>
    <row r="245" spans="2:6" x14ac:dyDescent="0.25" outlineLevel="1" collapsed="1">
      <c r="B245" s="14" t="s">
        <v>50</v>
      </c>
      <c r="C245" s="15">
        <f>'Panthers Den19 - Install'!I52</f>
        <v>4705.88</v>
      </c>
      <c r="D245" s="15">
        <f>IFERROR(C245/(1-F245),0)</f>
        <v>5536.33</v>
      </c>
      <c r="E245" s="15">
        <f>IFERROR(D245-C245,0)</f>
        <v>830.45</v>
      </c>
      <c r="F245" s="16">
        <v>0.15</v>
      </c>
    </row>
    <row r="246" spans="2:6" x14ac:dyDescent="0.25" outlineLevel="1" collapsed="1">
      <c r="B246" s="4" t="s">
        <v>51</v>
      </c>
      <c r="C246" s="17">
        <f>SUM(C240:C245)</f>
        <v>110061.74</v>
      </c>
      <c r="D246" s="17">
        <f>SUM(D240:D245)</f>
        <v>126754.99</v>
      </c>
      <c r="E246" s="17">
        <f>IFERROR(D246-C246,0)</f>
        <v>16693.25</v>
      </c>
      <c r="F246" s="18">
        <f>IFERROR(1-C246/D246,0)</f>
        <v>0.131697</v>
      </c>
    </row>
    <row r="247" spans="2:7" x14ac:dyDescent="0.25" outlineLevel="1" collapsed="1">
      <c r="B247" s="14" t="s">
        <v>52</v>
      </c>
      <c r="C247" s="19">
        <v>0</v>
      </c>
      <c r="D247" s="19">
        <v>0</v>
      </c>
      <c r="E247" s="19">
        <v>0</v>
      </c>
      <c r="G247" s="20">
        <v>0</v>
      </c>
    </row>
    <row r="248" spans="2:7" x14ac:dyDescent="0.25" outlineLevel="1" collapsed="1">
      <c r="B248" s="14" t="s">
        <v>53</v>
      </c>
      <c r="C248" s="19">
        <v>0</v>
      </c>
      <c r="D248" s="19">
        <v>0</v>
      </c>
      <c r="E248" s="19">
        <v>0</v>
      </c>
      <c r="G248" s="20">
        <v>0</v>
      </c>
    </row>
    <row r="249" spans="2:7" x14ac:dyDescent="0.25" outlineLevel="1" collapsed="1">
      <c r="B249" s="14" t="s">
        <v>54</v>
      </c>
      <c r="C249" s="19">
        <v>0</v>
      </c>
      <c r="D249" s="19">
        <v>0</v>
      </c>
      <c r="E249" s="19">
        <v>0</v>
      </c>
      <c r="G249" s="20">
        <v>0</v>
      </c>
    </row>
    <row r="250" spans="2:6" x14ac:dyDescent="0.25">
      <c r="B250" s="21" t="s">
        <v>55</v>
      </c>
      <c r="C250" s="22">
        <f>C246+C247+C248+C249</f>
        <v>110061.74</v>
      </c>
      <c r="D250" s="22">
        <f>D246+D247+D248+D249</f>
        <v>126754.99</v>
      </c>
      <c r="E250" s="22">
        <f>IFERROR(D250-C250,0)</f>
        <v>16693.25</v>
      </c>
      <c r="F250" s="23">
        <f>IFERROR(1-C250/D250,0)</f>
        <v>0.13169698486820913</v>
      </c>
    </row>
    <row r="252" spans="2:4" s="12" customFormat="1" x14ac:dyDescent="0.25">
      <c r="B252" s="12" t="s">
        <v>65</v>
      </c>
      <c r="D252" s="13" t="s">
        <v>41</v>
      </c>
    </row>
    <row r="253" spans="2:6" x14ac:dyDescent="0.25" outlineLevel="1" collapsed="1">
      <c r="B253" s="14" t="s">
        <v>45</v>
      </c>
      <c r="C253" s="15">
        <f>'LED Cost Sheet'!T23</f>
        <v>39198.46</v>
      </c>
      <c r="D253" s="15">
        <f>'LED Cost Sheet'!V23</f>
        <v>46115.84</v>
      </c>
      <c r="E253" s="15">
        <f>IFERROR(D253-C253,0)</f>
        <v>6917.38</v>
      </c>
      <c r="F253" s="16">
        <v>0.15</v>
      </c>
    </row>
    <row r="254" spans="2:6" x14ac:dyDescent="0.25" outlineLevel="1" collapsed="1">
      <c r="B254" s="14" t="s">
        <v>46</v>
      </c>
      <c r="C254" s="15">
        <f>'Panthers Den20 - Install'!I26</f>
        <v>1751.25</v>
      </c>
      <c r="D254" s="15">
        <f>IFERROR(C254/(1-F254),0)</f>
        <v>2060.29</v>
      </c>
      <c r="E254" s="15">
        <f>IFERROR(D254-C254,0)</f>
        <v>309.04</v>
      </c>
      <c r="F254" s="16">
        <v>0.15</v>
      </c>
    </row>
    <row r="255" spans="2:6" x14ac:dyDescent="0.25" outlineLevel="1" collapsed="1">
      <c r="B255" s="14" t="s">
        <v>47</v>
      </c>
      <c r="C255" s="15">
        <f>'Panthers Den20 - Install'!I35-'Panthers Den20 - Install'!I34</f>
        <v>7296.88</v>
      </c>
      <c r="D255" s="15">
        <f>IFERROR(C255/(1-F255),0)</f>
        <v>8584.56</v>
      </c>
      <c r="E255" s="15">
        <f>IFERROR(D255-C255,0)</f>
        <v>1287.68</v>
      </c>
      <c r="F255" s="16">
        <v>0.15</v>
      </c>
    </row>
    <row r="256" spans="2:6" x14ac:dyDescent="0.25" outlineLevel="1" collapsed="1">
      <c r="B256" s="14" t="s">
        <v>48</v>
      </c>
      <c r="C256" s="15">
        <f>'Panthers Den20 - Install'!I44</f>
        <v>7296.88</v>
      </c>
      <c r="D256" s="15">
        <f>IFERROR(C256/(1-F256),0)</f>
        <v>8584.56</v>
      </c>
      <c r="E256" s="15">
        <f>IFERROR(D256-C256,0)</f>
        <v>1287.68</v>
      </c>
      <c r="F256" s="16">
        <v>0.15</v>
      </c>
    </row>
    <row r="257" spans="2:6" x14ac:dyDescent="0.25" outlineLevel="1" collapsed="1">
      <c r="B257" s="14" t="s">
        <v>49</v>
      </c>
      <c r="C257" s="15">
        <f>'Panthers Den20 - Install'!I34</f>
        <v>20882.35</v>
      </c>
      <c r="D257" s="15">
        <f>IFERROR(C257/(1-F257),0)</f>
        <v>24567.47</v>
      </c>
      <c r="E257" s="15">
        <f>IFERROR(D257-C257,0)</f>
        <v>3685.12</v>
      </c>
      <c r="F257" s="16">
        <v>0.15</v>
      </c>
    </row>
    <row r="258" spans="2:6" x14ac:dyDescent="0.25" outlineLevel="1" collapsed="1">
      <c r="B258" s="14" t="s">
        <v>50</v>
      </c>
      <c r="C258" s="15">
        <f>'Panthers Den20 - Install'!I52</f>
        <v>4705.88</v>
      </c>
      <c r="D258" s="15">
        <f>IFERROR(C258/(1-F258),0)</f>
        <v>5536.33</v>
      </c>
      <c r="E258" s="15">
        <f>IFERROR(D258-C258,0)</f>
        <v>830.45</v>
      </c>
      <c r="F258" s="16">
        <v>0.15</v>
      </c>
    </row>
    <row r="259" spans="2:6" x14ac:dyDescent="0.25" outlineLevel="1" collapsed="1">
      <c r="B259" s="4" t="s">
        <v>51</v>
      </c>
      <c r="C259" s="17">
        <f>SUM(C253:C258)</f>
        <v>81131.7</v>
      </c>
      <c r="D259" s="17">
        <f>SUM(D253:D258)</f>
        <v>93659.65</v>
      </c>
      <c r="E259" s="17">
        <f>IFERROR(D259-C259,0)</f>
        <v>12527.95</v>
      </c>
      <c r="F259" s="18">
        <f>IFERROR(1-C259/D259,0)</f>
        <v>0.13376</v>
      </c>
    </row>
    <row r="260" spans="2:7" x14ac:dyDescent="0.25" outlineLevel="1" collapsed="1">
      <c r="B260" s="14" t="s">
        <v>52</v>
      </c>
      <c r="C260" s="19">
        <v>0</v>
      </c>
      <c r="D260" s="19">
        <v>0</v>
      </c>
      <c r="E260" s="19">
        <v>0</v>
      </c>
      <c r="G260" s="20">
        <v>0</v>
      </c>
    </row>
    <row r="261" spans="2:7" x14ac:dyDescent="0.25" outlineLevel="1" collapsed="1">
      <c r="B261" s="14" t="s">
        <v>53</v>
      </c>
      <c r="C261" s="19">
        <v>0</v>
      </c>
      <c r="D261" s="19">
        <v>0</v>
      </c>
      <c r="E261" s="19">
        <v>0</v>
      </c>
      <c r="G261" s="20">
        <v>0</v>
      </c>
    </row>
    <row r="262" spans="2:7" x14ac:dyDescent="0.25" outlineLevel="1" collapsed="1">
      <c r="B262" s="14" t="s">
        <v>54</v>
      </c>
      <c r="C262" s="19">
        <v>0</v>
      </c>
      <c r="D262" s="19">
        <v>0</v>
      </c>
      <c r="E262" s="19">
        <v>0</v>
      </c>
      <c r="G262" s="20">
        <v>0</v>
      </c>
    </row>
    <row r="263" spans="2:6" x14ac:dyDescent="0.25">
      <c r="B263" s="21" t="s">
        <v>55</v>
      </c>
      <c r="C263" s="22">
        <f>C259+C260+C261+C262</f>
        <v>81131.7</v>
      </c>
      <c r="D263" s="22">
        <f>D259+D260+D261+D262</f>
        <v>93659.65</v>
      </c>
      <c r="E263" s="22">
        <f>IFERROR(D263-C263,0)</f>
        <v>12527.949999999997</v>
      </c>
      <c r="F263" s="23">
        <f>IFERROR(1-C263/D263,0)</f>
        <v>0.1337603759996967</v>
      </c>
    </row>
    <row r="265" spans="2:4" s="12" customFormat="1" x14ac:dyDescent="0.25">
      <c r="B265" s="12" t="s">
        <v>63</v>
      </c>
      <c r="D265" s="13" t="s">
        <v>41</v>
      </c>
    </row>
    <row r="266" spans="2:6" x14ac:dyDescent="0.25" outlineLevel="1" collapsed="1">
      <c r="B266" s="14" t="s">
        <v>45</v>
      </c>
      <c r="C266" s="15">
        <f>'LED Cost Sheet'!T24</f>
        <v>6824.16</v>
      </c>
      <c r="D266" s="15">
        <f>'LED Cost Sheet'!V24</f>
        <v>8028.42</v>
      </c>
      <c r="E266" s="15">
        <f>IFERROR(D266-C266,0)</f>
        <v>1204.26</v>
      </c>
      <c r="F266" s="16">
        <v>0.15</v>
      </c>
    </row>
    <row r="267" spans="2:6" x14ac:dyDescent="0.25" outlineLevel="1" collapsed="1">
      <c r="B267" s="14" t="s">
        <v>46</v>
      </c>
      <c r="C267" s="15">
        <f>'Elev Lobby21 - Install'!I26</f>
        <v>277.5</v>
      </c>
      <c r="D267" s="15">
        <f>IFERROR(C267/(1-F267),0)</f>
        <v>326.47</v>
      </c>
      <c r="E267" s="15">
        <f>IFERROR(D267-C267,0)</f>
        <v>48.97</v>
      </c>
      <c r="F267" s="16">
        <v>0.15</v>
      </c>
    </row>
    <row r="268" spans="2:6" x14ac:dyDescent="0.25" outlineLevel="1" collapsed="1">
      <c r="B268" s="14" t="s">
        <v>47</v>
      </c>
      <c r="C268" s="15">
        <f>'Elev Lobby21 - Install'!I35-'Elev Lobby21 - Install'!I34</f>
        <v>1156.25</v>
      </c>
      <c r="D268" s="15">
        <f>IFERROR(C268/(1-F268),0)</f>
        <v>1360.29</v>
      </c>
      <c r="E268" s="15">
        <f>IFERROR(D268-C268,0)</f>
        <v>204.04</v>
      </c>
      <c r="F268" s="16">
        <v>0.15</v>
      </c>
    </row>
    <row r="269" spans="2:6" x14ac:dyDescent="0.25" outlineLevel="1" collapsed="1">
      <c r="B269" s="14" t="s">
        <v>48</v>
      </c>
      <c r="C269" s="15">
        <f>'Elev Lobby21 - Install'!I44</f>
        <v>1156.25</v>
      </c>
      <c r="D269" s="15">
        <f>IFERROR(C269/(1-F269),0)</f>
        <v>1360.29</v>
      </c>
      <c r="E269" s="15">
        <f>IFERROR(D269-C269,0)</f>
        <v>204.04</v>
      </c>
      <c r="F269" s="16">
        <v>0.15</v>
      </c>
    </row>
    <row r="270" spans="2:6" x14ac:dyDescent="0.25" outlineLevel="1" collapsed="1">
      <c r="B270" s="14" t="s">
        <v>49</v>
      </c>
      <c r="C270" s="15">
        <f>'Elev Lobby21 - Install'!I34</f>
        <v>20882.35</v>
      </c>
      <c r="D270" s="15">
        <f>IFERROR(C270/(1-F270),0)</f>
        <v>24567.47</v>
      </c>
      <c r="E270" s="15">
        <f>IFERROR(D270-C270,0)</f>
        <v>3685.12</v>
      </c>
      <c r="F270" s="16">
        <v>0.15</v>
      </c>
    </row>
    <row r="271" spans="2:6" x14ac:dyDescent="0.25" outlineLevel="1" collapsed="1">
      <c r="B271" s="14" t="s">
        <v>50</v>
      </c>
      <c r="C271" s="15">
        <f>'Elev Lobby21 - Install'!I52</f>
        <v>4705.88</v>
      </c>
      <c r="D271" s="15">
        <f>IFERROR(C271/(1-F271),0)</f>
        <v>5536.33</v>
      </c>
      <c r="E271" s="15">
        <f>IFERROR(D271-C271,0)</f>
        <v>830.45</v>
      </c>
      <c r="F271" s="16">
        <v>0.15</v>
      </c>
    </row>
    <row r="272" spans="2:6" x14ac:dyDescent="0.25" outlineLevel="1" collapsed="1">
      <c r="B272" s="4" t="s">
        <v>51</v>
      </c>
      <c r="C272" s="17">
        <f>SUM(C266:C271)</f>
        <v>35002.39</v>
      </c>
      <c r="D272" s="17">
        <f>SUM(D266:D271)</f>
        <v>40591.05</v>
      </c>
      <c r="E272" s="17">
        <f>IFERROR(D272-C272,0)</f>
        <v>5588.66</v>
      </c>
      <c r="F272" s="18">
        <f>IFERROR(1-C272/D272,0)</f>
        <v>0.137682</v>
      </c>
    </row>
    <row r="273" spans="2:7" x14ac:dyDescent="0.25" outlineLevel="1" collapsed="1">
      <c r="B273" s="14" t="s">
        <v>52</v>
      </c>
      <c r="C273" s="19">
        <v>0</v>
      </c>
      <c r="D273" s="19">
        <v>0</v>
      </c>
      <c r="E273" s="19">
        <v>0</v>
      </c>
      <c r="G273" s="20">
        <v>0</v>
      </c>
    </row>
    <row r="274" spans="2:7" x14ac:dyDescent="0.25" outlineLevel="1" collapsed="1">
      <c r="B274" s="14" t="s">
        <v>53</v>
      </c>
      <c r="C274" s="19">
        <v>0</v>
      </c>
      <c r="D274" s="19">
        <v>0</v>
      </c>
      <c r="E274" s="19">
        <v>0</v>
      </c>
      <c r="G274" s="20">
        <v>0</v>
      </c>
    </row>
    <row r="275" spans="2:7" x14ac:dyDescent="0.25" outlineLevel="1" collapsed="1">
      <c r="B275" s="14" t="s">
        <v>54</v>
      </c>
      <c r="C275" s="19">
        <v>0</v>
      </c>
      <c r="D275" s="19">
        <v>0</v>
      </c>
      <c r="E275" s="19">
        <v>0</v>
      </c>
      <c r="G275" s="20">
        <v>0</v>
      </c>
    </row>
    <row r="276" spans="2:6" x14ac:dyDescent="0.25">
      <c r="B276" s="21" t="s">
        <v>55</v>
      </c>
      <c r="C276" s="22">
        <f>C272+C273+C274+C275</f>
        <v>35002.39</v>
      </c>
      <c r="D276" s="22">
        <f>D272+D273+D274+D275</f>
        <v>40591.05</v>
      </c>
      <c r="E276" s="22">
        <f>IFERROR(D276-C276,0)</f>
        <v>5588.6600000000035</v>
      </c>
      <c r="F276" s="23">
        <f>IFERROR(1-C276/D276,0)</f>
        <v>0.13768207523579712</v>
      </c>
    </row>
    <row r="278" spans="2:4" s="12" customFormat="1" x14ac:dyDescent="0.25">
      <c r="B278" s="12" t="s">
        <v>63</v>
      </c>
      <c r="D278" s="13" t="s">
        <v>41</v>
      </c>
    </row>
    <row r="279" spans="2:6" x14ac:dyDescent="0.25" outlineLevel="1" collapsed="1">
      <c r="B279" s="14" t="s">
        <v>45</v>
      </c>
      <c r="C279" s="15">
        <f>'LED Cost Sheet'!T25</f>
        <v>6824.16</v>
      </c>
      <c r="D279" s="15">
        <f>'LED Cost Sheet'!V25</f>
        <v>8028.42</v>
      </c>
      <c r="E279" s="15">
        <f>IFERROR(D279-C279,0)</f>
        <v>1204.26</v>
      </c>
      <c r="F279" s="16">
        <v>0.15</v>
      </c>
    </row>
    <row r="280" spans="2:6" x14ac:dyDescent="0.25" outlineLevel="1" collapsed="1">
      <c r="B280" s="14" t="s">
        <v>46</v>
      </c>
      <c r="C280" s="15">
        <f>'Elev Lobby22 - Install'!I26</f>
        <v>277.5</v>
      </c>
      <c r="D280" s="15">
        <f>IFERROR(C280/(1-F280),0)</f>
        <v>326.47</v>
      </c>
      <c r="E280" s="15">
        <f>IFERROR(D280-C280,0)</f>
        <v>48.97</v>
      </c>
      <c r="F280" s="16">
        <v>0.15</v>
      </c>
    </row>
    <row r="281" spans="2:6" x14ac:dyDescent="0.25" outlineLevel="1" collapsed="1">
      <c r="B281" s="14" t="s">
        <v>47</v>
      </c>
      <c r="C281" s="15">
        <f>'Elev Lobby22 - Install'!I35-'Elev Lobby22 - Install'!I34</f>
        <v>1156.25</v>
      </c>
      <c r="D281" s="15">
        <f>IFERROR(C281/(1-F281),0)</f>
        <v>1360.29</v>
      </c>
      <c r="E281" s="15">
        <f>IFERROR(D281-C281,0)</f>
        <v>204.04</v>
      </c>
      <c r="F281" s="16">
        <v>0.15</v>
      </c>
    </row>
    <row r="282" spans="2:6" x14ac:dyDescent="0.25" outlineLevel="1" collapsed="1">
      <c r="B282" s="14" t="s">
        <v>48</v>
      </c>
      <c r="C282" s="15">
        <f>'Elev Lobby22 - Install'!I44</f>
        <v>1156.25</v>
      </c>
      <c r="D282" s="15">
        <f>IFERROR(C282/(1-F282),0)</f>
        <v>1360.29</v>
      </c>
      <c r="E282" s="15">
        <f>IFERROR(D282-C282,0)</f>
        <v>204.04</v>
      </c>
      <c r="F282" s="16">
        <v>0.15</v>
      </c>
    </row>
    <row r="283" spans="2:6" x14ac:dyDescent="0.25" outlineLevel="1" collapsed="1">
      <c r="B283" s="14" t="s">
        <v>49</v>
      </c>
      <c r="C283" s="15">
        <f>'Elev Lobby22 - Install'!I34</f>
        <v>20882.35</v>
      </c>
      <c r="D283" s="15">
        <f>IFERROR(C283/(1-F283),0)</f>
        <v>24567.47</v>
      </c>
      <c r="E283" s="15">
        <f>IFERROR(D283-C283,0)</f>
        <v>3685.12</v>
      </c>
      <c r="F283" s="16">
        <v>0.15</v>
      </c>
    </row>
    <row r="284" spans="2:6" x14ac:dyDescent="0.25" outlineLevel="1" collapsed="1">
      <c r="B284" s="14" t="s">
        <v>50</v>
      </c>
      <c r="C284" s="15">
        <f>'Elev Lobby22 - Install'!I52</f>
        <v>4705.88</v>
      </c>
      <c r="D284" s="15">
        <f>IFERROR(C284/(1-F284),0)</f>
        <v>5536.33</v>
      </c>
      <c r="E284" s="15">
        <f>IFERROR(D284-C284,0)</f>
        <v>830.45</v>
      </c>
      <c r="F284" s="16">
        <v>0.15</v>
      </c>
    </row>
    <row r="285" spans="2:6" x14ac:dyDescent="0.25" outlineLevel="1" collapsed="1">
      <c r="B285" s="4" t="s">
        <v>51</v>
      </c>
      <c r="C285" s="17">
        <f>SUM(C279:C284)</f>
        <v>35002.39</v>
      </c>
      <c r="D285" s="17">
        <f>SUM(D279:D284)</f>
        <v>40591.05</v>
      </c>
      <c r="E285" s="17">
        <f>IFERROR(D285-C285,0)</f>
        <v>5588.66</v>
      </c>
      <c r="F285" s="18">
        <f>IFERROR(1-C285/D285,0)</f>
        <v>0.137682</v>
      </c>
    </row>
    <row r="286" spans="2:7" x14ac:dyDescent="0.25" outlineLevel="1" collapsed="1">
      <c r="B286" s="14" t="s">
        <v>52</v>
      </c>
      <c r="C286" s="19">
        <v>0</v>
      </c>
      <c r="D286" s="19">
        <v>0</v>
      </c>
      <c r="E286" s="19">
        <v>0</v>
      </c>
      <c r="G286" s="20">
        <v>0</v>
      </c>
    </row>
    <row r="287" spans="2:7" x14ac:dyDescent="0.25" outlineLevel="1" collapsed="1">
      <c r="B287" s="14" t="s">
        <v>53</v>
      </c>
      <c r="C287" s="19">
        <v>0</v>
      </c>
      <c r="D287" s="19">
        <v>0</v>
      </c>
      <c r="E287" s="19">
        <v>0</v>
      </c>
      <c r="G287" s="20">
        <v>0</v>
      </c>
    </row>
    <row r="288" spans="2:7" x14ac:dyDescent="0.25" outlineLevel="1" collapsed="1">
      <c r="B288" s="14" t="s">
        <v>54</v>
      </c>
      <c r="C288" s="19">
        <v>0</v>
      </c>
      <c r="D288" s="19">
        <v>0</v>
      </c>
      <c r="E288" s="19">
        <v>0</v>
      </c>
      <c r="G288" s="20">
        <v>0</v>
      </c>
    </row>
    <row r="289" spans="2:6" x14ac:dyDescent="0.25">
      <c r="B289" s="21" t="s">
        <v>55</v>
      </c>
      <c r="C289" s="22">
        <f>C285+C286+C287+C288</f>
        <v>35002.39</v>
      </c>
      <c r="D289" s="22">
        <f>D285+D286+D287+D288</f>
        <v>40591.05</v>
      </c>
      <c r="E289" s="22">
        <f>IFERROR(D289-C289,0)</f>
        <v>5588.6600000000035</v>
      </c>
      <c r="F289" s="23">
        <f>IFERROR(1-C289/D289,0)</f>
        <v>0.13768207523579712</v>
      </c>
    </row>
    <row r="291" spans="2:4" s="12" customFormat="1" x14ac:dyDescent="0.25">
      <c r="B291" s="12" t="s">
        <v>63</v>
      </c>
      <c r="D291" s="13" t="s">
        <v>41</v>
      </c>
    </row>
    <row r="292" spans="2:6" x14ac:dyDescent="0.25" outlineLevel="1" collapsed="1">
      <c r="B292" s="14" t="s">
        <v>45</v>
      </c>
      <c r="C292" s="15">
        <f>'LED Cost Sheet'!T26</f>
        <v>6824.16</v>
      </c>
      <c r="D292" s="15">
        <f>'LED Cost Sheet'!V26</f>
        <v>8028.42</v>
      </c>
      <c r="E292" s="15">
        <f>IFERROR(D292-C292,0)</f>
        <v>1204.26</v>
      </c>
      <c r="F292" s="16">
        <v>0.15</v>
      </c>
    </row>
    <row r="293" spans="2:6" x14ac:dyDescent="0.25" outlineLevel="1" collapsed="1">
      <c r="B293" s="14" t="s">
        <v>46</v>
      </c>
      <c r="C293" s="15">
        <f>'Elev Lobby23 - Install'!I26</f>
        <v>277.5</v>
      </c>
      <c r="D293" s="15">
        <f>IFERROR(C293/(1-F293),0)</f>
        <v>326.47</v>
      </c>
      <c r="E293" s="15">
        <f>IFERROR(D293-C293,0)</f>
        <v>48.97</v>
      </c>
      <c r="F293" s="16">
        <v>0.15</v>
      </c>
    </row>
    <row r="294" spans="2:6" x14ac:dyDescent="0.25" outlineLevel="1" collapsed="1">
      <c r="B294" s="14" t="s">
        <v>47</v>
      </c>
      <c r="C294" s="15">
        <f>'Elev Lobby23 - Install'!I35-'Elev Lobby23 - Install'!I34</f>
        <v>1156.25</v>
      </c>
      <c r="D294" s="15">
        <f>IFERROR(C294/(1-F294),0)</f>
        <v>1360.29</v>
      </c>
      <c r="E294" s="15">
        <f>IFERROR(D294-C294,0)</f>
        <v>204.04</v>
      </c>
      <c r="F294" s="16">
        <v>0.15</v>
      </c>
    </row>
    <row r="295" spans="2:6" x14ac:dyDescent="0.25" outlineLevel="1" collapsed="1">
      <c r="B295" s="14" t="s">
        <v>48</v>
      </c>
      <c r="C295" s="15">
        <f>'Elev Lobby23 - Install'!I44</f>
        <v>1156.25</v>
      </c>
      <c r="D295" s="15">
        <f>IFERROR(C295/(1-F295),0)</f>
        <v>1360.29</v>
      </c>
      <c r="E295" s="15">
        <f>IFERROR(D295-C295,0)</f>
        <v>204.04</v>
      </c>
      <c r="F295" s="16">
        <v>0.15</v>
      </c>
    </row>
    <row r="296" spans="2:6" x14ac:dyDescent="0.25" outlineLevel="1" collapsed="1">
      <c r="B296" s="14" t="s">
        <v>49</v>
      </c>
      <c r="C296" s="15">
        <f>'Elev Lobby23 - Install'!I34</f>
        <v>20882.35</v>
      </c>
      <c r="D296" s="15">
        <f>IFERROR(C296/(1-F296),0)</f>
        <v>24567.47</v>
      </c>
      <c r="E296" s="15">
        <f>IFERROR(D296-C296,0)</f>
        <v>3685.12</v>
      </c>
      <c r="F296" s="16">
        <v>0.15</v>
      </c>
    </row>
    <row r="297" spans="2:6" x14ac:dyDescent="0.25" outlineLevel="1" collapsed="1">
      <c r="B297" s="14" t="s">
        <v>50</v>
      </c>
      <c r="C297" s="15">
        <f>'Elev Lobby23 - Install'!I52</f>
        <v>4705.88</v>
      </c>
      <c r="D297" s="15">
        <f>IFERROR(C297/(1-F297),0)</f>
        <v>5536.33</v>
      </c>
      <c r="E297" s="15">
        <f>IFERROR(D297-C297,0)</f>
        <v>830.45</v>
      </c>
      <c r="F297" s="16">
        <v>0.15</v>
      </c>
    </row>
    <row r="298" spans="2:6" x14ac:dyDescent="0.25" outlineLevel="1" collapsed="1">
      <c r="B298" s="4" t="s">
        <v>51</v>
      </c>
      <c r="C298" s="17">
        <f>SUM(C292:C297)</f>
        <v>35002.39</v>
      </c>
      <c r="D298" s="17">
        <f>SUM(D292:D297)</f>
        <v>40591.05</v>
      </c>
      <c r="E298" s="17">
        <f>IFERROR(D298-C298,0)</f>
        <v>5588.66</v>
      </c>
      <c r="F298" s="18">
        <f>IFERROR(1-C298/D298,0)</f>
        <v>0.137682</v>
      </c>
    </row>
    <row r="299" spans="2:7" x14ac:dyDescent="0.25" outlineLevel="1" collapsed="1">
      <c r="B299" s="14" t="s">
        <v>52</v>
      </c>
      <c r="C299" s="19">
        <v>0</v>
      </c>
      <c r="D299" s="19">
        <v>0</v>
      </c>
      <c r="E299" s="19">
        <v>0</v>
      </c>
      <c r="G299" s="20">
        <v>0</v>
      </c>
    </row>
    <row r="300" spans="2:7" x14ac:dyDescent="0.25" outlineLevel="1" collapsed="1">
      <c r="B300" s="14" t="s">
        <v>53</v>
      </c>
      <c r="C300" s="19">
        <v>0</v>
      </c>
      <c r="D300" s="19">
        <v>0</v>
      </c>
      <c r="E300" s="19">
        <v>0</v>
      </c>
      <c r="G300" s="20">
        <v>0</v>
      </c>
    </row>
    <row r="301" spans="2:7" x14ac:dyDescent="0.25" outlineLevel="1" collapsed="1">
      <c r="B301" s="14" t="s">
        <v>54</v>
      </c>
      <c r="C301" s="19">
        <v>0</v>
      </c>
      <c r="D301" s="19">
        <v>0</v>
      </c>
      <c r="E301" s="19">
        <v>0</v>
      </c>
      <c r="G301" s="20">
        <v>0</v>
      </c>
    </row>
    <row r="302" spans="2:6" x14ac:dyDescent="0.25">
      <c r="B302" s="21" t="s">
        <v>55</v>
      </c>
      <c r="C302" s="22">
        <f>C298+C299+C300+C301</f>
        <v>35002.39</v>
      </c>
      <c r="D302" s="22">
        <f>D298+D299+D300+D301</f>
        <v>40591.05</v>
      </c>
      <c r="E302" s="22">
        <f>IFERROR(D302-C302,0)</f>
        <v>5588.6600000000035</v>
      </c>
      <c r="F302" s="23">
        <f>IFERROR(1-C302/D302,0)</f>
        <v>0.13768207523579712</v>
      </c>
    </row>
    <row r="304" spans="2:4" s="12" customFormat="1" x14ac:dyDescent="0.25">
      <c r="B304" s="12" t="s">
        <v>64</v>
      </c>
      <c r="D304" s="13" t="s">
        <v>41</v>
      </c>
    </row>
    <row r="305" spans="2:6" x14ac:dyDescent="0.25" outlineLevel="1" collapsed="1">
      <c r="B305" s="14" t="s">
        <v>45</v>
      </c>
      <c r="C305" s="15">
        <f>'LED Cost Sheet'!T27</f>
        <v>41211.04</v>
      </c>
      <c r="D305" s="15">
        <f>'LED Cost Sheet'!V27</f>
        <v>48483.58</v>
      </c>
      <c r="E305" s="15">
        <f>IFERROR(D305-C305,0)</f>
        <v>7272.54</v>
      </c>
      <c r="F305" s="16">
        <v>0.15</v>
      </c>
    </row>
    <row r="306" spans="2:6" x14ac:dyDescent="0.25" outlineLevel="1" collapsed="1">
      <c r="B306" s="14" t="s">
        <v>46</v>
      </c>
      <c r="C306" s="15">
        <f>'North Club24 - Install'!I26</f>
        <v>1845</v>
      </c>
      <c r="D306" s="15">
        <f>IFERROR(C306/(1-F306),0)</f>
        <v>2170.59</v>
      </c>
      <c r="E306" s="15">
        <f>IFERROR(D306-C306,0)</f>
        <v>325.59</v>
      </c>
      <c r="F306" s="16">
        <v>0.15</v>
      </c>
    </row>
    <row r="307" spans="2:6" x14ac:dyDescent="0.25" outlineLevel="1" collapsed="1">
      <c r="B307" s="14" t="s">
        <v>47</v>
      </c>
      <c r="C307" s="15">
        <f>'North Club24 - Install'!I35-'North Club24 - Install'!I34</f>
        <v>7687.5</v>
      </c>
      <c r="D307" s="15">
        <f>IFERROR(C307/(1-F307),0)</f>
        <v>9044.12</v>
      </c>
      <c r="E307" s="15">
        <f>IFERROR(D307-C307,0)</f>
        <v>1356.62</v>
      </c>
      <c r="F307" s="16">
        <v>0.15</v>
      </c>
    </row>
    <row r="308" spans="2:6" x14ac:dyDescent="0.25" outlineLevel="1" collapsed="1">
      <c r="B308" s="14" t="s">
        <v>48</v>
      </c>
      <c r="C308" s="15">
        <f>'North Club24 - Install'!I44</f>
        <v>7687.5</v>
      </c>
      <c r="D308" s="15">
        <f>IFERROR(C308/(1-F308),0)</f>
        <v>9044.12</v>
      </c>
      <c r="E308" s="15">
        <f>IFERROR(D308-C308,0)</f>
        <v>1356.62</v>
      </c>
      <c r="F308" s="16">
        <v>0.15</v>
      </c>
    </row>
    <row r="309" spans="2:6" x14ac:dyDescent="0.25" outlineLevel="1" collapsed="1">
      <c r="B309" s="14" t="s">
        <v>49</v>
      </c>
      <c r="C309" s="15">
        <f>'North Club24 - Install'!I34</f>
        <v>20882.35</v>
      </c>
      <c r="D309" s="15">
        <f>IFERROR(C309/(1-F309),0)</f>
        <v>24567.47</v>
      </c>
      <c r="E309" s="15">
        <f>IFERROR(D309-C309,0)</f>
        <v>3685.12</v>
      </c>
      <c r="F309" s="16">
        <v>0.15</v>
      </c>
    </row>
    <row r="310" spans="2:6" x14ac:dyDescent="0.25" outlineLevel="1" collapsed="1">
      <c r="B310" s="14" t="s">
        <v>50</v>
      </c>
      <c r="C310" s="15">
        <f>'North Club24 - Install'!I52</f>
        <v>4705.88</v>
      </c>
      <c r="D310" s="15">
        <f>IFERROR(C310/(1-F310),0)</f>
        <v>5536.33</v>
      </c>
      <c r="E310" s="15">
        <f>IFERROR(D310-C310,0)</f>
        <v>830.45</v>
      </c>
      <c r="F310" s="16">
        <v>0.15</v>
      </c>
    </row>
    <row r="311" spans="2:6" x14ac:dyDescent="0.25" outlineLevel="1" collapsed="1">
      <c r="B311" s="4" t="s">
        <v>51</v>
      </c>
      <c r="C311" s="17">
        <f>SUM(C305:C310)</f>
        <v>84019.27</v>
      </c>
      <c r="D311" s="17">
        <f>SUM(D305:D310)</f>
        <v>96963.84</v>
      </c>
      <c r="E311" s="17">
        <f>IFERROR(D311-C311,0)</f>
        <v>12944.57</v>
      </c>
      <c r="F311" s="18">
        <f>IFERROR(1-C311/D311,0)</f>
        <v>0.133499</v>
      </c>
    </row>
    <row r="312" spans="2:7" x14ac:dyDescent="0.25" outlineLevel="1" collapsed="1">
      <c r="B312" s="14" t="s">
        <v>52</v>
      </c>
      <c r="C312" s="19">
        <v>0</v>
      </c>
      <c r="D312" s="19">
        <v>0</v>
      </c>
      <c r="E312" s="19">
        <v>0</v>
      </c>
      <c r="G312" s="20">
        <v>0</v>
      </c>
    </row>
    <row r="313" spans="2:7" x14ac:dyDescent="0.25" outlineLevel="1" collapsed="1">
      <c r="B313" s="14" t="s">
        <v>53</v>
      </c>
      <c r="C313" s="19">
        <v>0</v>
      </c>
      <c r="D313" s="19">
        <v>0</v>
      </c>
      <c r="E313" s="19">
        <v>0</v>
      </c>
      <c r="G313" s="20">
        <v>0</v>
      </c>
    </row>
    <row r="314" spans="2:7" x14ac:dyDescent="0.25" outlineLevel="1" collapsed="1">
      <c r="B314" s="14" t="s">
        <v>54</v>
      </c>
      <c r="C314" s="19">
        <v>0</v>
      </c>
      <c r="D314" s="19">
        <v>0</v>
      </c>
      <c r="E314" s="19">
        <v>0</v>
      </c>
      <c r="G314" s="20">
        <v>0</v>
      </c>
    </row>
    <row r="315" spans="2:6" x14ac:dyDescent="0.25">
      <c r="B315" s="21" t="s">
        <v>55</v>
      </c>
      <c r="C315" s="22">
        <f>C311+C312+C313+C314</f>
        <v>84019.27</v>
      </c>
      <c r="D315" s="22">
        <f>D311+D312+D313+D314</f>
        <v>96963.84</v>
      </c>
      <c r="E315" s="22">
        <f>IFERROR(D315-C315,0)</f>
        <v>12944.569999999992</v>
      </c>
      <c r="F315" s="23">
        <f>IFERROR(1-C315/D315,0)</f>
        <v>0.13349894146106422</v>
      </c>
    </row>
    <row r="317" spans="2:4" s="12" customFormat="1" x14ac:dyDescent="0.25">
      <c r="B317" s="12" t="s">
        <v>66</v>
      </c>
      <c r="D317" s="13" t="s">
        <v>41</v>
      </c>
    </row>
    <row r="318" spans="2:6" x14ac:dyDescent="0.25" outlineLevel="1" collapsed="1">
      <c r="B318" s="14" t="s">
        <v>45</v>
      </c>
      <c r="C318" s="15">
        <f>'LED Cost Sheet'!T28</f>
        <v>41211.04</v>
      </c>
      <c r="D318" s="15">
        <f>'LED Cost Sheet'!V28</f>
        <v>48483.58</v>
      </c>
      <c r="E318" s="15">
        <f>IFERROR(D318-C318,0)</f>
        <v>7272.54</v>
      </c>
      <c r="F318" s="16">
        <v>0.15</v>
      </c>
    </row>
    <row r="319" spans="2:6" x14ac:dyDescent="0.25" outlineLevel="1" collapsed="1">
      <c r="B319" s="14" t="s">
        <v>46</v>
      </c>
      <c r="C319" s="15">
        <f>'South Club25 - Install'!I26</f>
        <v>1845</v>
      </c>
      <c r="D319" s="15">
        <f>IFERROR(C319/(1-F319),0)</f>
        <v>2170.59</v>
      </c>
      <c r="E319" s="15">
        <f>IFERROR(D319-C319,0)</f>
        <v>325.59</v>
      </c>
      <c r="F319" s="16">
        <v>0.15</v>
      </c>
    </row>
    <row r="320" spans="2:6" x14ac:dyDescent="0.25" outlineLevel="1" collapsed="1">
      <c r="B320" s="14" t="s">
        <v>47</v>
      </c>
      <c r="C320" s="15">
        <f>'South Club25 - Install'!I35-'South Club25 - Install'!I34</f>
        <v>7687.5</v>
      </c>
      <c r="D320" s="15">
        <f>IFERROR(C320/(1-F320),0)</f>
        <v>9044.12</v>
      </c>
      <c r="E320" s="15">
        <f>IFERROR(D320-C320,0)</f>
        <v>1356.62</v>
      </c>
      <c r="F320" s="16">
        <v>0.15</v>
      </c>
    </row>
    <row r="321" spans="2:6" x14ac:dyDescent="0.25" outlineLevel="1" collapsed="1">
      <c r="B321" s="14" t="s">
        <v>48</v>
      </c>
      <c r="C321" s="15">
        <f>'South Club25 - Install'!I44</f>
        <v>7687.5</v>
      </c>
      <c r="D321" s="15">
        <f>IFERROR(C321/(1-F321),0)</f>
        <v>9044.12</v>
      </c>
      <c r="E321" s="15">
        <f>IFERROR(D321-C321,0)</f>
        <v>1356.62</v>
      </c>
      <c r="F321" s="16">
        <v>0.15</v>
      </c>
    </row>
    <row r="322" spans="2:6" x14ac:dyDescent="0.25" outlineLevel="1" collapsed="1">
      <c r="B322" s="14" t="s">
        <v>49</v>
      </c>
      <c r="C322" s="15">
        <f>'South Club25 - Install'!I34</f>
        <v>20882.35</v>
      </c>
      <c r="D322" s="15">
        <f>IFERROR(C322/(1-F322),0)</f>
        <v>24567.47</v>
      </c>
      <c r="E322" s="15">
        <f>IFERROR(D322-C322,0)</f>
        <v>3685.12</v>
      </c>
      <c r="F322" s="16">
        <v>0.15</v>
      </c>
    </row>
    <row r="323" spans="2:6" x14ac:dyDescent="0.25" outlineLevel="1" collapsed="1">
      <c r="B323" s="14" t="s">
        <v>50</v>
      </c>
      <c r="C323" s="15">
        <f>'South Club25 - Install'!I52</f>
        <v>4705.88</v>
      </c>
      <c r="D323" s="15">
        <f>IFERROR(C323/(1-F323),0)</f>
        <v>5536.33</v>
      </c>
      <c r="E323" s="15">
        <f>IFERROR(D323-C323,0)</f>
        <v>830.45</v>
      </c>
      <c r="F323" s="16">
        <v>0.15</v>
      </c>
    </row>
    <row r="324" spans="2:6" x14ac:dyDescent="0.25" outlineLevel="1" collapsed="1">
      <c r="B324" s="4" t="s">
        <v>51</v>
      </c>
      <c r="C324" s="17">
        <f>SUM(C318:C323)</f>
        <v>84019.27</v>
      </c>
      <c r="D324" s="17">
        <f>SUM(D318:D323)</f>
        <v>96963.84</v>
      </c>
      <c r="E324" s="17">
        <f>IFERROR(D324-C324,0)</f>
        <v>12944.57</v>
      </c>
      <c r="F324" s="18">
        <f>IFERROR(1-C324/D324,0)</f>
        <v>0.133499</v>
      </c>
    </row>
    <row r="325" spans="2:7" x14ac:dyDescent="0.25" outlineLevel="1" collapsed="1">
      <c r="B325" s="14" t="s">
        <v>52</v>
      </c>
      <c r="C325" s="19">
        <v>0</v>
      </c>
      <c r="D325" s="19">
        <v>0</v>
      </c>
      <c r="E325" s="19">
        <v>0</v>
      </c>
      <c r="G325" s="20">
        <v>0</v>
      </c>
    </row>
    <row r="326" spans="2:7" x14ac:dyDescent="0.25" outlineLevel="1" collapsed="1">
      <c r="B326" s="14" t="s">
        <v>53</v>
      </c>
      <c r="C326" s="19">
        <v>0</v>
      </c>
      <c r="D326" s="19">
        <v>0</v>
      </c>
      <c r="E326" s="19">
        <v>0</v>
      </c>
      <c r="G326" s="20">
        <v>0</v>
      </c>
    </row>
    <row r="327" spans="2:7" x14ac:dyDescent="0.25" outlineLevel="1" collapsed="1">
      <c r="B327" s="14" t="s">
        <v>54</v>
      </c>
      <c r="C327" s="19">
        <v>0</v>
      </c>
      <c r="D327" s="19">
        <v>0</v>
      </c>
      <c r="E327" s="19">
        <v>0</v>
      </c>
      <c r="G327" s="20">
        <v>0</v>
      </c>
    </row>
    <row r="328" spans="2:6" x14ac:dyDescent="0.25">
      <c r="B328" s="21" t="s">
        <v>55</v>
      </c>
      <c r="C328" s="22">
        <f>C324+C325+C326+C327</f>
        <v>84019.27</v>
      </c>
      <c r="D328" s="22">
        <f>D324+D325+D326+D327</f>
        <v>96963.84</v>
      </c>
      <c r="E328" s="22">
        <f>IFERROR(D328-C328,0)</f>
        <v>12944.569999999992</v>
      </c>
      <c r="F328" s="23">
        <f>IFERROR(1-C328/D328,0)</f>
        <v>0.13349894146106422</v>
      </c>
    </row>
    <row r="331" ht="24" customHeight="1" spans="2:6" x14ac:dyDescent="0.25">
      <c r="B331" s="24" t="s">
        <v>67</v>
      </c>
      <c r="C331" s="24"/>
      <c r="D331" s="24"/>
      <c r="E331" s="24"/>
      <c r="F331" s="24"/>
    </row>
    <row r="332" spans="2:6" x14ac:dyDescent="0.25">
      <c r="B332" s="25" t="s">
        <v>68</v>
      </c>
      <c r="C332" s="19">
        <f>SUM(CMS!F26:F26)</f>
        <v>0</v>
      </c>
      <c r="D332" s="19">
        <f>SUM(CMS!H26:H26)</f>
        <v>0</v>
      </c>
      <c r="E332" s="19">
        <f>SUM(CMS!I26:I26)</f>
        <v>0</v>
      </c>
      <c r="F332" s="20">
        <v>0.15</v>
      </c>
    </row>
    <row r="333" spans="2:6" x14ac:dyDescent="0.25">
      <c r="B333" s="25" t="s">
        <v>69</v>
      </c>
      <c r="C333" s="19">
        <f>SUM(Scoring!F27:F27)</f>
        <v>0</v>
      </c>
      <c r="D333" s="19">
        <f>SUM(Scoring!H27:H27)</f>
        <v>0</v>
      </c>
      <c r="E333" s="19">
        <f>SUM(Scoring!I27:I27)</f>
        <v>0</v>
      </c>
      <c r="F333" s="20">
        <v>0.15</v>
      </c>
    </row>
    <row r="334" spans="2:6" x14ac:dyDescent="0.25">
      <c r="B334" s="25" t="s">
        <v>70</v>
      </c>
      <c r="C334" s="19">
        <f>SUM('Venue Services'!B17:B17)</f>
        <v>0</v>
      </c>
      <c r="D334" s="19">
        <f>SUM('Venue Services'!C17:C17)</f>
        <v>0</v>
      </c>
      <c r="E334" s="19">
        <f>SUM('Venue Services'!D17:D17)</f>
        <v>0</v>
      </c>
      <c r="F334" s="26">
        <v>0.15</v>
      </c>
    </row>
    <row r="335" spans="2:6" x14ac:dyDescent="0.25">
      <c r="B335" s="25" t="s">
        <v>71</v>
      </c>
      <c r="C335" s="19">
        <f>SUM('Additional Items'!F5:F5)</f>
        <v>0</v>
      </c>
      <c r="D335" s="19">
        <f>SUM('Additional Items'!H5:H5)</f>
        <v>0</v>
      </c>
      <c r="E335" s="19">
        <f>SUM('Additional Items'!I5:I5)</f>
        <v>0</v>
      </c>
      <c r="F335" s="26">
        <f>SUM('Additional Items'!G5:G5)</f>
        <v>0.15</v>
      </c>
    </row>
    <row r="336" spans="2:6" x14ac:dyDescent="0.25">
      <c r="B336" s="25" t="s">
        <v>72</v>
      </c>
      <c r="C336" s="19">
        <f>SUM('Additional Items'!F6:F6)</f>
        <v>0</v>
      </c>
      <c r="D336" s="19">
        <f>SUM('Additional Items'!H6:H6)</f>
        <v>0</v>
      </c>
      <c r="E336" s="19">
        <f>SUM('Additional Items'!I6:I6)</f>
        <v>0</v>
      </c>
      <c r="F336" s="26">
        <f>SUM('Additional Items'!G6:G6)</f>
        <v>0.15</v>
      </c>
    </row>
    <row r="337" spans="2:6" x14ac:dyDescent="0.25">
      <c r="B337" s="25" t="s">
        <v>73</v>
      </c>
      <c r="C337" s="19">
        <f>SUM('Additional Items'!F7:F7)</f>
        <v>0</v>
      </c>
      <c r="D337" s="19">
        <f>SUM('Additional Items'!H7:H7)</f>
        <v>0</v>
      </c>
      <c r="E337" s="19">
        <f>SUM('Additional Items'!I7:I7)</f>
        <v>0</v>
      </c>
      <c r="F337" s="26">
        <f>SUM('Additional Items'!G7:G7)</f>
        <v>0.15</v>
      </c>
    </row>
    <row r="338" spans="2:6" x14ac:dyDescent="0.25">
      <c r="B338" s="25" t="s">
        <v>74</v>
      </c>
      <c r="C338" s="19">
        <f>SUM('Additional Items'!F8:F8)</f>
        <v>0</v>
      </c>
      <c r="D338" s="19">
        <f>SUM('Additional Items'!H8:H8)</f>
        <v>0</v>
      </c>
      <c r="E338" s="19">
        <f>SUM('Additional Items'!I8:I8)</f>
        <v>0</v>
      </c>
      <c r="F338" s="26">
        <f>SUM('Additional Items'!G8:G8)</f>
        <v>0.15</v>
      </c>
    </row>
    <row r="340" spans="1:6" x14ac:dyDescent="0.25" outlineLevel="1" collapsed="1">
      <c r="A340" s="27"/>
      <c r="B340" s="28" t="s">
        <v>75</v>
      </c>
      <c r="C340" s="29">
        <f>SUM(C16,C29,C42,C55,C68,C81,C94,C107,C120,C133,C146,C159,C172,C185,C198,C211,C224,C237,C250,C263,C276,C289,C302,C315,C328,C332,C333,C334,C335,C336,C337,C338)</f>
        <v>3218418.220000002</v>
      </c>
      <c r="D340" s="29">
        <f>SUM(D16,D29,D42,D55,D68,D81,D94,D107,D120,D133,D146,D159,D172,D185,D198,D211,D224,D237,D250,D263,D276,D289,D302,D315,D328,D332,D333,D334,D335,D336,D337,D338)</f>
        <v>3706135.22</v>
      </c>
      <c r="E340" s="29">
        <f>IFERROR(D340-C340,0)</f>
        <v>487717</v>
      </c>
      <c r="F340" s="30">
        <f>IFERROR(1-C340/D340,0)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76</v>
      </c>
      <c r="B1" s="1"/>
      <c r="C1" s="1"/>
      <c r="D1" s="1"/>
      <c r="E1" s="1"/>
      <c r="F1" s="1"/>
      <c r="G1" s="1"/>
    </row>
    <row r="2" spans="1:7" x14ac:dyDescent="0.25">
      <c r="A2" s="2" t="s">
        <v>77</v>
      </c>
      <c r="B2" s="2"/>
      <c r="C2" s="2"/>
      <c r="D2" s="2"/>
      <c r="E2" s="2"/>
      <c r="F2" s="2"/>
      <c r="G2" s="2"/>
    </row>
    <row r="4" ht="28" customHeight="1" spans="1:7" x14ac:dyDescent="0.25">
      <c r="A4" s="31" t="s">
        <v>38</v>
      </c>
      <c r="B4" s="31" t="s">
        <v>78</v>
      </c>
      <c r="C4" s="31" t="s">
        <v>40</v>
      </c>
      <c r="D4" s="31" t="s">
        <v>41</v>
      </c>
      <c r="E4" s="31" t="s">
        <v>42</v>
      </c>
      <c r="F4" s="31" t="s">
        <v>43</v>
      </c>
      <c r="G4" s="31" t="s">
        <v>79</v>
      </c>
    </row>
    <row r="5" spans="2:7" x14ac:dyDescent="0.25">
      <c r="B5" s="5" t="s">
        <v>80</v>
      </c>
      <c r="C5" s="19">
        <f>SUM('LED Cost Sheet'!Q4:Q28)</f>
        <v>1853582.4100000006</v>
      </c>
      <c r="D5" s="19">
        <f>SUM('LED Cost Sheet'!S4:S28)</f>
        <v>2180685.19</v>
      </c>
      <c r="E5" s="19">
        <f>IFERROR(D5-C5,0)</f>
        <v>327102.78</v>
      </c>
      <c r="F5" s="26">
        <v>0.15</v>
      </c>
      <c r="G5" s="19">
        <f>IFERROR(C5/6742.33,0)</f>
        <v>274.92</v>
      </c>
    </row>
    <row r="6" spans="1:7" x14ac:dyDescent="0.25">
      <c r="A6" s="32"/>
      <c r="B6" s="7" t="s">
        <v>81</v>
      </c>
      <c r="C6" s="33">
        <f>SUM('Team Room - Install'!I26:I26)+SUM('Incident Command - Install'!I26:I26)+SUM('Def. Unit - Install'!I26:I26)+SUM('North Corridor - Install'!I26:I26)+SUM('South Corridor - Install'!I26:I26)+SUM('S.E Corridor - Install'!I26:I26)+SUM('East Corridor - Install'!I26:I26)+SUM('N.E Corridor - Install'!I26:I26)+SUM('Elev Lobby - Install'!I26:I26)+SUM('North Club - Install'!I26:I26)+SUM('Panthers Den - Install'!I26:I26)+SUM('Panthers Den12 - Install'!I26:I26)+SUM('Panthers Den13 - Install'!I26:I26)+SUM('Panthers Den14 - Install'!I26:I26)+SUM('South Club - Install'!I26:I26)+SUM('S.E Corridor16 - Install'!I26:I26)+SUM('N.E Corridor17 - Install'!I26:I26)+SUM('Panthers Den18 - Install'!I26:I26)+SUM('Panthers Den19 - Install'!I26:I26)+SUM('Panthers Den20 - Install'!I26:I26)+SUM('Elev Lobby21 - Install'!I26:I26)+SUM('Elev Lobby22 - Install'!I26:I26)+SUM('Elev Lobby23 - Install'!I26:I26)+SUM('North Club24 - Install'!I26:I26)+SUM('South Club25 - Install'!I26:I26)</f>
        <v>77692.5</v>
      </c>
      <c r="D6" s="33">
        <f>SUM('Team Room - Install'!K26:K26)+SUM('Incident Command - Install'!K26:K26)+SUM('Def. Unit - Install'!K26:K26)+SUM('North Corridor - Install'!K26:K26)+SUM('South Corridor - Install'!K26:K26)+SUM('S.E Corridor - Install'!K26:K26)+SUM('East Corridor - Install'!K26:K26)+SUM('N.E Corridor - Install'!K26:K26)+SUM('Elev Lobby - Install'!K26:K26)+SUM('North Club - Install'!K26:K26)+SUM('Panthers Den - Install'!K26:K26)+SUM('Panthers Den12 - Install'!K26:K26)+SUM('Panthers Den13 - Install'!K26:K26)+SUM('Panthers Den14 - Install'!K26:K26)+SUM('South Club - Install'!K26:K26)+SUM('S.E Corridor16 - Install'!K26:K26)+SUM('N.E Corridor17 - Install'!K26:K26)+SUM('Panthers Den18 - Install'!K26:K26)+SUM('Panthers Den19 - Install'!K26:K26)+SUM('Panthers Den20 - Install'!K26:K26)+SUM('Elev Lobby21 - Install'!K26:K26)+SUM('Elev Lobby22 - Install'!K26:K26)+SUM('Elev Lobby23 - Install'!K26:K26)+SUM('North Club24 - Install'!K26:K26)+SUM('South Club25 - Install'!K26:K26)</f>
        <v>91402.94</v>
      </c>
      <c r="E6" s="33">
        <f>IFERROR(D6-C6,0)</f>
        <v>13710.44</v>
      </c>
      <c r="F6" s="34">
        <v>0.15</v>
      </c>
      <c r="G6" s="33">
        <f>IFERROR(C6/6742.33,0)</f>
        <v>11.52</v>
      </c>
    </row>
    <row r="7" spans="2:7" x14ac:dyDescent="0.25">
      <c r="B7" s="5" t="s">
        <v>82</v>
      </c>
      <c r="C7" s="19">
        <f>(SUM('Team Room - Install'!I35:I35)-SUM('Team Room - Install'!I34:I34))+(SUM('Incident Command - Install'!I35:I35)-SUM('Incident Command - Install'!I34:I34))+(SUM('Def. Unit - Install'!I35:I35)-SUM('Def. Unit - Install'!I34:I34))+(SUM('North Corridor - Install'!I35:I35)-SUM('North Corridor - Install'!I34:I34))+(SUM('South Corridor - Install'!I35:I35)-SUM('South Corridor - Install'!I34:I34))+(SUM('S.E Corridor - Install'!I35:I35)-SUM('S.E Corridor - Install'!I34:I34))+(SUM('East Corridor - Install'!I35:I35)-SUM('East Corridor - Install'!I34:I34))+(SUM('N.E Corridor - Install'!I35:I35)-SUM('N.E Corridor - Install'!I34:I34))+(SUM('Elev Lobby - Install'!I35:I35)-SUM('Elev Lobby - Install'!I34:I34))+(SUM('North Club - Install'!I35:I35)-SUM('North Club - Install'!I34:I34))+(SUM('Panthers Den - Install'!I35:I35)-SUM('Panthers Den - Install'!I34:I34))+(SUM('Panthers Den12 - Install'!I35:I35)-SUM('Panthers Den12 - Install'!I34:I34))+(SUM('Panthers Den13 - Install'!I35:I35)-SUM('Panthers Den13 - Install'!I34:I34))+(SUM('Panthers Den14 - Install'!I35:I35)-SUM('Panthers Den14 - Install'!I34:I34))+(SUM('South Club - Install'!I35:I35)-SUM('South Club - Install'!I34:I34))+(SUM('S.E Corridor16 - Install'!I35:I35)-SUM('S.E Corridor16 - Install'!I34:I34))+(SUM('N.E Corridor17 - Install'!I35:I35)-SUM('N.E Corridor17 - Install'!I34:I34))+(SUM('Panthers Den18 - Install'!I35:I35)-SUM('Panthers Den18 - Install'!I34:I34))+(SUM('Panthers Den19 - Install'!I35:I35)-SUM('Panthers Den19 - Install'!I34:I34))+(SUM('Panthers Den20 - Install'!I35:I35)-SUM('Panthers Den20 - Install'!I34:I34))+(SUM('Elev Lobby21 - Install'!I35:I35)-SUM('Elev Lobby21 - Install'!I34:I34))+(SUM('Elev Lobby22 - Install'!I35:I35)-SUM('Elev Lobby22 - Install'!I34:I34))+(SUM('Elev Lobby23 - Install'!I35:I35)-SUM('Elev Lobby23 - Install'!I34:I34))+(SUM('North Club24 - Install'!I35:I35)-SUM('North Club24 - Install'!I34:I34))+(SUM('South Club25 - Install'!I35:I35)-SUM('South Club25 - Install'!I34:I34))</f>
        <v>323718.78</v>
      </c>
      <c r="D7" s="19">
        <f>(SUM('Team Room - Install'!K35:K35)-SUM('Team Room - Install'!K34:K34))+(SUM('Incident Command - Install'!K35:K35)-SUM('Incident Command - Install'!K34:K34))+(SUM('Def. Unit - Install'!K35:K35)-SUM('Def. Unit - Install'!K34:K34))+(SUM('North Corridor - Install'!K35:K35)-SUM('North Corridor - Install'!K34:K34))+(SUM('South Corridor - Install'!K35:K35)-SUM('South Corridor - Install'!K34:K34))+(SUM('S.E Corridor - Install'!K35:K35)-SUM('S.E Corridor - Install'!K34:K34))+(SUM('East Corridor - Install'!K35:K35)-SUM('East Corridor - Install'!K34:K34))+(SUM('N.E Corridor - Install'!K35:K35)-SUM('N.E Corridor - Install'!K34:K34))+(SUM('Elev Lobby - Install'!K35:K35)-SUM('Elev Lobby - Install'!K34:K34))+(SUM('North Club - Install'!K35:K35)-SUM('North Club - Install'!K34:K34))+(SUM('Panthers Den - Install'!K35:K35)-SUM('Panthers Den - Install'!K34:K34))+(SUM('Panthers Den12 - Install'!K35:K35)-SUM('Panthers Den12 - Install'!K34:K34))+(SUM('Panthers Den13 - Install'!K35:K35)-SUM('Panthers Den13 - Install'!K34:K34))+(SUM('Panthers Den14 - Install'!K35:K35)-SUM('Panthers Den14 - Install'!K34:K34))+(SUM('South Club - Install'!K35:K35)-SUM('South Club - Install'!K34:K34))+(SUM('S.E Corridor16 - Install'!K35:K35)-SUM('S.E Corridor16 - Install'!K34:K34))+(SUM('N.E Corridor17 - Install'!K35:K35)-SUM('N.E Corridor17 - Install'!K34:K34))+(SUM('Panthers Den18 - Install'!K35:K35)-SUM('Panthers Den18 - Install'!K34:K34))+(SUM('Panthers Den19 - Install'!K35:K35)-SUM('Panthers Den19 - Install'!K34:K34))+(SUM('Panthers Den20 - Install'!K35:K35)-SUM('Panthers Den20 - Install'!K34:K34))+(SUM('Elev Lobby21 - Install'!K35:K35)-SUM('Elev Lobby21 - Install'!K34:K34))+(SUM('Elev Lobby22 - Install'!K35:K35)-SUM('Elev Lobby22 - Install'!K34:K34))+(SUM('Elev Lobby23 - Install'!K35:K35)-SUM('Elev Lobby23 - Install'!K34:K34))+(SUM('North Club24 - Install'!K35:K35)-SUM('North Club24 - Install'!K34:K34))+(SUM('South Club25 - Install'!K35:K35)-SUM('South Club25 - Install'!K34:K34))</f>
        <v>380845.62</v>
      </c>
      <c r="E7" s="19">
        <f>IFERROR(D7-C7,0)</f>
        <v>57126.84</v>
      </c>
      <c r="F7" s="26">
        <v>0.15</v>
      </c>
      <c r="G7" s="19">
        <f>IFERROR(C7/6742.33,0)</f>
        <v>48.01</v>
      </c>
    </row>
    <row r="8" spans="1:7" x14ac:dyDescent="0.25">
      <c r="A8" s="32"/>
      <c r="B8" s="7" t="s">
        <v>83</v>
      </c>
      <c r="C8" s="33">
        <f>SUM('Team Room - Install'!I44:I44)+SUM('Incident Command - Install'!I44:I44)+SUM('Def. Unit - Install'!I44:I44)+SUM('North Corridor - Install'!I44:I44)+SUM('South Corridor - Install'!I44:I44)+SUM('S.E Corridor - Install'!I44:I44)+SUM('East Corridor - Install'!I44:I44)+SUM('N.E Corridor - Install'!I44:I44)+SUM('Elev Lobby - Install'!I44:I44)+SUM('North Club - Install'!I44:I44)+SUM('Panthers Den - Install'!I44:I44)+SUM('Panthers Den12 - Install'!I44:I44)+SUM('Panthers Den13 - Install'!I44:I44)+SUM('Panthers Den14 - Install'!I44:I44)+SUM('South Club - Install'!I44:I44)+SUM('S.E Corridor16 - Install'!I44:I44)+SUM('N.E Corridor17 - Install'!I44:I44)+SUM('Panthers Den18 - Install'!I44:I44)+SUM('Panthers Den19 - Install'!I44:I44)+SUM('Panthers Den20 - Install'!I44:I44)+SUM('Elev Lobby21 - Install'!I44:I44)+SUM('Elev Lobby22 - Install'!I44:I44)+SUM('Elev Lobby23 - Install'!I44:I44)+SUM('North Club24 - Install'!I44:I44)+SUM('South Club25 - Install'!I44:I44)</f>
        <v>323718.78</v>
      </c>
      <c r="D8" s="33">
        <f>SUM('Team Room - Install'!K44:K44)+SUM('Incident Command - Install'!K44:K44)+SUM('Def. Unit - Install'!K44:K44)+SUM('North Corridor - Install'!K44:K44)+SUM('South Corridor - Install'!K44:K44)+SUM('S.E Corridor - Install'!K44:K44)+SUM('East Corridor - Install'!K44:K44)+SUM('N.E Corridor - Install'!K44:K44)+SUM('Elev Lobby - Install'!K44:K44)+SUM('North Club - Install'!K44:K44)+SUM('Panthers Den - Install'!K44:K44)+SUM('Panthers Den12 - Install'!K44:K44)+SUM('Panthers Den13 - Install'!K44:K44)+SUM('Panthers Den14 - Install'!K44:K44)+SUM('South Club - Install'!K44:K44)+SUM('S.E Corridor16 - Install'!K44:K44)+SUM('N.E Corridor17 - Install'!K44:K44)+SUM('Panthers Den18 - Install'!K44:K44)+SUM('Panthers Den19 - Install'!K44:K44)+SUM('Panthers Den20 - Install'!K44:K44)+SUM('Elev Lobby21 - Install'!K44:K44)+SUM('Elev Lobby22 - Install'!K44:K44)+SUM('Elev Lobby23 - Install'!K44:K44)+SUM('North Club24 - Install'!K44:K44)+SUM('South Club25 - Install'!K44:K44)</f>
        <v>380845.62</v>
      </c>
      <c r="E8" s="33">
        <f>IFERROR(D8-C8,0)</f>
        <v>57126.84</v>
      </c>
      <c r="F8" s="34">
        <v>0.15</v>
      </c>
      <c r="G8" s="33">
        <f>IFERROR(C8/6742.33,0)</f>
        <v>48.01</v>
      </c>
    </row>
    <row r="9" spans="2:7" x14ac:dyDescent="0.25">
      <c r="B9" s="5" t="s">
        <v>84</v>
      </c>
      <c r="C9" s="19">
        <f>SUM('Team Room - Install'!I34:I34)+SUM('Incident Command - Install'!I34:I34)+SUM('Def. Unit - Install'!I34:I34)+SUM('North Corridor - Install'!I34:I34)+SUM('South Corridor - Install'!I34:I34)+SUM('S.E Corridor - Install'!I34:I34)+SUM('East Corridor - Install'!I34:I34)+SUM('N.E Corridor - Install'!I34:I34)+SUM('Elev Lobby - Install'!I34:I34)+SUM('North Club - Install'!I34:I34)+SUM('Panthers Den - Install'!I34:I34)+SUM('Panthers Den12 - Install'!I34:I34)+SUM('Panthers Den13 - Install'!I34:I34)+SUM('Panthers Den14 - Install'!I34:I34)+SUM('South Club - Install'!I34:I34)+SUM('S.E Corridor16 - Install'!I34:I34)+SUM('N.E Corridor17 - Install'!I34:I34)+SUM('Panthers Den18 - Install'!I34:I34)+SUM('Panthers Den19 - Install'!I34:I34)+SUM('Panthers Den20 - Install'!I34:I34)+SUM('Elev Lobby21 - Install'!I34:I34)+SUM('Elev Lobby22 - Install'!I34:I34)+SUM('Elev Lobby23 - Install'!I34:I34)+SUM('North Club24 - Install'!I34:I34)+SUM('South Club25 - Install'!I34:I34)</f>
        <v>522058.74999999977</v>
      </c>
      <c r="D9" s="19">
        <f>SUM('Team Room - Install'!K34:K34)+SUM('Incident Command - Install'!K34:K34)+SUM('Def. Unit - Install'!K34:K34)+SUM('North Corridor - Install'!K34:K34)+SUM('South Corridor - Install'!K34:K34)+SUM('S.E Corridor - Install'!K34:K34)+SUM('East Corridor - Install'!K34:K34)+SUM('N.E Corridor - Install'!K34:K34)+SUM('Elev Lobby - Install'!K34:K34)+SUM('North Club - Install'!K34:K34)+SUM('Panthers Den - Install'!K34:K34)+SUM('Panthers Den12 - Install'!K34:K34)+SUM('Panthers Den13 - Install'!K34:K34)+SUM('Panthers Den14 - Install'!K34:K34)+SUM('South Club - Install'!K34:K34)+SUM('S.E Corridor16 - Install'!K34:K34)+SUM('N.E Corridor17 - Install'!K34:K34)+SUM('Panthers Den18 - Install'!K34:K34)+SUM('Panthers Den19 - Install'!K34:K34)+SUM('Panthers Den20 - Install'!K34:K34)+SUM('Elev Lobby21 - Install'!K34:K34)+SUM('Elev Lobby22 - Install'!K34:K34)+SUM('Elev Lobby23 - Install'!K34:K34)+SUM('North Club24 - Install'!K34:K34)+SUM('South Club25 - Install'!K34:K34)</f>
        <v>614186.76</v>
      </c>
      <c r="E9" s="19">
        <f>IFERROR(D9-C9,0)</f>
        <v>92128.01</v>
      </c>
      <c r="F9" s="26">
        <v>0.15</v>
      </c>
      <c r="G9" s="19" t="s">
        <v>38</v>
      </c>
    </row>
    <row r="10" spans="1:7" x14ac:dyDescent="0.25">
      <c r="A10" s="32"/>
      <c r="B10" s="7" t="s">
        <v>85</v>
      </c>
      <c r="C10" s="33">
        <f>SUM('Team Room - Install'!I52:I52)+SUM('Incident Command - Install'!I52:I52)+SUM('Def. Unit - Install'!I52:I52)+SUM('North Corridor - Install'!I52:I52)+SUM('South Corridor - Install'!I52:I52)+SUM('S.E Corridor - Install'!I52:I52)+SUM('East Corridor - Install'!I52:I52)+SUM('N.E Corridor - Install'!I52:I52)+SUM('Elev Lobby - Install'!I52:I52)+SUM('North Club - Install'!I52:I52)+SUM('Panthers Den - Install'!I52:I52)+SUM('Panthers Den12 - Install'!I52:I52)+SUM('Panthers Den13 - Install'!I52:I52)+SUM('Panthers Den14 - Install'!I52:I52)+SUM('South Club - Install'!I52:I52)+SUM('S.E Corridor16 - Install'!I52:I52)+SUM('N.E Corridor17 - Install'!I52:I52)+SUM('Panthers Den18 - Install'!I52:I52)+SUM('Panthers Den19 - Install'!I52:I52)+SUM('Panthers Den20 - Install'!I52:I52)+SUM('Elev Lobby21 - Install'!I52:I52)+SUM('Elev Lobby22 - Install'!I52:I52)+SUM('Elev Lobby23 - Install'!I52:I52)+SUM('North Club24 - Install'!I52:I52)+SUM('South Club25 - Install'!I52:I52)</f>
        <v>117647.00000000004</v>
      </c>
      <c r="D10" s="33">
        <f>SUM('Team Room - Install'!K52:K52)+SUM('Incident Command - Install'!K52:K52)+SUM('Def. Unit - Install'!K52:K52)+SUM('North Corridor - Install'!K52:K52)+SUM('South Corridor - Install'!K52:K52)+SUM('S.E Corridor - Install'!K52:K52)+SUM('East Corridor - Install'!K52:K52)+SUM('N.E Corridor - Install'!K52:K52)+SUM('Elev Lobby - Install'!K52:K52)+SUM('North Club - Install'!K52:K52)+SUM('Panthers Den - Install'!K52:K52)+SUM('Panthers Den12 - Install'!K52:K52)+SUM('Panthers Den13 - Install'!K52:K52)+SUM('Panthers Den14 - Install'!K52:K52)+SUM('South Club - Install'!K52:K52)+SUM('S.E Corridor16 - Install'!K52:K52)+SUM('N.E Corridor17 - Install'!K52:K52)+SUM('Panthers Den18 - Install'!K52:K52)+SUM('Panthers Den19 - Install'!K52:K52)+SUM('Panthers Den20 - Install'!K52:K52)+SUM('Elev Lobby21 - Install'!K52:K52)+SUM('Elev Lobby22 - Install'!K52:K52)+SUM('Elev Lobby23 - Install'!K52:K52)+SUM('North Club24 - Install'!K52:K52)+SUM('South Club25 - Install'!K52:K52)</f>
        <v>138408.24</v>
      </c>
      <c r="E10" s="33">
        <f>IFERROR(D10-C10,0)</f>
        <v>20761.24</v>
      </c>
      <c r="F10" s="34">
        <v>0.15</v>
      </c>
      <c r="G10" s="33" t="s">
        <v>38</v>
      </c>
    </row>
    <row r="11" spans="2:7" x14ac:dyDescent="0.25">
      <c r="B11" s="5" t="s">
        <v>68</v>
      </c>
      <c r="C11" s="19">
        <f>SUM(CMS!F26:F26)</f>
        <v>0</v>
      </c>
      <c r="D11" s="19">
        <f>SUM(CMS!H26:H26)</f>
        <v>0</v>
      </c>
      <c r="E11" s="19">
        <f>IFERROR(D11-C11,0)</f>
        <v>0</v>
      </c>
      <c r="F11" s="26">
        <v>0.15</v>
      </c>
      <c r="G11" s="19" t="s">
        <v>38</v>
      </c>
    </row>
    <row r="12" spans="1:7" x14ac:dyDescent="0.25">
      <c r="A12" s="32"/>
      <c r="B12" s="7" t="s">
        <v>69</v>
      </c>
      <c r="C12" s="33">
        <f>SUM(Scoring!F27:F27)</f>
        <v>0</v>
      </c>
      <c r="D12" s="33">
        <f>SUM(Scoring!H27:H27)</f>
        <v>0</v>
      </c>
      <c r="E12" s="33">
        <f>IFERROR(D12-C12,0)</f>
        <v>0</v>
      </c>
      <c r="F12" s="34">
        <v>0.15</v>
      </c>
      <c r="G12" s="33" t="s">
        <v>38</v>
      </c>
    </row>
    <row r="13" spans="2:7" x14ac:dyDescent="0.25">
      <c r="B13" s="5" t="s">
        <v>70</v>
      </c>
      <c r="C13" s="19">
        <f>SUM('Venue Services'!B17:B17)</f>
        <v>0</v>
      </c>
      <c r="D13" s="19">
        <f>SUM('Venue Services'!C17:C17)</f>
        <v>0</v>
      </c>
      <c r="E13" s="19">
        <f>IFERROR(D13-C13,0)</f>
        <v>0</v>
      </c>
      <c r="F13" s="26">
        <v>0.15</v>
      </c>
      <c r="G13" s="19" t="s">
        <v>38</v>
      </c>
    </row>
    <row r="14" spans="1:7" x14ac:dyDescent="0.25">
      <c r="A14" s="32"/>
      <c r="B14" s="7" t="s">
        <v>71</v>
      </c>
      <c r="C14" s="33">
        <f>SUM('Additional Items'!F5:F5)</f>
        <v>0</v>
      </c>
      <c r="D14" s="33">
        <f>SUM('Additional Items'!H5:H5)</f>
        <v>0</v>
      </c>
      <c r="E14" s="33">
        <f>IFERROR(D14-C14,0)</f>
        <v>0</v>
      </c>
      <c r="F14" s="34">
        <v>0.15</v>
      </c>
      <c r="G14" s="33" t="s">
        <v>38</v>
      </c>
    </row>
    <row r="15" spans="2:7" x14ac:dyDescent="0.25">
      <c r="B15" s="5" t="s">
        <v>72</v>
      </c>
      <c r="C15" s="19">
        <f>SUM('Additional Items'!F6:F6)</f>
        <v>0</v>
      </c>
      <c r="D15" s="19">
        <f>SUM('Additional Items'!H6:H6)</f>
        <v>0</v>
      </c>
      <c r="E15" s="19">
        <f>IFERROR(D15-C15,0)</f>
        <v>0</v>
      </c>
      <c r="F15" s="26">
        <v>0.15</v>
      </c>
      <c r="G15" s="19" t="s">
        <v>38</v>
      </c>
    </row>
    <row r="16" spans="1:7" x14ac:dyDescent="0.25">
      <c r="A16" s="32"/>
      <c r="B16" s="7" t="s">
        <v>73</v>
      </c>
      <c r="C16" s="33">
        <f>SUM('Additional Items'!F7:F7)</f>
        <v>0</v>
      </c>
      <c r="D16" s="33">
        <f>SUM('Additional Items'!H7:H7)</f>
        <v>0</v>
      </c>
      <c r="E16" s="33">
        <f>IFERROR(D16-C16,0)</f>
        <v>0</v>
      </c>
      <c r="F16" s="34">
        <v>0.15</v>
      </c>
      <c r="G16" s="33" t="s">
        <v>38</v>
      </c>
    </row>
    <row r="17" spans="2:7" x14ac:dyDescent="0.25">
      <c r="B17" s="5" t="s">
        <v>74</v>
      </c>
      <c r="C17" s="19">
        <f>SUM('Additional Items'!F8:F8)</f>
        <v>0</v>
      </c>
      <c r="D17" s="19">
        <f>SUM('Additional Items'!H8:H8)</f>
        <v>0</v>
      </c>
      <c r="E17" s="19">
        <f>IFERROR(D17-C17,0)</f>
        <v>0</v>
      </c>
      <c r="F17" s="26">
        <v>0.15</v>
      </c>
      <c r="G17" s="19" t="s">
        <v>38</v>
      </c>
    </row>
    <row r="19" spans="1:7" x14ac:dyDescent="0.25">
      <c r="A19" s="35"/>
      <c r="B19" s="35" t="s">
        <v>86</v>
      </c>
      <c r="C19" s="36">
        <f>SUM(C5:C17)</f>
        <v>3218418.220000002</v>
      </c>
      <c r="D19" s="36">
        <f>SUM(D5:D17)</f>
        <v>3706135.2199999993</v>
      </c>
      <c r="E19" s="36">
        <f>IFERROR(D19-C19,0)</f>
        <v>487717</v>
      </c>
      <c r="F19" s="37">
        <f>IFERROR(1-C19/D19,0)</f>
        <v>0.13</v>
      </c>
      <c r="G19" s="36">
        <f>IFERROR(C19/6742.33,0)</f>
        <v>477.35</v>
      </c>
    </row>
    <row r="20" spans="1:7" x14ac:dyDescent="0.25">
      <c r="A20" s="32"/>
      <c r="B20" s="32" t="s">
        <v>87</v>
      </c>
      <c r="C20" s="33">
        <v>0</v>
      </c>
      <c r="D20" s="33">
        <v>0</v>
      </c>
      <c r="E20" s="33">
        <v>0</v>
      </c>
      <c r="F20" s="34">
        <v>0</v>
      </c>
      <c r="G20" s="32"/>
    </row>
    <row r="21" spans="2:6" x14ac:dyDescent="0.25">
      <c r="B21" t="s">
        <v>88</v>
      </c>
      <c r="C21" s="19">
        <v>0</v>
      </c>
      <c r="D21" s="19">
        <v>0</v>
      </c>
      <c r="E21" s="19">
        <v>0</v>
      </c>
      <c r="F21" s="26">
        <v>0</v>
      </c>
    </row>
    <row r="22" spans="1:7" x14ac:dyDescent="0.25">
      <c r="A22" s="27"/>
      <c r="B22" s="28" t="s">
        <v>89</v>
      </c>
      <c r="C22" s="29">
        <f>C19+C20+C21</f>
        <v>3218418.22</v>
      </c>
      <c r="D22" s="29">
        <f>D19+D20+D21</f>
        <v>3706135.22</v>
      </c>
      <c r="E22" s="29">
        <f>IFERROR(D22-C22,0)</f>
        <v>487717</v>
      </c>
      <c r="F22" s="30">
        <f>IFERROR(1-C22/D22,0)</f>
        <v>0.13</v>
      </c>
      <c r="G22" s="29">
        <f>IFERROR(C22/6742.33,0)</f>
        <v>477.35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391</v>
      </c>
      <c r="B1" s="1"/>
      <c r="C1" s="1"/>
      <c r="D1" s="1"/>
      <c r="E1" s="1"/>
    </row>
    <row r="3" spans="1:5" x14ac:dyDescent="0.25">
      <c r="A3" s="24" t="s">
        <v>392</v>
      </c>
      <c r="B3" s="24" t="s">
        <v>96</v>
      </c>
      <c r="C3" s="24" t="s">
        <v>393</v>
      </c>
      <c r="D3" s="24" t="s">
        <v>394</v>
      </c>
      <c r="E3" s="24" t="s">
        <v>78</v>
      </c>
    </row>
    <row r="4" spans="1:5" x14ac:dyDescent="0.25">
      <c r="A4" s="69" t="s">
        <v>38</v>
      </c>
      <c r="B4" s="69" t="s">
        <v>38</v>
      </c>
      <c r="C4" s="69" t="s">
        <v>38</v>
      </c>
      <c r="D4" s="63">
        <v>0</v>
      </c>
      <c r="E4" s="69" t="s">
        <v>38</v>
      </c>
    </row>
    <row r="5" spans="1:5" x14ac:dyDescent="0.25">
      <c r="A5" s="71" t="s">
        <v>38</v>
      </c>
      <c r="B5" s="71" t="s">
        <v>38</v>
      </c>
      <c r="C5" s="71" t="s">
        <v>38</v>
      </c>
      <c r="D5" s="64">
        <v>0</v>
      </c>
      <c r="E5" s="71" t="s">
        <v>38</v>
      </c>
    </row>
    <row r="6" spans="1:5" x14ac:dyDescent="0.25">
      <c r="A6" s="69" t="s">
        <v>38</v>
      </c>
      <c r="B6" s="69" t="s">
        <v>38</v>
      </c>
      <c r="C6" s="69" t="s">
        <v>38</v>
      </c>
      <c r="D6" s="63">
        <v>0</v>
      </c>
      <c r="E6" s="69" t="s">
        <v>38</v>
      </c>
    </row>
    <row r="7" spans="1:5" x14ac:dyDescent="0.25">
      <c r="A7" s="71" t="s">
        <v>38</v>
      </c>
      <c r="B7" s="71" t="s">
        <v>38</v>
      </c>
      <c r="C7" s="71" t="s">
        <v>38</v>
      </c>
      <c r="D7" s="64">
        <v>0</v>
      </c>
      <c r="E7" s="71" t="s">
        <v>38</v>
      </c>
    </row>
    <row r="8" spans="1:5" x14ac:dyDescent="0.25">
      <c r="A8" s="69" t="s">
        <v>38</v>
      </c>
      <c r="B8" s="69" t="s">
        <v>38</v>
      </c>
      <c r="C8" s="69" t="s">
        <v>38</v>
      </c>
      <c r="D8" s="63">
        <v>0</v>
      </c>
      <c r="E8" s="69" t="s">
        <v>38</v>
      </c>
    </row>
    <row r="9" spans="1:5" x14ac:dyDescent="0.25">
      <c r="A9" s="71" t="s">
        <v>38</v>
      </c>
      <c r="B9" s="71" t="s">
        <v>38</v>
      </c>
      <c r="C9" s="71" t="s">
        <v>38</v>
      </c>
      <c r="D9" s="64">
        <v>0</v>
      </c>
      <c r="E9" s="71" t="s">
        <v>38</v>
      </c>
    </row>
    <row r="10" spans="1:5" x14ac:dyDescent="0.25">
      <c r="A10" s="69" t="s">
        <v>38</v>
      </c>
      <c r="B10" s="69" t="s">
        <v>38</v>
      </c>
      <c r="C10" s="69" t="s">
        <v>38</v>
      </c>
      <c r="D10" s="63">
        <v>0</v>
      </c>
      <c r="E10" s="69" t="s">
        <v>38</v>
      </c>
    </row>
    <row r="11" spans="1:5" x14ac:dyDescent="0.25">
      <c r="A11" s="71" t="s">
        <v>38</v>
      </c>
      <c r="B11" s="71" t="s">
        <v>38</v>
      </c>
      <c r="C11" s="71" t="s">
        <v>38</v>
      </c>
      <c r="D11" s="64">
        <v>0</v>
      </c>
      <c r="E11" s="71" t="s">
        <v>38</v>
      </c>
    </row>
    <row r="12" spans="1:5" x14ac:dyDescent="0.25">
      <c r="A12" s="69" t="s">
        <v>38</v>
      </c>
      <c r="B12" s="69" t="s">
        <v>38</v>
      </c>
      <c r="C12" s="69" t="s">
        <v>38</v>
      </c>
      <c r="D12" s="63">
        <v>0</v>
      </c>
      <c r="E12" s="69" t="s">
        <v>38</v>
      </c>
    </row>
    <row r="13" spans="1:5" x14ac:dyDescent="0.25">
      <c r="A13" s="71" t="s">
        <v>38</v>
      </c>
      <c r="B13" s="71" t="s">
        <v>38</v>
      </c>
      <c r="C13" s="71" t="s">
        <v>38</v>
      </c>
      <c r="D13" s="64">
        <v>0</v>
      </c>
      <c r="E13" s="71" t="s">
        <v>38</v>
      </c>
    </row>
    <row r="14" spans="1:5" x14ac:dyDescent="0.25">
      <c r="A14" s="69" t="s">
        <v>38</v>
      </c>
      <c r="B14" s="69" t="s">
        <v>38</v>
      </c>
      <c r="C14" s="69" t="s">
        <v>38</v>
      </c>
      <c r="D14" s="63">
        <v>0</v>
      </c>
      <c r="E14" s="69" t="s">
        <v>38</v>
      </c>
    </row>
    <row r="15" spans="1:5" x14ac:dyDescent="0.25">
      <c r="A15" s="71" t="s">
        <v>38</v>
      </c>
      <c r="B15" s="71" t="s">
        <v>38</v>
      </c>
      <c r="C15" s="71" t="s">
        <v>38</v>
      </c>
      <c r="D15" s="64">
        <v>0</v>
      </c>
      <c r="E15" s="71" t="s">
        <v>38</v>
      </c>
    </row>
    <row r="16" spans="1:5" x14ac:dyDescent="0.25">
      <c r="A16" s="69" t="s">
        <v>38</v>
      </c>
      <c r="B16" s="69" t="s">
        <v>38</v>
      </c>
      <c r="C16" s="69" t="s">
        <v>38</v>
      </c>
      <c r="D16" s="63">
        <v>0</v>
      </c>
      <c r="E16" s="69" t="s">
        <v>38</v>
      </c>
    </row>
    <row r="17" spans="1:5" x14ac:dyDescent="0.25">
      <c r="A17" s="71" t="s">
        <v>38</v>
      </c>
      <c r="B17" s="71" t="s">
        <v>38</v>
      </c>
      <c r="C17" s="71" t="s">
        <v>38</v>
      </c>
      <c r="D17" s="64">
        <v>0</v>
      </c>
      <c r="E17" s="71" t="s">
        <v>38</v>
      </c>
    </row>
    <row r="18" spans="1:5" x14ac:dyDescent="0.25">
      <c r="A18" s="69" t="s">
        <v>38</v>
      </c>
      <c r="B18" s="69" t="s">
        <v>38</v>
      </c>
      <c r="C18" s="69" t="s">
        <v>38</v>
      </c>
      <c r="D18" s="63">
        <v>0</v>
      </c>
      <c r="E18" s="69" t="s">
        <v>38</v>
      </c>
    </row>
    <row r="19" spans="1:5" x14ac:dyDescent="0.25">
      <c r="A19" s="71" t="s">
        <v>38</v>
      </c>
      <c r="B19" s="71" t="s">
        <v>38</v>
      </c>
      <c r="C19" s="71" t="s">
        <v>38</v>
      </c>
      <c r="D19" s="64">
        <v>0</v>
      </c>
      <c r="E19" s="71" t="s">
        <v>38</v>
      </c>
    </row>
    <row r="20" spans="1:5" x14ac:dyDescent="0.25">
      <c r="A20" s="69" t="s">
        <v>38</v>
      </c>
      <c r="B20" s="69" t="s">
        <v>38</v>
      </c>
      <c r="C20" s="69" t="s">
        <v>38</v>
      </c>
      <c r="D20" s="63">
        <v>0</v>
      </c>
      <c r="E20" s="69" t="s">
        <v>38</v>
      </c>
    </row>
    <row r="21" spans="1:5" x14ac:dyDescent="0.25">
      <c r="A21" s="71" t="s">
        <v>38</v>
      </c>
      <c r="B21" s="71" t="s">
        <v>38</v>
      </c>
      <c r="C21" s="71" t="s">
        <v>38</v>
      </c>
      <c r="D21" s="64">
        <v>0</v>
      </c>
      <c r="E21" s="71" t="s">
        <v>38</v>
      </c>
    </row>
    <row r="22" spans="1:5" x14ac:dyDescent="0.25">
      <c r="A22" s="69" t="s">
        <v>38</v>
      </c>
      <c r="B22" s="69" t="s">
        <v>38</v>
      </c>
      <c r="C22" s="69" t="s">
        <v>38</v>
      </c>
      <c r="D22" s="63">
        <v>0</v>
      </c>
      <c r="E22" s="69" t="s">
        <v>38</v>
      </c>
    </row>
    <row r="23" spans="1:5" x14ac:dyDescent="0.25">
      <c r="A23" s="71" t="s">
        <v>38</v>
      </c>
      <c r="B23" s="71" t="s">
        <v>38</v>
      </c>
      <c r="C23" s="71" t="s">
        <v>38</v>
      </c>
      <c r="D23" s="64">
        <v>0</v>
      </c>
      <c r="E23" s="71" t="s">
        <v>38</v>
      </c>
    </row>
    <row r="24" spans="1:5" x14ac:dyDescent="0.25">
      <c r="A24" s="69" t="s">
        <v>38</v>
      </c>
      <c r="B24" s="69" t="s">
        <v>38</v>
      </c>
      <c r="C24" s="69" t="s">
        <v>38</v>
      </c>
      <c r="D24" s="63">
        <v>0</v>
      </c>
      <c r="E24" s="69" t="s">
        <v>38</v>
      </c>
    </row>
    <row r="25" spans="1:5" x14ac:dyDescent="0.25">
      <c r="A25" s="71" t="s">
        <v>38</v>
      </c>
      <c r="B25" s="71" t="s">
        <v>38</v>
      </c>
      <c r="C25" s="71" t="s">
        <v>38</v>
      </c>
      <c r="D25" s="64">
        <v>0</v>
      </c>
      <c r="E25" s="71" t="s">
        <v>38</v>
      </c>
    </row>
    <row r="26" spans="1:5" x14ac:dyDescent="0.25">
      <c r="A26" s="69" t="s">
        <v>38</v>
      </c>
      <c r="B26" s="69" t="s">
        <v>38</v>
      </c>
      <c r="C26" s="69" t="s">
        <v>38</v>
      </c>
      <c r="D26" s="63">
        <v>0</v>
      </c>
      <c r="E26" s="69" t="s">
        <v>38</v>
      </c>
    </row>
    <row r="27" spans="1:5" x14ac:dyDescent="0.25">
      <c r="A27" s="71" t="s">
        <v>38</v>
      </c>
      <c r="B27" s="71" t="s">
        <v>38</v>
      </c>
      <c r="C27" s="71" t="s">
        <v>38</v>
      </c>
      <c r="D27" s="64">
        <v>0</v>
      </c>
      <c r="E27" s="71" t="s">
        <v>38</v>
      </c>
    </row>
    <row r="28" spans="1:5" x14ac:dyDescent="0.25">
      <c r="A28" s="69" t="s">
        <v>38</v>
      </c>
      <c r="B28" s="69" t="s">
        <v>38</v>
      </c>
      <c r="C28" s="69" t="s">
        <v>38</v>
      </c>
      <c r="D28" s="63">
        <v>0</v>
      </c>
      <c r="E28" s="69" t="s">
        <v>38</v>
      </c>
    </row>
    <row r="29" spans="1:5" x14ac:dyDescent="0.25">
      <c r="A29" s="71" t="s">
        <v>38</v>
      </c>
      <c r="B29" s="71" t="s">
        <v>38</v>
      </c>
      <c r="C29" s="71" t="s">
        <v>38</v>
      </c>
      <c r="D29" s="64">
        <v>0</v>
      </c>
      <c r="E29" s="71" t="s">
        <v>38</v>
      </c>
    </row>
    <row r="30" spans="1:5" x14ac:dyDescent="0.25">
      <c r="A30" s="69" t="s">
        <v>38</v>
      </c>
      <c r="B30" s="69" t="s">
        <v>38</v>
      </c>
      <c r="C30" s="69" t="s">
        <v>38</v>
      </c>
      <c r="D30" s="63">
        <v>0</v>
      </c>
      <c r="E30" s="69" t="s">
        <v>38</v>
      </c>
    </row>
    <row r="31" spans="1:5" x14ac:dyDescent="0.25">
      <c r="A31" s="71" t="s">
        <v>38</v>
      </c>
      <c r="B31" s="71" t="s">
        <v>38</v>
      </c>
      <c r="C31" s="71" t="s">
        <v>38</v>
      </c>
      <c r="D31" s="64">
        <v>0</v>
      </c>
      <c r="E31" s="71" t="s">
        <v>38</v>
      </c>
    </row>
    <row r="32" spans="1:5" x14ac:dyDescent="0.25">
      <c r="A32" s="69" t="s">
        <v>38</v>
      </c>
      <c r="B32" s="69" t="s">
        <v>38</v>
      </c>
      <c r="C32" s="69" t="s">
        <v>38</v>
      </c>
      <c r="D32" s="63">
        <v>0</v>
      </c>
      <c r="E32" s="69" t="s">
        <v>38</v>
      </c>
    </row>
    <row r="33" spans="1:5" x14ac:dyDescent="0.25">
      <c r="A33" s="71" t="s">
        <v>38</v>
      </c>
      <c r="B33" s="71" t="s">
        <v>38</v>
      </c>
      <c r="C33" s="71" t="s">
        <v>38</v>
      </c>
      <c r="D33" s="64">
        <v>0</v>
      </c>
      <c r="E33" s="71" t="s">
        <v>38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Project Overview</vt:lpstr>
      <vt:lpstr>Margin Analysis</vt:lpstr>
      <vt:lpstr>Budget Summary</vt:lpstr>
      <vt:lpstr>LED Cost Sheet</vt:lpstr>
      <vt:lpstr>Tech Specs (Installers)</vt:lpstr>
      <vt:lpstr>Team Room - Install</vt:lpstr>
      <vt:lpstr>Incident Command - Install</vt:lpstr>
      <vt:lpstr>Def. Unit - Install</vt:lpstr>
      <vt:lpstr>North Corridor - Install</vt:lpstr>
      <vt:lpstr>South Corridor - Install</vt:lpstr>
      <vt:lpstr>S.E Corridor - Install</vt:lpstr>
      <vt:lpstr>East Corridor - Install</vt:lpstr>
      <vt:lpstr>N.E Corridor - Install</vt:lpstr>
      <vt:lpstr>Elev Lobby - Install</vt:lpstr>
      <vt:lpstr>North Club - Install</vt:lpstr>
      <vt:lpstr>Panthers Den - Install</vt:lpstr>
      <vt:lpstr>Panthers Den12 - Install</vt:lpstr>
      <vt:lpstr>Panthers Den13 - Install</vt:lpstr>
      <vt:lpstr>Panthers Den14 - Install</vt:lpstr>
      <vt:lpstr>South Club - Install</vt:lpstr>
      <vt:lpstr>S.E Corridor16 - Install</vt:lpstr>
      <vt:lpstr>N.E Corridor17 - Install</vt:lpstr>
      <vt:lpstr>Panthers Den18 - Install</vt:lpstr>
      <vt:lpstr>Panthers Den19 - Install</vt:lpstr>
      <vt:lpstr>Panthers Den20 - Install</vt:lpstr>
      <vt:lpstr>Elev Lobby21 - Install</vt:lpstr>
      <vt:lpstr>Elev Lobby22 - Install</vt:lpstr>
      <vt:lpstr>Elev Lobby23 - Install</vt:lpstr>
      <vt:lpstr>North Club24 - Install</vt:lpstr>
      <vt:lpstr>South Club25 - Install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2026-03-31T22:45:06Z</dcterms:created>
  <dcterms:modified xsi:type="dcterms:W3CDTF">2026-03-31T22:45:06Z</dcterms:modified>
</cp:coreProperties>
</file>